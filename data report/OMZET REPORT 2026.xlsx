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X1\Downloads\"/>
    </mc:Choice>
  </mc:AlternateContent>
  <xr:revisionPtr revIDLastSave="0" documentId="8_{5769A7E7-9B0A-446D-B55A-732EB42AC29D}" xr6:coauthVersionLast="47" xr6:coauthVersionMax="47" xr10:uidLastSave="{00000000-0000-0000-0000-000000000000}"/>
  <bookViews>
    <workbookView xWindow="-110" yWindow="-110" windowWidth="19420" windowHeight="10300" tabRatio="842" firstSheet="5" activeTab="15" xr2:uid="{00000000-000D-0000-FFFF-FFFF00000000}"/>
  </bookViews>
  <sheets>
    <sheet name="AGP" sheetId="17" r:id="rId1"/>
    <sheet name="TELE" sheetId="20" r:id="rId2"/>
    <sheet name="AGPN" sheetId="18" r:id="rId3"/>
    <sheet name="AGPc" sheetId="13" r:id="rId4"/>
    <sheet name="AGPs" sheetId="14" r:id="rId5"/>
    <sheet name="AGPn-Harian" sheetId="15" r:id="rId6"/>
    <sheet name="TELE-Harian" sheetId="19" r:id="rId7"/>
    <sheet name="JAN" sheetId="1" r:id="rId8"/>
    <sheet name="FEB" sheetId="2" r:id="rId9"/>
    <sheet name="MAR" sheetId="3" r:id="rId10"/>
    <sheet name="APR" sheetId="4" r:id="rId11"/>
    <sheet name="MEI" sheetId="5" r:id="rId12"/>
    <sheet name="JUN" sheetId="6" r:id="rId13"/>
    <sheet name="JUL" sheetId="7" r:id="rId14"/>
    <sheet name="AGS" sheetId="8" r:id="rId15"/>
    <sheet name="SEP" sheetId="9" r:id="rId16"/>
    <sheet name="OKT" sheetId="10" r:id="rId17"/>
    <sheet name="NOV" sheetId="11" r:id="rId18"/>
    <sheet name="DES" sheetId="12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9" l="1"/>
  <c r="K51" i="17" l="1"/>
  <c r="K52" i="17"/>
  <c r="A15" i="17"/>
  <c r="W16" i="17"/>
  <c r="E7" i="17" l="1"/>
  <c r="E19" i="17"/>
  <c r="E18" i="17"/>
  <c r="E17" i="17"/>
  <c r="E16" i="17"/>
  <c r="E15" i="17"/>
  <c r="E14" i="17"/>
  <c r="E12" i="17"/>
  <c r="E11" i="17"/>
  <c r="E10" i="17"/>
  <c r="E9" i="17"/>
  <c r="E8" i="17"/>
  <c r="D19" i="17"/>
  <c r="D18" i="17"/>
  <c r="D17" i="17"/>
  <c r="D16" i="17"/>
  <c r="D15" i="17"/>
  <c r="D14" i="17"/>
  <c r="D12" i="17"/>
  <c r="D11" i="17"/>
  <c r="D10" i="17"/>
  <c r="D9" i="17"/>
  <c r="D8" i="17"/>
  <c r="D7" i="17"/>
  <c r="C7" i="17"/>
  <c r="F15" i="17"/>
  <c r="F19" i="17"/>
  <c r="F18" i="17"/>
  <c r="F17" i="17"/>
  <c r="F14" i="17"/>
  <c r="F12" i="17"/>
  <c r="F11" i="17"/>
  <c r="F10" i="17"/>
  <c r="F9" i="17"/>
  <c r="F8" i="17"/>
  <c r="F7" i="17"/>
  <c r="F16" i="20"/>
  <c r="G16" i="20" s="1"/>
  <c r="F15" i="20"/>
  <c r="F13" i="20"/>
  <c r="F14" i="20" s="1"/>
  <c r="G20" i="20"/>
  <c r="G19" i="20"/>
  <c r="G18" i="20"/>
  <c r="G15" i="20"/>
  <c r="G12" i="20"/>
  <c r="G11" i="20"/>
  <c r="G10" i="20"/>
  <c r="G9" i="20"/>
  <c r="G8" i="20"/>
  <c r="E23" i="20"/>
  <c r="E21" i="20"/>
  <c r="E14" i="20"/>
  <c r="D23" i="20"/>
  <c r="D21" i="20"/>
  <c r="D14" i="20"/>
  <c r="R16" i="17"/>
  <c r="G14" i="20" l="1"/>
  <c r="G13" i="20"/>
  <c r="E22" i="20"/>
  <c r="D22" i="20"/>
  <c r="P44" i="9" l="1"/>
  <c r="Q44" i="9"/>
  <c r="B300" i="15"/>
  <c r="G302" i="15" s="1"/>
  <c r="B330" i="15"/>
  <c r="A330" i="15"/>
  <c r="E329" i="15"/>
  <c r="D329" i="15"/>
  <c r="C329" i="15"/>
  <c r="G328" i="15"/>
  <c r="F328" i="15"/>
  <c r="G327" i="15"/>
  <c r="F327" i="15"/>
  <c r="F324" i="15"/>
  <c r="E322" i="15"/>
  <c r="D322" i="15"/>
  <c r="C322" i="15"/>
  <c r="G320" i="15"/>
  <c r="F320" i="15"/>
  <c r="F317" i="15"/>
  <c r="C317" i="15"/>
  <c r="E315" i="15"/>
  <c r="D315" i="15"/>
  <c r="C315" i="15"/>
  <c r="G313" i="15"/>
  <c r="F313" i="15"/>
  <c r="G312" i="15"/>
  <c r="F312" i="15"/>
  <c r="G311" i="15"/>
  <c r="F311" i="15"/>
  <c r="G310" i="15"/>
  <c r="F310" i="15"/>
  <c r="G309" i="15"/>
  <c r="F309" i="15"/>
  <c r="G308" i="15"/>
  <c r="F308" i="15"/>
  <c r="G307" i="15"/>
  <c r="F307" i="15"/>
  <c r="G306" i="15"/>
  <c r="F306" i="15"/>
  <c r="G305" i="15"/>
  <c r="F305" i="15"/>
  <c r="B41" i="19"/>
  <c r="E48" i="19"/>
  <c r="D48" i="19"/>
  <c r="G49" i="18" l="1"/>
  <c r="G322" i="15"/>
  <c r="P49" i="18"/>
  <c r="E330" i="15"/>
  <c r="F330" i="15" s="1"/>
  <c r="G72" i="18"/>
  <c r="F48" i="19"/>
  <c r="F17" i="20"/>
  <c r="G315" i="15"/>
  <c r="F322" i="15"/>
  <c r="D334" i="15"/>
  <c r="G317" i="15"/>
  <c r="G324" i="15"/>
  <c r="G329" i="15"/>
  <c r="C334" i="15"/>
  <c r="F329" i="15"/>
  <c r="F315" i="15"/>
  <c r="E334" i="15"/>
  <c r="G48" i="19"/>
  <c r="G330" i="15" l="1"/>
  <c r="G17" i="20"/>
  <c r="F21" i="20"/>
  <c r="F23" i="20"/>
  <c r="G23" i="20" s="1"/>
  <c r="G334" i="15"/>
  <c r="F334" i="15"/>
  <c r="G21" i="20" l="1"/>
  <c r="F22" i="20"/>
  <c r="G22" i="20" s="1"/>
  <c r="S145" i="9"/>
  <c r="H145" i="9"/>
  <c r="N139" i="9"/>
  <c r="M139" i="9"/>
  <c r="C139" i="9"/>
  <c r="B139" i="9"/>
  <c r="M137" i="9"/>
  <c r="B137" i="9"/>
  <c r="M136" i="9"/>
  <c r="B136" i="9"/>
  <c r="M135" i="9"/>
  <c r="B135" i="9"/>
  <c r="M134" i="9"/>
  <c r="B134" i="9"/>
  <c r="M133" i="9"/>
  <c r="B133" i="9"/>
  <c r="S132" i="9"/>
  <c r="H132" i="9"/>
  <c r="N126" i="9"/>
  <c r="M126" i="9"/>
  <c r="C126" i="9"/>
  <c r="B126" i="9"/>
  <c r="M124" i="9"/>
  <c r="B124" i="9"/>
  <c r="M123" i="9"/>
  <c r="B123" i="9"/>
  <c r="M122" i="9"/>
  <c r="B122" i="9"/>
  <c r="M121" i="9"/>
  <c r="B121" i="9"/>
  <c r="M120" i="9"/>
  <c r="B120" i="9"/>
  <c r="S119" i="9"/>
  <c r="H119" i="9"/>
  <c r="M111" i="9"/>
  <c r="B111" i="9"/>
  <c r="Q110" i="9"/>
  <c r="P110" i="9"/>
  <c r="P137" i="9" s="1"/>
  <c r="O110" i="9"/>
  <c r="O137" i="9" s="1"/>
  <c r="N110" i="9"/>
  <c r="N112" i="9" s="1"/>
  <c r="F110" i="9"/>
  <c r="G110" i="9" s="1"/>
  <c r="G137" i="9" s="1"/>
  <c r="E110" i="9"/>
  <c r="E137" i="9" s="1"/>
  <c r="D110" i="9"/>
  <c r="D137" i="9" s="1"/>
  <c r="C110" i="9"/>
  <c r="C112" i="9" s="1"/>
  <c r="S109" i="9"/>
  <c r="T109" i="9" s="1"/>
  <c r="R109" i="9"/>
  <c r="H109" i="9"/>
  <c r="I109" i="9" s="1"/>
  <c r="G109" i="9"/>
  <c r="S108" i="9"/>
  <c r="T108" i="9" s="1"/>
  <c r="R108" i="9"/>
  <c r="H108" i="9"/>
  <c r="I108" i="9" s="1"/>
  <c r="G108" i="9"/>
  <c r="S107" i="9"/>
  <c r="T107" i="9" s="1"/>
  <c r="R107" i="9"/>
  <c r="H107" i="9"/>
  <c r="I107" i="9" s="1"/>
  <c r="G107" i="9"/>
  <c r="T106" i="9"/>
  <c r="R106" i="9"/>
  <c r="H106" i="9"/>
  <c r="I106" i="9" s="1"/>
  <c r="G106" i="9"/>
  <c r="S105" i="9"/>
  <c r="T105" i="9" s="1"/>
  <c r="R105" i="9"/>
  <c r="I105" i="9"/>
  <c r="G105" i="9"/>
  <c r="S104" i="9"/>
  <c r="T104" i="9" s="1"/>
  <c r="R104" i="9"/>
  <c r="H104" i="9"/>
  <c r="I104" i="9" s="1"/>
  <c r="G104" i="9"/>
  <c r="H103" i="9"/>
  <c r="S103" i="9" s="1"/>
  <c r="F103" i="9"/>
  <c r="Q103" i="9" s="1"/>
  <c r="M100" i="9"/>
  <c r="B100" i="9"/>
  <c r="Q99" i="9"/>
  <c r="P99" i="9"/>
  <c r="P136" i="9" s="1"/>
  <c r="O99" i="9"/>
  <c r="O136" i="9" s="1"/>
  <c r="N99" i="9"/>
  <c r="N101" i="9" s="1"/>
  <c r="F99" i="9"/>
  <c r="F136" i="9" s="1"/>
  <c r="E99" i="9"/>
  <c r="E136" i="9" s="1"/>
  <c r="D99" i="9"/>
  <c r="D136" i="9" s="1"/>
  <c r="C99" i="9"/>
  <c r="C136" i="9" s="1"/>
  <c r="S98" i="9"/>
  <c r="T98" i="9" s="1"/>
  <c r="R98" i="9"/>
  <c r="H98" i="9"/>
  <c r="I98" i="9" s="1"/>
  <c r="G98" i="9"/>
  <c r="S97" i="9"/>
  <c r="T97" i="9" s="1"/>
  <c r="R97" i="9"/>
  <c r="H97" i="9"/>
  <c r="I97" i="9" s="1"/>
  <c r="G97" i="9"/>
  <c r="S96" i="9"/>
  <c r="T96" i="9" s="1"/>
  <c r="R96" i="9"/>
  <c r="H96" i="9"/>
  <c r="I96" i="9" s="1"/>
  <c r="G96" i="9"/>
  <c r="S95" i="9"/>
  <c r="T95" i="9" s="1"/>
  <c r="R95" i="9"/>
  <c r="H95" i="9"/>
  <c r="I95" i="9" s="1"/>
  <c r="G95" i="9"/>
  <c r="S94" i="9"/>
  <c r="T94" i="9" s="1"/>
  <c r="R94" i="9"/>
  <c r="H94" i="9"/>
  <c r="I94" i="9" s="1"/>
  <c r="G94" i="9"/>
  <c r="S93" i="9"/>
  <c r="T93" i="9" s="1"/>
  <c r="R93" i="9"/>
  <c r="H93" i="9"/>
  <c r="I93" i="9" s="1"/>
  <c r="G93" i="9"/>
  <c r="H92" i="9"/>
  <c r="S92" i="9" s="1"/>
  <c r="F92" i="9"/>
  <c r="Q92" i="9" s="1"/>
  <c r="M89" i="9"/>
  <c r="B89" i="9"/>
  <c r="Q88" i="9"/>
  <c r="P88" i="9"/>
  <c r="P135" i="9" s="1"/>
  <c r="O88" i="9"/>
  <c r="O135" i="9" s="1"/>
  <c r="N88" i="9"/>
  <c r="N90" i="9" s="1"/>
  <c r="F88" i="9"/>
  <c r="F135" i="9" s="1"/>
  <c r="AA66" i="13" s="1"/>
  <c r="E88" i="9"/>
  <c r="E135" i="9" s="1"/>
  <c r="D88" i="9"/>
  <c r="D135" i="9" s="1"/>
  <c r="C88" i="9"/>
  <c r="C90" i="9" s="1"/>
  <c r="S87" i="9"/>
  <c r="T87" i="9" s="1"/>
  <c r="R87" i="9"/>
  <c r="H87" i="9"/>
  <c r="I87" i="9" s="1"/>
  <c r="G87" i="9"/>
  <c r="S86" i="9"/>
  <c r="T86" i="9" s="1"/>
  <c r="R86" i="9"/>
  <c r="H86" i="9"/>
  <c r="I86" i="9" s="1"/>
  <c r="G86" i="9"/>
  <c r="S85" i="9"/>
  <c r="T85" i="9" s="1"/>
  <c r="R85" i="9"/>
  <c r="H85" i="9"/>
  <c r="I85" i="9" s="1"/>
  <c r="G85" i="9"/>
  <c r="S84" i="9"/>
  <c r="T84" i="9" s="1"/>
  <c r="R84" i="9"/>
  <c r="H84" i="9"/>
  <c r="I84" i="9" s="1"/>
  <c r="G84" i="9"/>
  <c r="S83" i="9"/>
  <c r="T83" i="9" s="1"/>
  <c r="R83" i="9"/>
  <c r="H83" i="9"/>
  <c r="I83" i="9" s="1"/>
  <c r="G83" i="9"/>
  <c r="S82" i="9"/>
  <c r="T82" i="9" s="1"/>
  <c r="R82" i="9"/>
  <c r="H82" i="9"/>
  <c r="I82" i="9" s="1"/>
  <c r="G82" i="9"/>
  <c r="H81" i="9"/>
  <c r="S81" i="9" s="1"/>
  <c r="F81" i="9"/>
  <c r="Q81" i="9" s="1"/>
  <c r="M78" i="9"/>
  <c r="B78" i="9"/>
  <c r="Q77" i="9"/>
  <c r="Q78" i="9" s="1"/>
  <c r="R78" i="9" s="1"/>
  <c r="P77" i="9"/>
  <c r="P134" i="9" s="1"/>
  <c r="O77" i="9"/>
  <c r="O134" i="9" s="1"/>
  <c r="N77" i="9"/>
  <c r="N134" i="9" s="1"/>
  <c r="F77" i="9"/>
  <c r="E77" i="9"/>
  <c r="E134" i="9" s="1"/>
  <c r="D77" i="9"/>
  <c r="D134" i="9" s="1"/>
  <c r="C77" i="9"/>
  <c r="C134" i="9" s="1"/>
  <c r="S76" i="9"/>
  <c r="T76" i="9" s="1"/>
  <c r="R76" i="9"/>
  <c r="H76" i="9"/>
  <c r="I76" i="9" s="1"/>
  <c r="G76" i="9"/>
  <c r="S75" i="9"/>
  <c r="T75" i="9" s="1"/>
  <c r="R75" i="9"/>
  <c r="H75" i="9"/>
  <c r="I75" i="9" s="1"/>
  <c r="G75" i="9"/>
  <c r="S74" i="9"/>
  <c r="T74" i="9" s="1"/>
  <c r="R74" i="9"/>
  <c r="H74" i="9"/>
  <c r="I74" i="9" s="1"/>
  <c r="G74" i="9"/>
  <c r="S73" i="9"/>
  <c r="T73" i="9" s="1"/>
  <c r="R73" i="9"/>
  <c r="H73" i="9"/>
  <c r="I73" i="9" s="1"/>
  <c r="G73" i="9"/>
  <c r="S72" i="9"/>
  <c r="T72" i="9" s="1"/>
  <c r="R72" i="9"/>
  <c r="H72" i="9"/>
  <c r="I72" i="9" s="1"/>
  <c r="G72" i="9"/>
  <c r="S71" i="9"/>
  <c r="T71" i="9" s="1"/>
  <c r="R71" i="9"/>
  <c r="H71" i="9"/>
  <c r="I71" i="9" s="1"/>
  <c r="G71" i="9"/>
  <c r="H70" i="9"/>
  <c r="S70" i="9" s="1"/>
  <c r="F70" i="9"/>
  <c r="Q70" i="9" s="1"/>
  <c r="M67" i="9"/>
  <c r="B67" i="9"/>
  <c r="Q66" i="9"/>
  <c r="P66" i="9"/>
  <c r="P133" i="9" s="1"/>
  <c r="O66" i="9"/>
  <c r="O133" i="9" s="1"/>
  <c r="N66" i="9"/>
  <c r="N133" i="9" s="1"/>
  <c r="F66" i="9"/>
  <c r="F67" i="9" s="1"/>
  <c r="H67" i="9" s="1"/>
  <c r="I67" i="9" s="1"/>
  <c r="E66" i="9"/>
  <c r="E133" i="9" s="1"/>
  <c r="D66" i="9"/>
  <c r="D133" i="9" s="1"/>
  <c r="C66" i="9"/>
  <c r="C68" i="9" s="1"/>
  <c r="S65" i="9"/>
  <c r="T65" i="9" s="1"/>
  <c r="R65" i="9"/>
  <c r="H65" i="9"/>
  <c r="I65" i="9" s="1"/>
  <c r="G65" i="9"/>
  <c r="S64" i="9"/>
  <c r="T64" i="9" s="1"/>
  <c r="R64" i="9"/>
  <c r="H64" i="9"/>
  <c r="I64" i="9" s="1"/>
  <c r="G64" i="9"/>
  <c r="S63" i="9"/>
  <c r="T63" i="9" s="1"/>
  <c r="R63" i="9"/>
  <c r="H63" i="9"/>
  <c r="I63" i="9" s="1"/>
  <c r="G63" i="9"/>
  <c r="S62" i="9"/>
  <c r="T62" i="9" s="1"/>
  <c r="R62" i="9"/>
  <c r="H62" i="9"/>
  <c r="I62" i="9" s="1"/>
  <c r="G62" i="9"/>
  <c r="S61" i="9"/>
  <c r="T61" i="9" s="1"/>
  <c r="R61" i="9"/>
  <c r="H61" i="9"/>
  <c r="I61" i="9" s="1"/>
  <c r="G61" i="9"/>
  <c r="S60" i="9"/>
  <c r="T60" i="9" s="1"/>
  <c r="R60" i="9"/>
  <c r="H60" i="9"/>
  <c r="I60" i="9" s="1"/>
  <c r="G60" i="9"/>
  <c r="H59" i="9"/>
  <c r="S59" i="9" s="1"/>
  <c r="F59" i="9"/>
  <c r="Q59" i="9" s="1"/>
  <c r="M56" i="9"/>
  <c r="B56" i="9"/>
  <c r="Q55" i="9"/>
  <c r="S55" i="9" s="1"/>
  <c r="P55" i="9"/>
  <c r="P124" i="9" s="1"/>
  <c r="O55" i="9"/>
  <c r="O124" i="9" s="1"/>
  <c r="N55" i="9"/>
  <c r="N57" i="9" s="1"/>
  <c r="F55" i="9"/>
  <c r="F124" i="9" s="1"/>
  <c r="E55" i="9"/>
  <c r="E124" i="9" s="1"/>
  <c r="D55" i="9"/>
  <c r="D124" i="9" s="1"/>
  <c r="C55" i="9"/>
  <c r="C57" i="9" s="1"/>
  <c r="S54" i="9"/>
  <c r="T54" i="9" s="1"/>
  <c r="R54" i="9"/>
  <c r="H54" i="9"/>
  <c r="I54" i="9" s="1"/>
  <c r="G54" i="9"/>
  <c r="S53" i="9"/>
  <c r="T53" i="9" s="1"/>
  <c r="R53" i="9"/>
  <c r="H53" i="9"/>
  <c r="I53" i="9" s="1"/>
  <c r="G53" i="9"/>
  <c r="S52" i="9"/>
  <c r="T52" i="9" s="1"/>
  <c r="R52" i="9"/>
  <c r="H52" i="9"/>
  <c r="I52" i="9" s="1"/>
  <c r="G52" i="9"/>
  <c r="S51" i="9"/>
  <c r="T51" i="9" s="1"/>
  <c r="R51" i="9"/>
  <c r="H51" i="9"/>
  <c r="I51" i="9" s="1"/>
  <c r="G51" i="9"/>
  <c r="S50" i="9"/>
  <c r="T50" i="9" s="1"/>
  <c r="R50" i="9"/>
  <c r="H50" i="9"/>
  <c r="I50" i="9" s="1"/>
  <c r="G50" i="9"/>
  <c r="S49" i="9"/>
  <c r="T49" i="9" s="1"/>
  <c r="R49" i="9"/>
  <c r="H49" i="9"/>
  <c r="I49" i="9" s="1"/>
  <c r="G49" i="9"/>
  <c r="H48" i="9"/>
  <c r="S48" i="9" s="1"/>
  <c r="F48" i="9"/>
  <c r="F131" i="9" s="1"/>
  <c r="F144" i="9" s="1"/>
  <c r="M45" i="9"/>
  <c r="B45" i="9"/>
  <c r="P123" i="9"/>
  <c r="O44" i="9"/>
  <c r="O123" i="9" s="1"/>
  <c r="N44" i="9"/>
  <c r="N123" i="9" s="1"/>
  <c r="F44" i="9"/>
  <c r="E44" i="9"/>
  <c r="E123" i="9" s="1"/>
  <c r="D44" i="9"/>
  <c r="D123" i="9" s="1"/>
  <c r="C44" i="9"/>
  <c r="C123" i="9" s="1"/>
  <c r="S43" i="9"/>
  <c r="T43" i="9" s="1"/>
  <c r="R43" i="9"/>
  <c r="H43" i="9"/>
  <c r="I43" i="9" s="1"/>
  <c r="G43" i="9"/>
  <c r="S42" i="9"/>
  <c r="T42" i="9" s="1"/>
  <c r="R42" i="9"/>
  <c r="H42" i="9"/>
  <c r="I42" i="9" s="1"/>
  <c r="G42" i="9"/>
  <c r="S41" i="9"/>
  <c r="T41" i="9" s="1"/>
  <c r="R41" i="9"/>
  <c r="H41" i="9"/>
  <c r="I41" i="9" s="1"/>
  <c r="G41" i="9"/>
  <c r="S40" i="9"/>
  <c r="T40" i="9" s="1"/>
  <c r="R40" i="9"/>
  <c r="H40" i="9"/>
  <c r="I40" i="9" s="1"/>
  <c r="G40" i="9"/>
  <c r="S39" i="9"/>
  <c r="T39" i="9" s="1"/>
  <c r="R39" i="9"/>
  <c r="H39" i="9"/>
  <c r="I39" i="9" s="1"/>
  <c r="G39" i="9"/>
  <c r="S38" i="9"/>
  <c r="T38" i="9" s="1"/>
  <c r="R38" i="9"/>
  <c r="H38" i="9"/>
  <c r="I38" i="9" s="1"/>
  <c r="G38" i="9"/>
  <c r="H37" i="9"/>
  <c r="S37" i="9" s="1"/>
  <c r="F37" i="9"/>
  <c r="Q37" i="9" s="1"/>
  <c r="M35" i="9"/>
  <c r="M34" i="9"/>
  <c r="B34" i="9"/>
  <c r="Q33" i="9"/>
  <c r="Q34" i="9" s="1"/>
  <c r="P33" i="9"/>
  <c r="P122" i="9" s="1"/>
  <c r="O33" i="9"/>
  <c r="O122" i="9" s="1"/>
  <c r="N33" i="9"/>
  <c r="N35" i="9" s="1"/>
  <c r="F33" i="9"/>
  <c r="E33" i="9"/>
  <c r="E122" i="9" s="1"/>
  <c r="D33" i="9"/>
  <c r="D122" i="9" s="1"/>
  <c r="C33" i="9"/>
  <c r="S32" i="9"/>
  <c r="T32" i="9" s="1"/>
  <c r="R32" i="9"/>
  <c r="H32" i="9"/>
  <c r="I32" i="9" s="1"/>
  <c r="G32" i="9"/>
  <c r="S31" i="9"/>
  <c r="T31" i="9" s="1"/>
  <c r="R31" i="9"/>
  <c r="H31" i="9"/>
  <c r="I31" i="9" s="1"/>
  <c r="G31" i="9"/>
  <c r="S30" i="9"/>
  <c r="T30" i="9" s="1"/>
  <c r="R30" i="9"/>
  <c r="H30" i="9"/>
  <c r="I30" i="9" s="1"/>
  <c r="G30" i="9"/>
  <c r="S29" i="9"/>
  <c r="T29" i="9" s="1"/>
  <c r="R29" i="9"/>
  <c r="H29" i="9"/>
  <c r="I29" i="9" s="1"/>
  <c r="G29" i="9"/>
  <c r="S28" i="9"/>
  <c r="T28" i="9" s="1"/>
  <c r="R28" i="9"/>
  <c r="H28" i="9"/>
  <c r="I28" i="9" s="1"/>
  <c r="G28" i="9"/>
  <c r="S27" i="9"/>
  <c r="T27" i="9" s="1"/>
  <c r="R27" i="9"/>
  <c r="H27" i="9"/>
  <c r="I27" i="9" s="1"/>
  <c r="G27" i="9"/>
  <c r="H26" i="9"/>
  <c r="S26" i="9" s="1"/>
  <c r="F26" i="9"/>
  <c r="Q26" i="9" s="1"/>
  <c r="M24" i="9"/>
  <c r="M23" i="9"/>
  <c r="B23" i="9"/>
  <c r="Q22" i="9"/>
  <c r="Q121" i="9" s="1"/>
  <c r="P85" i="14" s="1"/>
  <c r="P22" i="9"/>
  <c r="P121" i="9" s="1"/>
  <c r="O22" i="9"/>
  <c r="O121" i="9" s="1"/>
  <c r="N22" i="9"/>
  <c r="F22" i="9"/>
  <c r="F121" i="9" s="1"/>
  <c r="E22" i="9"/>
  <c r="E121" i="9" s="1"/>
  <c r="D22" i="9"/>
  <c r="D121" i="9" s="1"/>
  <c r="C22" i="9"/>
  <c r="C24" i="9" s="1"/>
  <c r="S21" i="9"/>
  <c r="T21" i="9" s="1"/>
  <c r="R21" i="9"/>
  <c r="H21" i="9"/>
  <c r="I21" i="9" s="1"/>
  <c r="G21" i="9"/>
  <c r="S20" i="9"/>
  <c r="T20" i="9" s="1"/>
  <c r="R20" i="9"/>
  <c r="H20" i="9"/>
  <c r="I20" i="9" s="1"/>
  <c r="G20" i="9"/>
  <c r="S19" i="9"/>
  <c r="T19" i="9" s="1"/>
  <c r="R19" i="9"/>
  <c r="H19" i="9"/>
  <c r="I19" i="9" s="1"/>
  <c r="G19" i="9"/>
  <c r="S18" i="9"/>
  <c r="T18" i="9" s="1"/>
  <c r="R18" i="9"/>
  <c r="H18" i="9"/>
  <c r="I18" i="9" s="1"/>
  <c r="G18" i="9"/>
  <c r="S17" i="9"/>
  <c r="T17" i="9" s="1"/>
  <c r="R17" i="9"/>
  <c r="H17" i="9"/>
  <c r="I17" i="9" s="1"/>
  <c r="G17" i="9"/>
  <c r="S16" i="9"/>
  <c r="T16" i="9" s="1"/>
  <c r="R16" i="9"/>
  <c r="H16" i="9"/>
  <c r="I16" i="9" s="1"/>
  <c r="G16" i="9"/>
  <c r="H15" i="9"/>
  <c r="S15" i="9" s="1"/>
  <c r="F15" i="9"/>
  <c r="Q15" i="9" s="1"/>
  <c r="M13" i="9"/>
  <c r="M12" i="9"/>
  <c r="Q11" i="9"/>
  <c r="Q12" i="9" s="1"/>
  <c r="P11" i="9"/>
  <c r="P120" i="9" s="1"/>
  <c r="O11" i="9"/>
  <c r="O120" i="9" s="1"/>
  <c r="N11" i="9"/>
  <c r="N120" i="9" s="1"/>
  <c r="F11" i="9"/>
  <c r="E11" i="9"/>
  <c r="E120" i="9" s="1"/>
  <c r="D11" i="9"/>
  <c r="D120" i="9" s="1"/>
  <c r="C11" i="9"/>
  <c r="S10" i="9"/>
  <c r="T10" i="9" s="1"/>
  <c r="R10" i="9"/>
  <c r="H10" i="9"/>
  <c r="I10" i="9" s="1"/>
  <c r="G10" i="9"/>
  <c r="S9" i="9"/>
  <c r="T9" i="9" s="1"/>
  <c r="R9" i="9"/>
  <c r="H9" i="9"/>
  <c r="I9" i="9" s="1"/>
  <c r="G9" i="9"/>
  <c r="S8" i="9"/>
  <c r="T8" i="9" s="1"/>
  <c r="R8" i="9"/>
  <c r="H8" i="9"/>
  <c r="I8" i="9" s="1"/>
  <c r="G8" i="9"/>
  <c r="S7" i="9"/>
  <c r="T7" i="9" s="1"/>
  <c r="R7" i="9"/>
  <c r="H7" i="9"/>
  <c r="I7" i="9" s="1"/>
  <c r="G7" i="9"/>
  <c r="S6" i="9"/>
  <c r="T6" i="9" s="1"/>
  <c r="R6" i="9"/>
  <c r="H6" i="9"/>
  <c r="I6" i="9" s="1"/>
  <c r="G6" i="9"/>
  <c r="S5" i="9"/>
  <c r="T5" i="9" s="1"/>
  <c r="R5" i="9"/>
  <c r="H5" i="9"/>
  <c r="I5" i="9" s="1"/>
  <c r="G5" i="9"/>
  <c r="H4" i="9"/>
  <c r="G304" i="15" s="1"/>
  <c r="F4" i="9"/>
  <c r="Q4" i="9" s="1"/>
  <c r="F123" i="9" l="1"/>
  <c r="H123" i="9" s="1"/>
  <c r="F34" i="9"/>
  <c r="H34" i="9" s="1"/>
  <c r="I34" i="9" s="1"/>
  <c r="F122" i="9"/>
  <c r="G85" i="13" s="1"/>
  <c r="H77" i="9"/>
  <c r="N122" i="9"/>
  <c r="C120" i="9"/>
  <c r="C13" i="9"/>
  <c r="H136" i="9"/>
  <c r="AJ85" i="13"/>
  <c r="F137" i="9"/>
  <c r="Q48" i="9"/>
  <c r="Q131" i="9" s="1"/>
  <c r="Q144" i="9" s="1"/>
  <c r="G319" i="15"/>
  <c r="G333" i="15"/>
  <c r="G326" i="15"/>
  <c r="E44" i="19"/>
  <c r="E303" i="15"/>
  <c r="S4" i="9"/>
  <c r="G45" i="19" s="1"/>
  <c r="T99" i="9"/>
  <c r="T110" i="9"/>
  <c r="S33" i="9"/>
  <c r="H110" i="9"/>
  <c r="G88" i="9"/>
  <c r="G135" i="9" s="1"/>
  <c r="I77" i="9"/>
  <c r="E138" i="9"/>
  <c r="E147" i="9" s="1"/>
  <c r="E125" i="9"/>
  <c r="E146" i="9" s="1"/>
  <c r="N79" i="9"/>
  <c r="R44" i="9"/>
  <c r="R123" i="9" s="1"/>
  <c r="S44" i="9"/>
  <c r="T22" i="9"/>
  <c r="T11" i="9"/>
  <c r="I110" i="9"/>
  <c r="G77" i="9"/>
  <c r="G134" i="9" s="1"/>
  <c r="I66" i="9"/>
  <c r="G55" i="9"/>
  <c r="G124" i="9" s="1"/>
  <c r="I55" i="9"/>
  <c r="C46" i="9"/>
  <c r="I33" i="9"/>
  <c r="H22" i="9"/>
  <c r="N135" i="9"/>
  <c r="R88" i="9"/>
  <c r="R135" i="9" s="1"/>
  <c r="S88" i="9"/>
  <c r="Q89" i="9"/>
  <c r="S89" i="9" s="1"/>
  <c r="T89" i="9" s="1"/>
  <c r="Q56" i="9"/>
  <c r="R56" i="9" s="1"/>
  <c r="Q45" i="9"/>
  <c r="R45" i="9" s="1"/>
  <c r="R34" i="9"/>
  <c r="S34" i="9"/>
  <c r="T34" i="9" s="1"/>
  <c r="R22" i="9"/>
  <c r="R121" i="9" s="1"/>
  <c r="Q23" i="9"/>
  <c r="N13" i="9"/>
  <c r="F111" i="9"/>
  <c r="H111" i="9" s="1"/>
  <c r="I111" i="9" s="1"/>
  <c r="F100" i="9"/>
  <c r="H100" i="9" s="1"/>
  <c r="I100" i="9" s="1"/>
  <c r="G99" i="9"/>
  <c r="G136" i="9" s="1"/>
  <c r="H99" i="9"/>
  <c r="F89" i="9"/>
  <c r="H89" i="9" s="1"/>
  <c r="I89" i="9" s="1"/>
  <c r="F133" i="9"/>
  <c r="AJ47" i="13" s="1"/>
  <c r="P66" i="13"/>
  <c r="F56" i="9"/>
  <c r="I44" i="9"/>
  <c r="F45" i="9"/>
  <c r="G44" i="9"/>
  <c r="G123" i="9" s="1"/>
  <c r="F23" i="9"/>
  <c r="G23" i="9" s="1"/>
  <c r="H11" i="9"/>
  <c r="R12" i="9"/>
  <c r="S12" i="9"/>
  <c r="T12" i="9" s="1"/>
  <c r="C122" i="9"/>
  <c r="C35" i="9"/>
  <c r="G11" i="9"/>
  <c r="G120" i="9" s="1"/>
  <c r="F12" i="9"/>
  <c r="F120" i="9"/>
  <c r="P47" i="13" s="1"/>
  <c r="Q122" i="9"/>
  <c r="R33" i="9"/>
  <c r="R122" i="9" s="1"/>
  <c r="Q124" i="9"/>
  <c r="P66" i="14" s="1"/>
  <c r="R55" i="9"/>
  <c r="R124" i="9" s="1"/>
  <c r="O138" i="9"/>
  <c r="O147" i="9" s="1"/>
  <c r="I99" i="9"/>
  <c r="Q137" i="9"/>
  <c r="AJ66" i="14" s="1"/>
  <c r="Q111" i="9"/>
  <c r="S110" i="9"/>
  <c r="R110" i="9"/>
  <c r="R137" i="9" s="1"/>
  <c r="T66" i="9"/>
  <c r="P138" i="9"/>
  <c r="P147" i="9" s="1"/>
  <c r="I88" i="9"/>
  <c r="I11" i="9"/>
  <c r="Q133" i="9"/>
  <c r="AJ47" i="14" s="1"/>
  <c r="Q67" i="9"/>
  <c r="S66" i="9"/>
  <c r="R66" i="9"/>
  <c r="R133" i="9" s="1"/>
  <c r="C133" i="9"/>
  <c r="G66" i="9"/>
  <c r="G133" i="9" s="1"/>
  <c r="S78" i="9"/>
  <c r="T78" i="9" s="1"/>
  <c r="T44" i="9"/>
  <c r="O125" i="9"/>
  <c r="O146" i="9" s="1"/>
  <c r="G33" i="9"/>
  <c r="G122" i="9" s="1"/>
  <c r="P125" i="9"/>
  <c r="P146" i="9" s="1"/>
  <c r="I22" i="9"/>
  <c r="P85" i="13"/>
  <c r="G22" i="9"/>
  <c r="G121" i="9" s="1"/>
  <c r="D138" i="9"/>
  <c r="D147" i="9" s="1"/>
  <c r="G67" i="9"/>
  <c r="T88" i="9"/>
  <c r="T33" i="9"/>
  <c r="T55" i="9"/>
  <c r="T77" i="9"/>
  <c r="Q100" i="9"/>
  <c r="S99" i="9"/>
  <c r="Q136" i="9"/>
  <c r="AJ85" i="14" s="1"/>
  <c r="R99" i="9"/>
  <c r="R136" i="9" s="1"/>
  <c r="Q120" i="9"/>
  <c r="P47" i="14" s="1"/>
  <c r="S11" i="9"/>
  <c r="D125" i="9"/>
  <c r="D146" i="9" s="1"/>
  <c r="R11" i="9"/>
  <c r="R120" i="9" s="1"/>
  <c r="N24" i="9"/>
  <c r="N121" i="9"/>
  <c r="S121" i="9" s="1"/>
  <c r="S22" i="9"/>
  <c r="F118" i="9"/>
  <c r="H44" i="9"/>
  <c r="N68" i="9"/>
  <c r="F78" i="9"/>
  <c r="H88" i="9"/>
  <c r="Q123" i="9"/>
  <c r="C135" i="9"/>
  <c r="H135" i="9" s="1"/>
  <c r="C79" i="9"/>
  <c r="H55" i="9"/>
  <c r="C121" i="9"/>
  <c r="Q135" i="9"/>
  <c r="AA66" i="14" s="1"/>
  <c r="N124" i="9"/>
  <c r="N137" i="9"/>
  <c r="H33" i="9"/>
  <c r="N46" i="9"/>
  <c r="H66" i="9"/>
  <c r="R77" i="9"/>
  <c r="R134" i="9" s="1"/>
  <c r="C124" i="9"/>
  <c r="Q134" i="9"/>
  <c r="C137" i="9"/>
  <c r="S77" i="9"/>
  <c r="C101" i="9"/>
  <c r="F134" i="9"/>
  <c r="N136" i="9"/>
  <c r="G34" i="9" l="1"/>
  <c r="G66" i="13"/>
  <c r="H137" i="9"/>
  <c r="AJ66" i="13"/>
  <c r="S134" i="9"/>
  <c r="AA85" i="14"/>
  <c r="S122" i="9"/>
  <c r="G85" i="14"/>
  <c r="H134" i="9"/>
  <c r="AA85" i="13"/>
  <c r="S123" i="9"/>
  <c r="G66" i="14"/>
  <c r="Q118" i="9"/>
  <c r="R89" i="9"/>
  <c r="E148" i="9"/>
  <c r="H124" i="9"/>
  <c r="E318" i="15"/>
  <c r="E332" i="15"/>
  <c r="E325" i="15"/>
  <c r="S56" i="9"/>
  <c r="T56" i="9" s="1"/>
  <c r="G111" i="9"/>
  <c r="G89" i="9"/>
  <c r="N138" i="9"/>
  <c r="N147" i="9" s="1"/>
  <c r="S135" i="9"/>
  <c r="H133" i="9"/>
  <c r="H122" i="9"/>
  <c r="S136" i="9"/>
  <c r="O148" i="9"/>
  <c r="S124" i="9"/>
  <c r="S45" i="9"/>
  <c r="T45" i="9" s="1"/>
  <c r="R23" i="9"/>
  <c r="S23" i="9"/>
  <c r="T23" i="9" s="1"/>
  <c r="G100" i="9"/>
  <c r="H56" i="9"/>
  <c r="I56" i="9" s="1"/>
  <c r="G56" i="9"/>
  <c r="H45" i="9"/>
  <c r="I45" i="9" s="1"/>
  <c r="G45" i="9"/>
  <c r="C125" i="9"/>
  <c r="C146" i="9" s="1"/>
  <c r="H23" i="9"/>
  <c r="I23" i="9" s="1"/>
  <c r="H12" i="9"/>
  <c r="I12" i="9" s="1"/>
  <c r="G12" i="9"/>
  <c r="D148" i="9"/>
  <c r="H121" i="9"/>
  <c r="Q138" i="9"/>
  <c r="S133" i="9"/>
  <c r="F138" i="9"/>
  <c r="P148" i="9"/>
  <c r="H78" i="9"/>
  <c r="I78" i="9" s="1"/>
  <c r="G78" i="9"/>
  <c r="S67" i="9"/>
  <c r="T67" i="9" s="1"/>
  <c r="R67" i="9"/>
  <c r="Q125" i="9"/>
  <c r="S120" i="9"/>
  <c r="S111" i="9"/>
  <c r="T111" i="9" s="1"/>
  <c r="R111" i="9"/>
  <c r="F125" i="9"/>
  <c r="H120" i="9"/>
  <c r="S100" i="9"/>
  <c r="T100" i="9" s="1"/>
  <c r="R100" i="9"/>
  <c r="N125" i="9"/>
  <c r="N146" i="9" s="1"/>
  <c r="C138" i="9"/>
  <c r="C147" i="9" s="1"/>
  <c r="S137" i="9"/>
  <c r="AA47" i="13" l="1"/>
  <c r="N148" i="9"/>
  <c r="C148" i="9"/>
  <c r="H138" i="9"/>
  <c r="G138" i="9"/>
  <c r="F147" i="9"/>
  <c r="F139" i="9"/>
  <c r="Q146" i="9"/>
  <c r="Q126" i="9"/>
  <c r="S125" i="9"/>
  <c r="R125" i="9"/>
  <c r="Q139" i="9"/>
  <c r="S138" i="9"/>
  <c r="R138" i="9"/>
  <c r="Q147" i="9"/>
  <c r="F146" i="9"/>
  <c r="H125" i="9"/>
  <c r="G125" i="9"/>
  <c r="F126" i="9"/>
  <c r="H126" i="9" l="1"/>
  <c r="G126" i="9"/>
  <c r="F148" i="9"/>
  <c r="H146" i="9"/>
  <c r="G146" i="9"/>
  <c r="S146" i="9"/>
  <c r="R146" i="9"/>
  <c r="Q148" i="9"/>
  <c r="S147" i="9"/>
  <c r="R147" i="9"/>
  <c r="H139" i="9"/>
  <c r="G139" i="9"/>
  <c r="S139" i="9"/>
  <c r="R139" i="9"/>
  <c r="S126" i="9"/>
  <c r="R126" i="9"/>
  <c r="H147" i="9"/>
  <c r="G147" i="9"/>
  <c r="S148" i="9" l="1"/>
  <c r="R148" i="9"/>
  <c r="H148" i="9"/>
  <c r="G148" i="9"/>
  <c r="B263" i="15" l="1"/>
  <c r="C132" i="15"/>
  <c r="N39" i="6" l="1"/>
  <c r="N38" i="6"/>
  <c r="N43" i="6"/>
  <c r="N41" i="6"/>
  <c r="G71" i="18" l="1"/>
  <c r="P48" i="18"/>
  <c r="P88" i="8" l="1"/>
  <c r="Q88" i="8"/>
  <c r="B293" i="15"/>
  <c r="B30" i="19"/>
  <c r="E37" i="19"/>
  <c r="D37" i="19"/>
  <c r="G265" i="15"/>
  <c r="F32" i="19" s="1"/>
  <c r="E292" i="15"/>
  <c r="E293" i="15" s="1"/>
  <c r="D292" i="15"/>
  <c r="C292" i="15"/>
  <c r="A293" i="15" s="1"/>
  <c r="G291" i="15"/>
  <c r="F291" i="15"/>
  <c r="G290" i="15"/>
  <c r="F290" i="15"/>
  <c r="F287" i="15"/>
  <c r="E285" i="15"/>
  <c r="G285" i="15" s="1"/>
  <c r="D285" i="15"/>
  <c r="C285" i="15"/>
  <c r="G283" i="15"/>
  <c r="F283" i="15"/>
  <c r="F280" i="15"/>
  <c r="C280" i="15"/>
  <c r="E278" i="15"/>
  <c r="D278" i="15"/>
  <c r="C278" i="15"/>
  <c r="G276" i="15"/>
  <c r="F276" i="15"/>
  <c r="G275" i="15"/>
  <c r="F275" i="15"/>
  <c r="G274" i="15"/>
  <c r="F274" i="15"/>
  <c r="G273" i="15"/>
  <c r="F273" i="15"/>
  <c r="G272" i="15"/>
  <c r="F272" i="15"/>
  <c r="G271" i="15"/>
  <c r="F271" i="15"/>
  <c r="G270" i="15"/>
  <c r="F270" i="15"/>
  <c r="G269" i="15"/>
  <c r="F269" i="15"/>
  <c r="G268" i="15"/>
  <c r="F268" i="15"/>
  <c r="G48" i="18" l="1"/>
  <c r="G37" i="19"/>
  <c r="G278" i="15"/>
  <c r="F37" i="19"/>
  <c r="F285" i="15"/>
  <c r="E297" i="15"/>
  <c r="G297" i="15" s="1"/>
  <c r="D297" i="15"/>
  <c r="F293" i="15"/>
  <c r="G293" i="15"/>
  <c r="G280" i="15"/>
  <c r="G287" i="15"/>
  <c r="F278" i="15"/>
  <c r="F292" i="15"/>
  <c r="G292" i="15"/>
  <c r="C297" i="15"/>
  <c r="Q81" i="7"/>
  <c r="S81" i="7"/>
  <c r="R82" i="7"/>
  <c r="S82" i="7"/>
  <c r="R83" i="7"/>
  <c r="S83" i="7"/>
  <c r="R84" i="7"/>
  <c r="S84" i="7"/>
  <c r="R85" i="7"/>
  <c r="S85" i="7"/>
  <c r="R86" i="7"/>
  <c r="S86" i="7"/>
  <c r="R87" i="7"/>
  <c r="S87" i="7"/>
  <c r="N88" i="7"/>
  <c r="O88" i="7"/>
  <c r="P88" i="7"/>
  <c r="Q88" i="7"/>
  <c r="R88" i="7" s="1"/>
  <c r="M89" i="7"/>
  <c r="Q70" i="7"/>
  <c r="S70" i="7"/>
  <c r="R71" i="7"/>
  <c r="S71" i="7"/>
  <c r="R72" i="7"/>
  <c r="S72" i="7"/>
  <c r="R73" i="7"/>
  <c r="S73" i="7"/>
  <c r="R74" i="7"/>
  <c r="S74" i="7"/>
  <c r="R75" i="7"/>
  <c r="S75" i="7"/>
  <c r="R76" i="7"/>
  <c r="S76" i="7"/>
  <c r="N77" i="7"/>
  <c r="O77" i="7"/>
  <c r="P77" i="7"/>
  <c r="Q77" i="7"/>
  <c r="R77" i="7" s="1"/>
  <c r="M78" i="7"/>
  <c r="Q15" i="7"/>
  <c r="S15" i="7"/>
  <c r="R16" i="7"/>
  <c r="S16" i="7"/>
  <c r="R17" i="7"/>
  <c r="S17" i="7"/>
  <c r="R18" i="7"/>
  <c r="S18" i="7"/>
  <c r="R19" i="7"/>
  <c r="S19" i="7"/>
  <c r="R20" i="7"/>
  <c r="S20" i="7"/>
  <c r="R21" i="7"/>
  <c r="S21" i="7"/>
  <c r="N22" i="7"/>
  <c r="O22" i="7"/>
  <c r="P22" i="7"/>
  <c r="Q22" i="7"/>
  <c r="R22" i="7" s="1"/>
  <c r="M23" i="7"/>
  <c r="S145" i="8"/>
  <c r="H145" i="8"/>
  <c r="N139" i="8"/>
  <c r="M139" i="8"/>
  <c r="C139" i="8"/>
  <c r="B139" i="8"/>
  <c r="M137" i="8"/>
  <c r="B137" i="8"/>
  <c r="M136" i="8"/>
  <c r="B136" i="8"/>
  <c r="M135" i="8"/>
  <c r="B135" i="8"/>
  <c r="M134" i="8"/>
  <c r="B134" i="8"/>
  <c r="M133" i="8"/>
  <c r="B133" i="8"/>
  <c r="S132" i="8"/>
  <c r="H132" i="8"/>
  <c r="N126" i="8"/>
  <c r="M126" i="8"/>
  <c r="C126" i="8"/>
  <c r="B126" i="8"/>
  <c r="M124" i="8"/>
  <c r="B124" i="8"/>
  <c r="M123" i="8"/>
  <c r="B123" i="8"/>
  <c r="M122" i="8"/>
  <c r="B122" i="8"/>
  <c r="M121" i="8"/>
  <c r="B121" i="8"/>
  <c r="M120" i="8"/>
  <c r="B120" i="8"/>
  <c r="S119" i="8"/>
  <c r="H119" i="8"/>
  <c r="M111" i="8"/>
  <c r="B111" i="8"/>
  <c r="Q110" i="8"/>
  <c r="Q111" i="8" s="1"/>
  <c r="S111" i="8" s="1"/>
  <c r="T111" i="8" s="1"/>
  <c r="P110" i="8"/>
  <c r="P137" i="8" s="1"/>
  <c r="O110" i="8"/>
  <c r="O137" i="8" s="1"/>
  <c r="N110" i="8"/>
  <c r="F110" i="8"/>
  <c r="F111" i="8" s="1"/>
  <c r="G111" i="8" s="1"/>
  <c r="E110" i="8"/>
  <c r="E137" i="8" s="1"/>
  <c r="D110" i="8"/>
  <c r="D137" i="8" s="1"/>
  <c r="C110" i="8"/>
  <c r="C112" i="8" s="1"/>
  <c r="S109" i="8"/>
  <c r="T109" i="8" s="1"/>
  <c r="R109" i="8"/>
  <c r="H109" i="8"/>
  <c r="I109" i="8" s="1"/>
  <c r="G109" i="8"/>
  <c r="S108" i="8"/>
  <c r="T108" i="8" s="1"/>
  <c r="R108" i="8"/>
  <c r="H108" i="8"/>
  <c r="I108" i="8" s="1"/>
  <c r="G108" i="8"/>
  <c r="S107" i="8"/>
  <c r="T107" i="8" s="1"/>
  <c r="R107" i="8"/>
  <c r="H107" i="8"/>
  <c r="I107" i="8" s="1"/>
  <c r="G107" i="8"/>
  <c r="T106" i="8"/>
  <c r="R106" i="8"/>
  <c r="H106" i="8"/>
  <c r="I106" i="8" s="1"/>
  <c r="G106" i="8"/>
  <c r="S105" i="8"/>
  <c r="T105" i="8" s="1"/>
  <c r="R105" i="8"/>
  <c r="I105" i="8"/>
  <c r="G105" i="8"/>
  <c r="S104" i="8"/>
  <c r="T104" i="8" s="1"/>
  <c r="R104" i="8"/>
  <c r="H104" i="8"/>
  <c r="I104" i="8" s="1"/>
  <c r="G104" i="8"/>
  <c r="H103" i="8"/>
  <c r="S103" i="8" s="1"/>
  <c r="F103" i="8"/>
  <c r="Q103" i="8" s="1"/>
  <c r="M100" i="8"/>
  <c r="B100" i="8"/>
  <c r="Q99" i="8"/>
  <c r="Q100" i="8" s="1"/>
  <c r="S100" i="8" s="1"/>
  <c r="T100" i="8" s="1"/>
  <c r="P99" i="8"/>
  <c r="P136" i="8" s="1"/>
  <c r="O99" i="8"/>
  <c r="O136" i="8" s="1"/>
  <c r="N99" i="8"/>
  <c r="N136" i="8" s="1"/>
  <c r="F99" i="8"/>
  <c r="F100" i="8" s="1"/>
  <c r="G100" i="8" s="1"/>
  <c r="E99" i="8"/>
  <c r="E136" i="8" s="1"/>
  <c r="D99" i="8"/>
  <c r="D136" i="8" s="1"/>
  <c r="C99" i="8"/>
  <c r="C101" i="8" s="1"/>
  <c r="S98" i="8"/>
  <c r="T98" i="8" s="1"/>
  <c r="R98" i="8"/>
  <c r="H98" i="8"/>
  <c r="I98" i="8" s="1"/>
  <c r="G98" i="8"/>
  <c r="S97" i="8"/>
  <c r="T97" i="8" s="1"/>
  <c r="R97" i="8"/>
  <c r="H97" i="8"/>
  <c r="I97" i="8" s="1"/>
  <c r="G97" i="8"/>
  <c r="S96" i="8"/>
  <c r="T96" i="8" s="1"/>
  <c r="R96" i="8"/>
  <c r="H96" i="8"/>
  <c r="I96" i="8" s="1"/>
  <c r="G96" i="8"/>
  <c r="S95" i="8"/>
  <c r="T95" i="8" s="1"/>
  <c r="R95" i="8"/>
  <c r="H95" i="8"/>
  <c r="I95" i="8" s="1"/>
  <c r="G95" i="8"/>
  <c r="S94" i="8"/>
  <c r="T94" i="8" s="1"/>
  <c r="R94" i="8"/>
  <c r="H94" i="8"/>
  <c r="I94" i="8" s="1"/>
  <c r="G94" i="8"/>
  <c r="S93" i="8"/>
  <c r="T93" i="8" s="1"/>
  <c r="R93" i="8"/>
  <c r="H93" i="8"/>
  <c r="I93" i="8" s="1"/>
  <c r="G93" i="8"/>
  <c r="H92" i="8"/>
  <c r="S92" i="8" s="1"/>
  <c r="F92" i="8"/>
  <c r="Q92" i="8" s="1"/>
  <c r="M89" i="8"/>
  <c r="B89" i="8"/>
  <c r="Q89" i="8"/>
  <c r="P135" i="8"/>
  <c r="O88" i="8"/>
  <c r="O135" i="8" s="1"/>
  <c r="N88" i="8"/>
  <c r="F88" i="8"/>
  <c r="F89" i="8" s="1"/>
  <c r="E88" i="8"/>
  <c r="E135" i="8" s="1"/>
  <c r="D88" i="8"/>
  <c r="D135" i="8" s="1"/>
  <c r="C88" i="8"/>
  <c r="C90" i="8" s="1"/>
  <c r="S87" i="8"/>
  <c r="T87" i="8" s="1"/>
  <c r="R87" i="8"/>
  <c r="H87" i="8"/>
  <c r="I87" i="8" s="1"/>
  <c r="G87" i="8"/>
  <c r="S86" i="8"/>
  <c r="T86" i="8" s="1"/>
  <c r="R86" i="8"/>
  <c r="H86" i="8"/>
  <c r="I86" i="8" s="1"/>
  <c r="G86" i="8"/>
  <c r="S85" i="8"/>
  <c r="T85" i="8" s="1"/>
  <c r="R85" i="8"/>
  <c r="H85" i="8"/>
  <c r="I85" i="8" s="1"/>
  <c r="G85" i="8"/>
  <c r="S84" i="8"/>
  <c r="T84" i="8" s="1"/>
  <c r="R84" i="8"/>
  <c r="H84" i="8"/>
  <c r="I84" i="8" s="1"/>
  <c r="G84" i="8"/>
  <c r="S83" i="8"/>
  <c r="T83" i="8" s="1"/>
  <c r="R83" i="8"/>
  <c r="H83" i="8"/>
  <c r="I83" i="8" s="1"/>
  <c r="G83" i="8"/>
  <c r="S82" i="8"/>
  <c r="T82" i="8" s="1"/>
  <c r="R82" i="8"/>
  <c r="H82" i="8"/>
  <c r="I82" i="8" s="1"/>
  <c r="G82" i="8"/>
  <c r="H81" i="8"/>
  <c r="S81" i="8" s="1"/>
  <c r="F81" i="8"/>
  <c r="Q81" i="8" s="1"/>
  <c r="M78" i="8"/>
  <c r="B78" i="8"/>
  <c r="Q77" i="8"/>
  <c r="Q134" i="8" s="1"/>
  <c r="AA84" i="14" s="1"/>
  <c r="P77" i="8"/>
  <c r="P134" i="8" s="1"/>
  <c r="O77" i="8"/>
  <c r="O134" i="8" s="1"/>
  <c r="N77" i="8"/>
  <c r="N134" i="8" s="1"/>
  <c r="F77" i="8"/>
  <c r="F134" i="8" s="1"/>
  <c r="AA84" i="13" s="1"/>
  <c r="E77" i="8"/>
  <c r="E134" i="8" s="1"/>
  <c r="D77" i="8"/>
  <c r="D134" i="8" s="1"/>
  <c r="C77" i="8"/>
  <c r="C79" i="8" s="1"/>
  <c r="S76" i="8"/>
  <c r="T76" i="8" s="1"/>
  <c r="R76" i="8"/>
  <c r="H76" i="8"/>
  <c r="I76" i="8" s="1"/>
  <c r="G76" i="8"/>
  <c r="S75" i="8"/>
  <c r="T75" i="8" s="1"/>
  <c r="R75" i="8"/>
  <c r="H75" i="8"/>
  <c r="I75" i="8" s="1"/>
  <c r="G75" i="8"/>
  <c r="S74" i="8"/>
  <c r="T74" i="8" s="1"/>
  <c r="R74" i="8"/>
  <c r="H74" i="8"/>
  <c r="I74" i="8" s="1"/>
  <c r="G74" i="8"/>
  <c r="S73" i="8"/>
  <c r="T73" i="8" s="1"/>
  <c r="R73" i="8"/>
  <c r="H73" i="8"/>
  <c r="I73" i="8" s="1"/>
  <c r="G73" i="8"/>
  <c r="S72" i="8"/>
  <c r="T72" i="8" s="1"/>
  <c r="R72" i="8"/>
  <c r="H72" i="8"/>
  <c r="I72" i="8" s="1"/>
  <c r="G72" i="8"/>
  <c r="S71" i="8"/>
  <c r="T71" i="8" s="1"/>
  <c r="R71" i="8"/>
  <c r="H71" i="8"/>
  <c r="I71" i="8" s="1"/>
  <c r="G71" i="8"/>
  <c r="H70" i="8"/>
  <c r="S70" i="8" s="1"/>
  <c r="F70" i="8"/>
  <c r="Q70" i="8" s="1"/>
  <c r="M67" i="8"/>
  <c r="B67" i="8"/>
  <c r="Q66" i="8"/>
  <c r="Q67" i="8" s="1"/>
  <c r="P66" i="8"/>
  <c r="P133" i="8" s="1"/>
  <c r="O66" i="8"/>
  <c r="O133" i="8" s="1"/>
  <c r="N66" i="8"/>
  <c r="F66" i="8"/>
  <c r="F67" i="8" s="1"/>
  <c r="E66" i="8"/>
  <c r="E133" i="8" s="1"/>
  <c r="D66" i="8"/>
  <c r="D133" i="8" s="1"/>
  <c r="C66" i="8"/>
  <c r="C133" i="8" s="1"/>
  <c r="S65" i="8"/>
  <c r="T65" i="8" s="1"/>
  <c r="R65" i="8"/>
  <c r="H65" i="8"/>
  <c r="I65" i="8" s="1"/>
  <c r="G65" i="8"/>
  <c r="S64" i="8"/>
  <c r="T64" i="8" s="1"/>
  <c r="R64" i="8"/>
  <c r="H64" i="8"/>
  <c r="I64" i="8" s="1"/>
  <c r="G64" i="8"/>
  <c r="S63" i="8"/>
  <c r="T63" i="8" s="1"/>
  <c r="R63" i="8"/>
  <c r="H63" i="8"/>
  <c r="I63" i="8" s="1"/>
  <c r="G63" i="8"/>
  <c r="S62" i="8"/>
  <c r="T62" i="8" s="1"/>
  <c r="R62" i="8"/>
  <c r="H62" i="8"/>
  <c r="I62" i="8" s="1"/>
  <c r="G62" i="8"/>
  <c r="S61" i="8"/>
  <c r="T61" i="8" s="1"/>
  <c r="R61" i="8"/>
  <c r="H61" i="8"/>
  <c r="I61" i="8" s="1"/>
  <c r="G61" i="8"/>
  <c r="S60" i="8"/>
  <c r="T60" i="8" s="1"/>
  <c r="R60" i="8"/>
  <c r="H60" i="8"/>
  <c r="I60" i="8" s="1"/>
  <c r="G60" i="8"/>
  <c r="H59" i="8"/>
  <c r="S59" i="8" s="1"/>
  <c r="F59" i="8"/>
  <c r="Q59" i="8" s="1"/>
  <c r="M56" i="8"/>
  <c r="B56" i="8"/>
  <c r="Q55" i="8"/>
  <c r="R55" i="8" s="1"/>
  <c r="R124" i="8" s="1"/>
  <c r="P55" i="8"/>
  <c r="P124" i="8" s="1"/>
  <c r="O55" i="8"/>
  <c r="O124" i="8" s="1"/>
  <c r="N55" i="8"/>
  <c r="N124" i="8" s="1"/>
  <c r="F55" i="8"/>
  <c r="F56" i="8" s="1"/>
  <c r="G56" i="8" s="1"/>
  <c r="E55" i="8"/>
  <c r="E124" i="8" s="1"/>
  <c r="D55" i="8"/>
  <c r="D124" i="8" s="1"/>
  <c r="C55" i="8"/>
  <c r="C57" i="8" s="1"/>
  <c r="S54" i="8"/>
  <c r="T54" i="8" s="1"/>
  <c r="R54" i="8"/>
  <c r="H54" i="8"/>
  <c r="I54" i="8" s="1"/>
  <c r="G54" i="8"/>
  <c r="S53" i="8"/>
  <c r="T53" i="8" s="1"/>
  <c r="R53" i="8"/>
  <c r="H53" i="8"/>
  <c r="I53" i="8" s="1"/>
  <c r="G53" i="8"/>
  <c r="S52" i="8"/>
  <c r="T52" i="8" s="1"/>
  <c r="R52" i="8"/>
  <c r="H52" i="8"/>
  <c r="I52" i="8" s="1"/>
  <c r="G52" i="8"/>
  <c r="S51" i="8"/>
  <c r="T51" i="8" s="1"/>
  <c r="R51" i="8"/>
  <c r="H51" i="8"/>
  <c r="I51" i="8" s="1"/>
  <c r="G51" i="8"/>
  <c r="S50" i="8"/>
  <c r="T50" i="8" s="1"/>
  <c r="R50" i="8"/>
  <c r="H50" i="8"/>
  <c r="I50" i="8" s="1"/>
  <c r="G50" i="8"/>
  <c r="S49" i="8"/>
  <c r="T49" i="8" s="1"/>
  <c r="R49" i="8"/>
  <c r="H49" i="8"/>
  <c r="I49" i="8" s="1"/>
  <c r="G49" i="8"/>
  <c r="H48" i="8"/>
  <c r="S48" i="8" s="1"/>
  <c r="F48" i="8"/>
  <c r="Q48" i="8" s="1"/>
  <c r="M45" i="8"/>
  <c r="B45" i="8"/>
  <c r="Q44" i="8"/>
  <c r="P44" i="8"/>
  <c r="P123" i="8" s="1"/>
  <c r="O44" i="8"/>
  <c r="O123" i="8" s="1"/>
  <c r="N44" i="8"/>
  <c r="F44" i="8"/>
  <c r="F45" i="8" s="1"/>
  <c r="E44" i="8"/>
  <c r="E123" i="8" s="1"/>
  <c r="D44" i="8"/>
  <c r="D123" i="8" s="1"/>
  <c r="C44" i="8"/>
  <c r="C46" i="8" s="1"/>
  <c r="S43" i="8"/>
  <c r="T43" i="8" s="1"/>
  <c r="R43" i="8"/>
  <c r="H43" i="8"/>
  <c r="I43" i="8" s="1"/>
  <c r="G43" i="8"/>
  <c r="S42" i="8"/>
  <c r="T42" i="8" s="1"/>
  <c r="R42" i="8"/>
  <c r="H42" i="8"/>
  <c r="I42" i="8" s="1"/>
  <c r="G42" i="8"/>
  <c r="S41" i="8"/>
  <c r="T41" i="8" s="1"/>
  <c r="R41" i="8"/>
  <c r="H41" i="8"/>
  <c r="I41" i="8" s="1"/>
  <c r="G41" i="8"/>
  <c r="S40" i="8"/>
  <c r="T40" i="8" s="1"/>
  <c r="R40" i="8"/>
  <c r="H40" i="8"/>
  <c r="I40" i="8" s="1"/>
  <c r="G40" i="8"/>
  <c r="S39" i="8"/>
  <c r="T39" i="8" s="1"/>
  <c r="R39" i="8"/>
  <c r="H39" i="8"/>
  <c r="I39" i="8" s="1"/>
  <c r="G39" i="8"/>
  <c r="S38" i="8"/>
  <c r="T38" i="8" s="1"/>
  <c r="R38" i="8"/>
  <c r="H38" i="8"/>
  <c r="I38" i="8" s="1"/>
  <c r="G38" i="8"/>
  <c r="H37" i="8"/>
  <c r="S37" i="8" s="1"/>
  <c r="F37" i="8"/>
  <c r="Q37" i="8" s="1"/>
  <c r="M35" i="8"/>
  <c r="B35" i="8"/>
  <c r="M34" i="8"/>
  <c r="B34" i="8"/>
  <c r="Q33" i="8"/>
  <c r="P33" i="8"/>
  <c r="P122" i="8" s="1"/>
  <c r="O33" i="8"/>
  <c r="O122" i="8" s="1"/>
  <c r="N33" i="8"/>
  <c r="N122" i="8" s="1"/>
  <c r="F33" i="8"/>
  <c r="E33" i="8"/>
  <c r="E122" i="8" s="1"/>
  <c r="D33" i="8"/>
  <c r="D122" i="8" s="1"/>
  <c r="C33" i="8"/>
  <c r="S32" i="8"/>
  <c r="T32" i="8" s="1"/>
  <c r="R32" i="8"/>
  <c r="H32" i="8"/>
  <c r="I32" i="8" s="1"/>
  <c r="G32" i="8"/>
  <c r="S31" i="8"/>
  <c r="T31" i="8" s="1"/>
  <c r="R31" i="8"/>
  <c r="H31" i="8"/>
  <c r="I31" i="8" s="1"/>
  <c r="G31" i="8"/>
  <c r="S30" i="8"/>
  <c r="T30" i="8" s="1"/>
  <c r="R30" i="8"/>
  <c r="H30" i="8"/>
  <c r="I30" i="8" s="1"/>
  <c r="G30" i="8"/>
  <c r="S29" i="8"/>
  <c r="T29" i="8" s="1"/>
  <c r="R29" i="8"/>
  <c r="H29" i="8"/>
  <c r="I29" i="8" s="1"/>
  <c r="G29" i="8"/>
  <c r="S28" i="8"/>
  <c r="T28" i="8" s="1"/>
  <c r="R28" i="8"/>
  <c r="H28" i="8"/>
  <c r="I28" i="8" s="1"/>
  <c r="G28" i="8"/>
  <c r="S27" i="8"/>
  <c r="T27" i="8" s="1"/>
  <c r="R27" i="8"/>
  <c r="H27" i="8"/>
  <c r="I27" i="8" s="1"/>
  <c r="G27" i="8"/>
  <c r="H26" i="8"/>
  <c r="S26" i="8" s="1"/>
  <c r="F26" i="8"/>
  <c r="Q26" i="8" s="1"/>
  <c r="M24" i="8"/>
  <c r="M23" i="8"/>
  <c r="B23" i="8"/>
  <c r="Q22" i="8"/>
  <c r="P22" i="8"/>
  <c r="P121" i="8" s="1"/>
  <c r="O22" i="8"/>
  <c r="O121" i="8" s="1"/>
  <c r="N22" i="8"/>
  <c r="N121" i="8" s="1"/>
  <c r="F22" i="8"/>
  <c r="E22" i="8"/>
  <c r="E121" i="8" s="1"/>
  <c r="D22" i="8"/>
  <c r="D121" i="8" s="1"/>
  <c r="C22" i="8"/>
  <c r="C24" i="8" s="1"/>
  <c r="S21" i="8"/>
  <c r="T21" i="8" s="1"/>
  <c r="R21" i="8"/>
  <c r="H21" i="8"/>
  <c r="I21" i="8" s="1"/>
  <c r="G21" i="8"/>
  <c r="S20" i="8"/>
  <c r="T20" i="8" s="1"/>
  <c r="R20" i="8"/>
  <c r="H20" i="8"/>
  <c r="I20" i="8" s="1"/>
  <c r="G20" i="8"/>
  <c r="S19" i="8"/>
  <c r="T19" i="8" s="1"/>
  <c r="R19" i="8"/>
  <c r="H19" i="8"/>
  <c r="I19" i="8" s="1"/>
  <c r="G19" i="8"/>
  <c r="S18" i="8"/>
  <c r="T18" i="8" s="1"/>
  <c r="R18" i="8"/>
  <c r="H18" i="8"/>
  <c r="I18" i="8" s="1"/>
  <c r="G18" i="8"/>
  <c r="S17" i="8"/>
  <c r="T17" i="8" s="1"/>
  <c r="R17" i="8"/>
  <c r="H17" i="8"/>
  <c r="I17" i="8" s="1"/>
  <c r="G17" i="8"/>
  <c r="S16" i="8"/>
  <c r="T16" i="8" s="1"/>
  <c r="R16" i="8"/>
  <c r="H16" i="8"/>
  <c r="I16" i="8" s="1"/>
  <c r="G16" i="8"/>
  <c r="H15" i="8"/>
  <c r="S15" i="8" s="1"/>
  <c r="F15" i="8"/>
  <c r="M13" i="8"/>
  <c r="M12" i="8"/>
  <c r="Q11" i="8"/>
  <c r="Q120" i="8" s="1"/>
  <c r="P46" i="14" s="1"/>
  <c r="P11" i="8"/>
  <c r="P120" i="8" s="1"/>
  <c r="O11" i="8"/>
  <c r="O120" i="8" s="1"/>
  <c r="N11" i="8"/>
  <c r="F11" i="8"/>
  <c r="E11" i="8"/>
  <c r="E120" i="8" s="1"/>
  <c r="D11" i="8"/>
  <c r="D120" i="8" s="1"/>
  <c r="C11" i="8"/>
  <c r="C120" i="8" s="1"/>
  <c r="S10" i="8"/>
  <c r="T10" i="8" s="1"/>
  <c r="R10" i="8"/>
  <c r="H10" i="8"/>
  <c r="I10" i="8" s="1"/>
  <c r="G10" i="8"/>
  <c r="S9" i="8"/>
  <c r="T9" i="8" s="1"/>
  <c r="R9" i="8"/>
  <c r="H9" i="8"/>
  <c r="I9" i="8" s="1"/>
  <c r="G9" i="8"/>
  <c r="S8" i="8"/>
  <c r="T8" i="8" s="1"/>
  <c r="R8" i="8"/>
  <c r="H8" i="8"/>
  <c r="I8" i="8" s="1"/>
  <c r="G8" i="8"/>
  <c r="S7" i="8"/>
  <c r="T7" i="8" s="1"/>
  <c r="R7" i="8"/>
  <c r="H7" i="8"/>
  <c r="I7" i="8" s="1"/>
  <c r="G7" i="8"/>
  <c r="S6" i="8"/>
  <c r="T6" i="8" s="1"/>
  <c r="R6" i="8"/>
  <c r="H6" i="8"/>
  <c r="I6" i="8" s="1"/>
  <c r="G6" i="8"/>
  <c r="S5" i="8"/>
  <c r="T5" i="8" s="1"/>
  <c r="R5" i="8"/>
  <c r="H5" i="8"/>
  <c r="I5" i="8" s="1"/>
  <c r="G5" i="8"/>
  <c r="H4" i="8"/>
  <c r="F4" i="8"/>
  <c r="R22" i="8" l="1"/>
  <c r="R121" i="8" s="1"/>
  <c r="S134" i="8"/>
  <c r="Q78" i="8"/>
  <c r="S78" i="8" s="1"/>
  <c r="T78" i="8" s="1"/>
  <c r="G77" i="8"/>
  <c r="G134" i="8" s="1"/>
  <c r="H77" i="8"/>
  <c r="Q137" i="8"/>
  <c r="AJ65" i="14" s="1"/>
  <c r="F137" i="8"/>
  <c r="AJ65" i="13" s="1"/>
  <c r="Q4" i="8"/>
  <c r="E266" i="15"/>
  <c r="S4" i="8"/>
  <c r="G267" i="15"/>
  <c r="G34" i="19"/>
  <c r="Q15" i="8"/>
  <c r="E33" i="19"/>
  <c r="S110" i="8"/>
  <c r="Q12" i="8"/>
  <c r="S12" i="8" s="1"/>
  <c r="T12" i="8" s="1"/>
  <c r="R11" i="8"/>
  <c r="R120" i="8" s="1"/>
  <c r="F136" i="8"/>
  <c r="AJ84" i="13" s="1"/>
  <c r="F297" i="15"/>
  <c r="N137" i="8"/>
  <c r="T110" i="8"/>
  <c r="N112" i="8"/>
  <c r="T55" i="8"/>
  <c r="T22" i="8"/>
  <c r="T11" i="8"/>
  <c r="Q89" i="7"/>
  <c r="S88" i="7"/>
  <c r="Q78" i="7"/>
  <c r="S77" i="7"/>
  <c r="Q23" i="7"/>
  <c r="S22" i="7"/>
  <c r="I110" i="8"/>
  <c r="I77" i="8"/>
  <c r="G11" i="8"/>
  <c r="G120" i="8" s="1"/>
  <c r="R111" i="8"/>
  <c r="R110" i="8"/>
  <c r="R137" i="8" s="1"/>
  <c r="N101" i="8"/>
  <c r="T99" i="8"/>
  <c r="R88" i="8"/>
  <c r="R135" i="8" s="1"/>
  <c r="P138" i="8"/>
  <c r="P147" i="8" s="1"/>
  <c r="Q135" i="8"/>
  <c r="AA65" i="14" s="1"/>
  <c r="N79" i="8"/>
  <c r="S77" i="8"/>
  <c r="T77" i="8"/>
  <c r="Q133" i="8"/>
  <c r="AJ46" i="14" s="1"/>
  <c r="R66" i="8"/>
  <c r="R133" i="8" s="1"/>
  <c r="Q124" i="8"/>
  <c r="Q56" i="8"/>
  <c r="S56" i="8" s="1"/>
  <c r="T56" i="8" s="1"/>
  <c r="N57" i="8"/>
  <c r="S55" i="8"/>
  <c r="S44" i="8"/>
  <c r="N35" i="8"/>
  <c r="N24" i="8"/>
  <c r="G110" i="8"/>
  <c r="G137" i="8" s="1"/>
  <c r="H110" i="8"/>
  <c r="G99" i="8"/>
  <c r="G136" i="8" s="1"/>
  <c r="H99" i="8"/>
  <c r="C136" i="8"/>
  <c r="F78" i="8"/>
  <c r="D138" i="8"/>
  <c r="D147" i="8" s="1"/>
  <c r="C134" i="8"/>
  <c r="H134" i="8" s="1"/>
  <c r="D125" i="8"/>
  <c r="D146" i="8" s="1"/>
  <c r="G55" i="8"/>
  <c r="G124" i="8" s="1"/>
  <c r="H55" i="8"/>
  <c r="C123" i="8"/>
  <c r="I44" i="8"/>
  <c r="C121" i="8"/>
  <c r="H22" i="8"/>
  <c r="H11" i="8"/>
  <c r="I33" i="8"/>
  <c r="I22" i="8"/>
  <c r="N123" i="8"/>
  <c r="N46" i="8"/>
  <c r="N13" i="8"/>
  <c r="N120" i="8"/>
  <c r="S120" i="8" s="1"/>
  <c r="H56" i="8"/>
  <c r="I56" i="8" s="1"/>
  <c r="T88" i="8"/>
  <c r="H111" i="8"/>
  <c r="I111" i="8" s="1"/>
  <c r="E125" i="8"/>
  <c r="E146" i="8" s="1"/>
  <c r="C122" i="8"/>
  <c r="C35" i="8"/>
  <c r="H67" i="8"/>
  <c r="I67" i="8" s="1"/>
  <c r="G67" i="8"/>
  <c r="H66" i="8"/>
  <c r="G66" i="8"/>
  <c r="G133" i="8" s="1"/>
  <c r="F133" i="8"/>
  <c r="AJ46" i="13" s="1"/>
  <c r="E138" i="8"/>
  <c r="E147" i="8" s="1"/>
  <c r="Q121" i="8"/>
  <c r="P84" i="14" s="1"/>
  <c r="Q23" i="8"/>
  <c r="S22" i="8"/>
  <c r="R44" i="8"/>
  <c r="R123" i="8" s="1"/>
  <c r="Q131" i="8"/>
  <c r="Q144" i="8" s="1"/>
  <c r="Q118" i="8"/>
  <c r="I66" i="8"/>
  <c r="N133" i="8"/>
  <c r="N68" i="8"/>
  <c r="O125" i="8"/>
  <c r="O146" i="8" s="1"/>
  <c r="Q34" i="8"/>
  <c r="S33" i="8"/>
  <c r="R33" i="8"/>
  <c r="R122" i="8" s="1"/>
  <c r="H100" i="8"/>
  <c r="I100" i="8" s="1"/>
  <c r="F123" i="8"/>
  <c r="G65" i="13" s="1"/>
  <c r="H44" i="8"/>
  <c r="O138" i="8"/>
  <c r="O147" i="8" s="1"/>
  <c r="H89" i="8"/>
  <c r="I89" i="8" s="1"/>
  <c r="G89" i="8"/>
  <c r="R100" i="8"/>
  <c r="Q122" i="8"/>
  <c r="S89" i="8"/>
  <c r="T89" i="8" s="1"/>
  <c r="R89" i="8"/>
  <c r="P125" i="8"/>
  <c r="P146" i="8" s="1"/>
  <c r="Q123" i="8"/>
  <c r="Q45" i="8"/>
  <c r="I99" i="8"/>
  <c r="I11" i="8"/>
  <c r="H33" i="8"/>
  <c r="G33" i="8"/>
  <c r="G122" i="8" s="1"/>
  <c r="F122" i="8"/>
  <c r="G84" i="13" s="1"/>
  <c r="F34" i="8"/>
  <c r="F12" i="8"/>
  <c r="F120" i="8"/>
  <c r="P46" i="13" s="1"/>
  <c r="S11" i="8"/>
  <c r="C13" i="8"/>
  <c r="F121" i="8"/>
  <c r="F23" i="8"/>
  <c r="G22" i="8"/>
  <c r="G121" i="8" s="1"/>
  <c r="T44" i="8"/>
  <c r="G44" i="8"/>
  <c r="G123" i="8" s="1"/>
  <c r="T66" i="8"/>
  <c r="F135" i="8"/>
  <c r="AA65" i="13" s="1"/>
  <c r="H88" i="8"/>
  <c r="G88" i="8"/>
  <c r="G135" i="8" s="1"/>
  <c r="T33" i="8"/>
  <c r="H45" i="8"/>
  <c r="I45" i="8" s="1"/>
  <c r="G45" i="8"/>
  <c r="I55" i="8"/>
  <c r="S67" i="8"/>
  <c r="T67" i="8" s="1"/>
  <c r="R67" i="8"/>
  <c r="I88" i="8"/>
  <c r="N90" i="8"/>
  <c r="N135" i="8"/>
  <c r="F118" i="8"/>
  <c r="F124" i="8"/>
  <c r="P65" i="13" s="1"/>
  <c r="F131" i="8"/>
  <c r="F144" i="8" s="1"/>
  <c r="C68" i="8"/>
  <c r="S88" i="8"/>
  <c r="R99" i="8"/>
  <c r="R136" i="8" s="1"/>
  <c r="C135" i="8"/>
  <c r="Q136" i="8"/>
  <c r="S99" i="8"/>
  <c r="S66" i="8"/>
  <c r="R77" i="8"/>
  <c r="R134" i="8" s="1"/>
  <c r="C124" i="8"/>
  <c r="C137" i="8"/>
  <c r="S136" i="8" l="1"/>
  <c r="AJ84" i="14"/>
  <c r="S124" i="8"/>
  <c r="P65" i="14"/>
  <c r="S123" i="8"/>
  <c r="G65" i="14"/>
  <c r="S122" i="8"/>
  <c r="G84" i="14"/>
  <c r="H121" i="8"/>
  <c r="P84" i="13"/>
  <c r="R78" i="8"/>
  <c r="H136" i="8"/>
  <c r="S137" i="8"/>
  <c r="R12" i="8"/>
  <c r="H137" i="8"/>
  <c r="G296" i="15"/>
  <c r="G289" i="15"/>
  <c r="G282" i="15"/>
  <c r="E295" i="15"/>
  <c r="E288" i="15"/>
  <c r="E281" i="15"/>
  <c r="S135" i="8"/>
  <c r="O148" i="8"/>
  <c r="S133" i="8"/>
  <c r="R89" i="7"/>
  <c r="S89" i="7"/>
  <c r="S78" i="7"/>
  <c r="R78" i="7"/>
  <c r="R23" i="7"/>
  <c r="S23" i="7"/>
  <c r="P148" i="8"/>
  <c r="R56" i="8"/>
  <c r="H135" i="8"/>
  <c r="D148" i="8"/>
  <c r="G78" i="8"/>
  <c r="H78" i="8"/>
  <c r="I78" i="8" s="1"/>
  <c r="H123" i="8"/>
  <c r="C125" i="8"/>
  <c r="C146" i="8" s="1"/>
  <c r="C138" i="8"/>
  <c r="C147" i="8" s="1"/>
  <c r="H12" i="8"/>
  <c r="I12" i="8" s="1"/>
  <c r="G12" i="8"/>
  <c r="R45" i="8"/>
  <c r="S45" i="8"/>
  <c r="T45" i="8" s="1"/>
  <c r="R34" i="8"/>
  <c r="S34" i="8"/>
  <c r="T34" i="8" s="1"/>
  <c r="F138" i="8"/>
  <c r="H133" i="8"/>
  <c r="H124" i="8"/>
  <c r="H122" i="8"/>
  <c r="R23" i="8"/>
  <c r="S23" i="8"/>
  <c r="T23" i="8" s="1"/>
  <c r="F125" i="8"/>
  <c r="H120" i="8"/>
  <c r="E148" i="8"/>
  <c r="G23" i="8"/>
  <c r="H23" i="8"/>
  <c r="I23" i="8" s="1"/>
  <c r="N138" i="8"/>
  <c r="N147" i="8" s="1"/>
  <c r="Q125" i="8"/>
  <c r="S121" i="8"/>
  <c r="H34" i="8"/>
  <c r="I34" i="8" s="1"/>
  <c r="G34" i="8"/>
  <c r="N125" i="8"/>
  <c r="N146" i="8" s="1"/>
  <c r="Q138" i="8"/>
  <c r="C148" i="8" l="1"/>
  <c r="F146" i="8"/>
  <c r="G125" i="8"/>
  <c r="F126" i="8"/>
  <c r="H125" i="8"/>
  <c r="Q146" i="8"/>
  <c r="Q126" i="8"/>
  <c r="S125" i="8"/>
  <c r="R125" i="8"/>
  <c r="Q139" i="8"/>
  <c r="S138" i="8"/>
  <c r="R138" i="8"/>
  <c r="Q147" i="8"/>
  <c r="N148" i="8"/>
  <c r="G138" i="8"/>
  <c r="F147" i="8"/>
  <c r="F139" i="8"/>
  <c r="H138" i="8"/>
  <c r="R126" i="8" l="1"/>
  <c r="S126" i="8"/>
  <c r="S146" i="8"/>
  <c r="R146" i="8"/>
  <c r="Q148" i="8"/>
  <c r="H139" i="8"/>
  <c r="G139" i="8"/>
  <c r="H147" i="8"/>
  <c r="G147" i="8"/>
  <c r="S147" i="8"/>
  <c r="R147" i="8"/>
  <c r="H126" i="8"/>
  <c r="G126" i="8"/>
  <c r="S139" i="8"/>
  <c r="R139" i="8"/>
  <c r="F148" i="8"/>
  <c r="H146" i="8"/>
  <c r="G146" i="8"/>
  <c r="H148" i="8" l="1"/>
  <c r="G148" i="8"/>
  <c r="S148" i="8"/>
  <c r="R148" i="8"/>
  <c r="R38" i="7" l="1"/>
  <c r="S38" i="7"/>
  <c r="R39" i="7"/>
  <c r="S39" i="7"/>
  <c r="R40" i="7"/>
  <c r="S40" i="7"/>
  <c r="R41" i="7"/>
  <c r="S41" i="7"/>
  <c r="R42" i="7"/>
  <c r="S42" i="7"/>
  <c r="R43" i="7"/>
  <c r="S43" i="7"/>
  <c r="N44" i="7"/>
  <c r="O44" i="7"/>
  <c r="P44" i="7"/>
  <c r="Q44" i="7"/>
  <c r="R44" i="7" s="1"/>
  <c r="M45" i="7"/>
  <c r="Q45" i="7" l="1"/>
  <c r="R45" i="7" s="1"/>
  <c r="S45" i="7"/>
  <c r="S44" i="7"/>
  <c r="G70" i="18"/>
  <c r="P47" i="18"/>
  <c r="Q20" i="17"/>
  <c r="P20" i="17"/>
  <c r="O20" i="17"/>
  <c r="Q19" i="17"/>
  <c r="P19" i="17"/>
  <c r="O19" i="17"/>
  <c r="Q18" i="17"/>
  <c r="P18" i="17"/>
  <c r="O18" i="17"/>
  <c r="Q13" i="17"/>
  <c r="Q12" i="17"/>
  <c r="Q11" i="17"/>
  <c r="P11" i="17"/>
  <c r="O11" i="17"/>
  <c r="Q10" i="17"/>
  <c r="P10" i="17"/>
  <c r="O10" i="17"/>
  <c r="Q9" i="17"/>
  <c r="P9" i="17"/>
  <c r="O9" i="17"/>
  <c r="Q8" i="17"/>
  <c r="P8" i="17"/>
  <c r="O8" i="17"/>
  <c r="Q14" i="17" l="1"/>
  <c r="E14" i="13"/>
  <c r="G11" i="18" l="1"/>
  <c r="R104" i="7" l="1"/>
  <c r="S104" i="7"/>
  <c r="R105" i="7"/>
  <c r="S105" i="7"/>
  <c r="R106" i="7"/>
  <c r="R107" i="7"/>
  <c r="S107" i="7"/>
  <c r="R108" i="7"/>
  <c r="S108" i="7"/>
  <c r="R109" i="7"/>
  <c r="S109" i="7"/>
  <c r="N110" i="7"/>
  <c r="O110" i="7"/>
  <c r="P110" i="7"/>
  <c r="Q110" i="7"/>
  <c r="R110" i="7" s="1"/>
  <c r="M111" i="7"/>
  <c r="Q111" i="7" l="1"/>
  <c r="S110" i="7"/>
  <c r="B18" i="19"/>
  <c r="E26" i="19"/>
  <c r="D26" i="19"/>
  <c r="G26" i="19" l="1"/>
  <c r="S111" i="7"/>
  <c r="R111" i="7"/>
  <c r="F26" i="19"/>
  <c r="G246" i="15"/>
  <c r="F246" i="15"/>
  <c r="B256" i="15"/>
  <c r="G239" i="15"/>
  <c r="F239" i="15"/>
  <c r="G238" i="15"/>
  <c r="F238" i="15"/>
  <c r="G237" i="15"/>
  <c r="F237" i="15"/>
  <c r="G236" i="15"/>
  <c r="F236" i="15"/>
  <c r="G235" i="15"/>
  <c r="F235" i="15"/>
  <c r="G234" i="15"/>
  <c r="F234" i="15"/>
  <c r="G233" i="15"/>
  <c r="F233" i="15"/>
  <c r="G232" i="15"/>
  <c r="F232" i="15"/>
  <c r="G231" i="15"/>
  <c r="F231" i="15"/>
  <c r="G254" i="15"/>
  <c r="F254" i="15"/>
  <c r="G253" i="15"/>
  <c r="F253" i="15"/>
  <c r="F250" i="15"/>
  <c r="F243" i="15"/>
  <c r="B226" i="15"/>
  <c r="G228" i="15" s="1"/>
  <c r="E255" i="15"/>
  <c r="E256" i="15" s="1"/>
  <c r="D255" i="15"/>
  <c r="C255" i="15"/>
  <c r="C260" i="15" s="1"/>
  <c r="E248" i="15"/>
  <c r="G248" i="15" s="1"/>
  <c r="D248" i="15"/>
  <c r="C248" i="15"/>
  <c r="C243" i="15"/>
  <c r="E241" i="15"/>
  <c r="D241" i="15"/>
  <c r="C241" i="15"/>
  <c r="C126" i="7"/>
  <c r="G243" i="15" l="1"/>
  <c r="F20" i="19"/>
  <c r="G241" i="15"/>
  <c r="G47" i="18"/>
  <c r="D260" i="15"/>
  <c r="F255" i="15"/>
  <c r="G255" i="15"/>
  <c r="G250" i="15"/>
  <c r="F248" i="15"/>
  <c r="E260" i="15"/>
  <c r="F260" i="15" s="1"/>
  <c r="F241" i="15"/>
  <c r="G260" i="15" l="1"/>
  <c r="I60" i="6"/>
  <c r="S145" i="7"/>
  <c r="M139" i="7"/>
  <c r="M137" i="7"/>
  <c r="M136" i="7"/>
  <c r="M135" i="7"/>
  <c r="M134" i="7"/>
  <c r="M133" i="7"/>
  <c r="S132" i="7"/>
  <c r="M126" i="7"/>
  <c r="M124" i="7"/>
  <c r="M123" i="7"/>
  <c r="M122" i="7"/>
  <c r="M121" i="7"/>
  <c r="M120" i="7"/>
  <c r="S119" i="7"/>
  <c r="P137" i="7"/>
  <c r="O137" i="7"/>
  <c r="T109" i="7"/>
  <c r="T108" i="7"/>
  <c r="T107" i="7"/>
  <c r="T106" i="7"/>
  <c r="T105" i="7"/>
  <c r="T104" i="7"/>
  <c r="M100" i="7"/>
  <c r="Q99" i="7"/>
  <c r="P99" i="7"/>
  <c r="P136" i="7" s="1"/>
  <c r="O99" i="7"/>
  <c r="O136" i="7" s="1"/>
  <c r="N99" i="7"/>
  <c r="N136" i="7" s="1"/>
  <c r="S98" i="7"/>
  <c r="T98" i="7" s="1"/>
  <c r="R98" i="7"/>
  <c r="S97" i="7"/>
  <c r="T97" i="7" s="1"/>
  <c r="R97" i="7"/>
  <c r="S96" i="7"/>
  <c r="T96" i="7" s="1"/>
  <c r="R96" i="7"/>
  <c r="S95" i="7"/>
  <c r="T95" i="7" s="1"/>
  <c r="R95" i="7"/>
  <c r="S94" i="7"/>
  <c r="T94" i="7" s="1"/>
  <c r="R94" i="7"/>
  <c r="S93" i="7"/>
  <c r="T93" i="7" s="1"/>
  <c r="R93" i="7"/>
  <c r="P135" i="7"/>
  <c r="O135" i="7"/>
  <c r="N135" i="7"/>
  <c r="T87" i="7"/>
  <c r="T86" i="7"/>
  <c r="T85" i="7"/>
  <c r="T84" i="7"/>
  <c r="T83" i="7"/>
  <c r="T82" i="7"/>
  <c r="P134" i="7"/>
  <c r="O134" i="7"/>
  <c r="T76" i="7"/>
  <c r="T75" i="7"/>
  <c r="T74" i="7"/>
  <c r="T73" i="7"/>
  <c r="T72" i="7"/>
  <c r="T71" i="7"/>
  <c r="M67" i="7"/>
  <c r="Q66" i="7"/>
  <c r="Q67" i="7" s="1"/>
  <c r="P66" i="7"/>
  <c r="P133" i="7" s="1"/>
  <c r="O66" i="7"/>
  <c r="O133" i="7" s="1"/>
  <c r="N66" i="7"/>
  <c r="N133" i="7" s="1"/>
  <c r="S65" i="7"/>
  <c r="T65" i="7" s="1"/>
  <c r="R65" i="7"/>
  <c r="S64" i="7"/>
  <c r="T64" i="7" s="1"/>
  <c r="R64" i="7"/>
  <c r="S63" i="7"/>
  <c r="T63" i="7" s="1"/>
  <c r="R63" i="7"/>
  <c r="S62" i="7"/>
  <c r="T62" i="7" s="1"/>
  <c r="R62" i="7"/>
  <c r="S61" i="7"/>
  <c r="T61" i="7" s="1"/>
  <c r="R61" i="7"/>
  <c r="S60" i="7"/>
  <c r="T60" i="7" s="1"/>
  <c r="R60" i="7"/>
  <c r="M56" i="7"/>
  <c r="Q55" i="7"/>
  <c r="Q56" i="7" s="1"/>
  <c r="P55" i="7"/>
  <c r="P124" i="7" s="1"/>
  <c r="O55" i="7"/>
  <c r="O124" i="7" s="1"/>
  <c r="N55" i="7"/>
  <c r="N124" i="7" s="1"/>
  <c r="S54" i="7"/>
  <c r="T54" i="7" s="1"/>
  <c r="R54" i="7"/>
  <c r="S53" i="7"/>
  <c r="T53" i="7" s="1"/>
  <c r="R53" i="7"/>
  <c r="S52" i="7"/>
  <c r="T52" i="7" s="1"/>
  <c r="R52" i="7"/>
  <c r="S51" i="7"/>
  <c r="T51" i="7" s="1"/>
  <c r="R51" i="7"/>
  <c r="S50" i="7"/>
  <c r="T50" i="7" s="1"/>
  <c r="R50" i="7"/>
  <c r="S49" i="7"/>
  <c r="T49" i="7" s="1"/>
  <c r="R49" i="7"/>
  <c r="P123" i="7"/>
  <c r="O123" i="7"/>
  <c r="T43" i="7"/>
  <c r="T42" i="7"/>
  <c r="T41" i="7"/>
  <c r="T40" i="7"/>
  <c r="T39" i="7"/>
  <c r="T38" i="7"/>
  <c r="M35" i="7"/>
  <c r="M34" i="7"/>
  <c r="Q33" i="7"/>
  <c r="Q34" i="7" s="1"/>
  <c r="P33" i="7"/>
  <c r="P122" i="7" s="1"/>
  <c r="O33" i="7"/>
  <c r="O122" i="7" s="1"/>
  <c r="N33" i="7"/>
  <c r="S32" i="7"/>
  <c r="T32" i="7" s="1"/>
  <c r="R32" i="7"/>
  <c r="S31" i="7"/>
  <c r="T31" i="7" s="1"/>
  <c r="R31" i="7"/>
  <c r="S30" i="7"/>
  <c r="T30" i="7" s="1"/>
  <c r="R30" i="7"/>
  <c r="S29" i="7"/>
  <c r="T29" i="7" s="1"/>
  <c r="R29" i="7"/>
  <c r="S28" i="7"/>
  <c r="T28" i="7" s="1"/>
  <c r="R28" i="7"/>
  <c r="S27" i="7"/>
  <c r="T27" i="7" s="1"/>
  <c r="R27" i="7"/>
  <c r="M24" i="7"/>
  <c r="M13" i="7"/>
  <c r="P121" i="7"/>
  <c r="O121" i="7"/>
  <c r="T21" i="7"/>
  <c r="T20" i="7"/>
  <c r="T19" i="7"/>
  <c r="T18" i="7"/>
  <c r="T17" i="7"/>
  <c r="T16" i="7"/>
  <c r="Q11" i="7"/>
  <c r="Q12" i="7" s="1"/>
  <c r="P11" i="7"/>
  <c r="P120" i="7" s="1"/>
  <c r="O11" i="7"/>
  <c r="O120" i="7" s="1"/>
  <c r="N11" i="7"/>
  <c r="N120" i="7" s="1"/>
  <c r="S10" i="7"/>
  <c r="T10" i="7" s="1"/>
  <c r="R10" i="7"/>
  <c r="S9" i="7"/>
  <c r="T9" i="7" s="1"/>
  <c r="R9" i="7"/>
  <c r="S8" i="7"/>
  <c r="T8" i="7" s="1"/>
  <c r="R8" i="7"/>
  <c r="S7" i="7"/>
  <c r="T7" i="7" s="1"/>
  <c r="R7" i="7"/>
  <c r="S6" i="7"/>
  <c r="T6" i="7" s="1"/>
  <c r="R6" i="7"/>
  <c r="S5" i="7"/>
  <c r="T5" i="7" s="1"/>
  <c r="R5" i="7"/>
  <c r="H145" i="7"/>
  <c r="H132" i="7"/>
  <c r="B133" i="7"/>
  <c r="B134" i="7"/>
  <c r="B135" i="7"/>
  <c r="B136" i="7"/>
  <c r="B137" i="7"/>
  <c r="B139" i="7"/>
  <c r="B111" i="7"/>
  <c r="F110" i="7"/>
  <c r="F111" i="7" s="1"/>
  <c r="E110" i="7"/>
  <c r="E137" i="7" s="1"/>
  <c r="D110" i="7"/>
  <c r="D137" i="7" s="1"/>
  <c r="C110" i="7"/>
  <c r="C137" i="7" s="1"/>
  <c r="H109" i="7"/>
  <c r="I109" i="7" s="1"/>
  <c r="G109" i="7"/>
  <c r="H108" i="7"/>
  <c r="I108" i="7" s="1"/>
  <c r="G108" i="7"/>
  <c r="H107" i="7"/>
  <c r="I107" i="7" s="1"/>
  <c r="G107" i="7"/>
  <c r="H106" i="7"/>
  <c r="I106" i="7" s="1"/>
  <c r="G106" i="7"/>
  <c r="I105" i="7"/>
  <c r="G105" i="7"/>
  <c r="H104" i="7"/>
  <c r="I104" i="7" s="1"/>
  <c r="G104" i="7"/>
  <c r="H103" i="7"/>
  <c r="S103" i="7" s="1"/>
  <c r="F103" i="7"/>
  <c r="Q103" i="7" s="1"/>
  <c r="B100" i="7"/>
  <c r="F99" i="7"/>
  <c r="F100" i="7" s="1"/>
  <c r="E99" i="7"/>
  <c r="E136" i="7" s="1"/>
  <c r="D99" i="7"/>
  <c r="D136" i="7" s="1"/>
  <c r="C99" i="7"/>
  <c r="H98" i="7"/>
  <c r="I98" i="7" s="1"/>
  <c r="G98" i="7"/>
  <c r="H97" i="7"/>
  <c r="I97" i="7" s="1"/>
  <c r="G97" i="7"/>
  <c r="H96" i="7"/>
  <c r="I96" i="7" s="1"/>
  <c r="G96" i="7"/>
  <c r="H95" i="7"/>
  <c r="I95" i="7" s="1"/>
  <c r="G95" i="7"/>
  <c r="H94" i="7"/>
  <c r="I94" i="7" s="1"/>
  <c r="G94" i="7"/>
  <c r="H93" i="7"/>
  <c r="I93" i="7" s="1"/>
  <c r="G93" i="7"/>
  <c r="H92" i="7"/>
  <c r="S92" i="7" s="1"/>
  <c r="F92" i="7"/>
  <c r="Q92" i="7" s="1"/>
  <c r="B89" i="7"/>
  <c r="F88" i="7"/>
  <c r="F89" i="7" s="1"/>
  <c r="E88" i="7"/>
  <c r="E135" i="7" s="1"/>
  <c r="D88" i="7"/>
  <c r="D135" i="7" s="1"/>
  <c r="C88" i="7"/>
  <c r="H87" i="7"/>
  <c r="I87" i="7" s="1"/>
  <c r="G87" i="7"/>
  <c r="H86" i="7"/>
  <c r="I86" i="7" s="1"/>
  <c r="G86" i="7"/>
  <c r="H85" i="7"/>
  <c r="I85" i="7" s="1"/>
  <c r="G85" i="7"/>
  <c r="H84" i="7"/>
  <c r="I84" i="7" s="1"/>
  <c r="G84" i="7"/>
  <c r="H83" i="7"/>
  <c r="I83" i="7" s="1"/>
  <c r="G83" i="7"/>
  <c r="H82" i="7"/>
  <c r="I82" i="7" s="1"/>
  <c r="G82" i="7"/>
  <c r="H81" i="7"/>
  <c r="F81" i="7"/>
  <c r="B78" i="7"/>
  <c r="F77" i="7"/>
  <c r="F78" i="7" s="1"/>
  <c r="E77" i="7"/>
  <c r="E134" i="7" s="1"/>
  <c r="D77" i="7"/>
  <c r="D134" i="7" s="1"/>
  <c r="C77" i="7"/>
  <c r="H76" i="7"/>
  <c r="I76" i="7" s="1"/>
  <c r="G76" i="7"/>
  <c r="H75" i="7"/>
  <c r="I75" i="7" s="1"/>
  <c r="G75" i="7"/>
  <c r="H74" i="7"/>
  <c r="I74" i="7" s="1"/>
  <c r="G74" i="7"/>
  <c r="H73" i="7"/>
  <c r="I73" i="7" s="1"/>
  <c r="G73" i="7"/>
  <c r="H72" i="7"/>
  <c r="I72" i="7" s="1"/>
  <c r="G72" i="7"/>
  <c r="H71" i="7"/>
  <c r="I71" i="7" s="1"/>
  <c r="G71" i="7"/>
  <c r="H70" i="7"/>
  <c r="F70" i="7"/>
  <c r="B67" i="7"/>
  <c r="F66" i="7"/>
  <c r="F67" i="7" s="1"/>
  <c r="E66" i="7"/>
  <c r="E133" i="7" s="1"/>
  <c r="D66" i="7"/>
  <c r="D133" i="7" s="1"/>
  <c r="C66" i="7"/>
  <c r="C133" i="7" s="1"/>
  <c r="H65" i="7"/>
  <c r="I65" i="7" s="1"/>
  <c r="G65" i="7"/>
  <c r="H64" i="7"/>
  <c r="I64" i="7" s="1"/>
  <c r="G64" i="7"/>
  <c r="H63" i="7"/>
  <c r="I63" i="7" s="1"/>
  <c r="G63" i="7"/>
  <c r="H62" i="7"/>
  <c r="I62" i="7" s="1"/>
  <c r="G62" i="7"/>
  <c r="H61" i="7"/>
  <c r="I61" i="7" s="1"/>
  <c r="G61" i="7"/>
  <c r="H60" i="7"/>
  <c r="I60" i="7" s="1"/>
  <c r="G60" i="7"/>
  <c r="H59" i="7"/>
  <c r="S59" i="7" s="1"/>
  <c r="F59" i="7"/>
  <c r="Q59" i="7" s="1"/>
  <c r="B56" i="7"/>
  <c r="F55" i="7"/>
  <c r="F56" i="7" s="1"/>
  <c r="E55" i="7"/>
  <c r="D55" i="7"/>
  <c r="C55" i="7"/>
  <c r="H54" i="7"/>
  <c r="I54" i="7" s="1"/>
  <c r="G54" i="7"/>
  <c r="H53" i="7"/>
  <c r="I53" i="7" s="1"/>
  <c r="G53" i="7"/>
  <c r="H52" i="7"/>
  <c r="I52" i="7" s="1"/>
  <c r="G52" i="7"/>
  <c r="H51" i="7"/>
  <c r="I51" i="7" s="1"/>
  <c r="G51" i="7"/>
  <c r="H50" i="7"/>
  <c r="I50" i="7" s="1"/>
  <c r="G50" i="7"/>
  <c r="H49" i="7"/>
  <c r="I49" i="7" s="1"/>
  <c r="G49" i="7"/>
  <c r="H48" i="7"/>
  <c r="S48" i="7" s="1"/>
  <c r="F48" i="7"/>
  <c r="F131" i="7" s="1"/>
  <c r="F144" i="7" s="1"/>
  <c r="B45" i="7"/>
  <c r="F44" i="7"/>
  <c r="F45" i="7" s="1"/>
  <c r="E44" i="7"/>
  <c r="D44" i="7"/>
  <c r="C44" i="7"/>
  <c r="H43" i="7"/>
  <c r="I43" i="7" s="1"/>
  <c r="G43" i="7"/>
  <c r="H42" i="7"/>
  <c r="I42" i="7" s="1"/>
  <c r="G42" i="7"/>
  <c r="H41" i="7"/>
  <c r="I41" i="7" s="1"/>
  <c r="G41" i="7"/>
  <c r="H40" i="7"/>
  <c r="I40" i="7" s="1"/>
  <c r="G40" i="7"/>
  <c r="H39" i="7"/>
  <c r="I39" i="7" s="1"/>
  <c r="G39" i="7"/>
  <c r="H38" i="7"/>
  <c r="I38" i="7" s="1"/>
  <c r="G38" i="7"/>
  <c r="H37" i="7"/>
  <c r="S37" i="7" s="1"/>
  <c r="F37" i="7"/>
  <c r="Q37" i="7" s="1"/>
  <c r="B34" i="7"/>
  <c r="F33" i="7"/>
  <c r="F34" i="7" s="1"/>
  <c r="E33" i="7"/>
  <c r="D33" i="7"/>
  <c r="C33" i="7"/>
  <c r="H32" i="7"/>
  <c r="I32" i="7" s="1"/>
  <c r="G32" i="7"/>
  <c r="H31" i="7"/>
  <c r="I31" i="7" s="1"/>
  <c r="G31" i="7"/>
  <c r="H30" i="7"/>
  <c r="I30" i="7" s="1"/>
  <c r="G30" i="7"/>
  <c r="H29" i="7"/>
  <c r="I29" i="7" s="1"/>
  <c r="G29" i="7"/>
  <c r="H28" i="7"/>
  <c r="I28" i="7" s="1"/>
  <c r="G28" i="7"/>
  <c r="H27" i="7"/>
  <c r="I27" i="7" s="1"/>
  <c r="G27" i="7"/>
  <c r="H26" i="7"/>
  <c r="S26" i="7" s="1"/>
  <c r="F26" i="7"/>
  <c r="Q26" i="7" s="1"/>
  <c r="F22" i="7"/>
  <c r="F23" i="7" s="1"/>
  <c r="E22" i="7"/>
  <c r="D22" i="7"/>
  <c r="H21" i="7"/>
  <c r="I21" i="7" s="1"/>
  <c r="G21" i="7"/>
  <c r="H20" i="7"/>
  <c r="I20" i="7" s="1"/>
  <c r="G20" i="7"/>
  <c r="H19" i="7"/>
  <c r="I19" i="7" s="1"/>
  <c r="G19" i="7"/>
  <c r="H18" i="7"/>
  <c r="I18" i="7" s="1"/>
  <c r="G18" i="7"/>
  <c r="H17" i="7"/>
  <c r="I17" i="7" s="1"/>
  <c r="G17" i="7"/>
  <c r="H16" i="7"/>
  <c r="I16" i="7" s="1"/>
  <c r="G16" i="7"/>
  <c r="G10" i="7"/>
  <c r="G9" i="7"/>
  <c r="G8" i="7"/>
  <c r="G7" i="7"/>
  <c r="G6" i="7"/>
  <c r="G5" i="7"/>
  <c r="H10" i="7"/>
  <c r="I10" i="7" s="1"/>
  <c r="H9" i="7"/>
  <c r="I9" i="7" s="1"/>
  <c r="H8" i="7"/>
  <c r="I8" i="7" s="1"/>
  <c r="H7" i="7"/>
  <c r="I7" i="7" s="1"/>
  <c r="H6" i="7"/>
  <c r="I6" i="7" s="1"/>
  <c r="H5" i="7"/>
  <c r="I5" i="7" s="1"/>
  <c r="H15" i="7"/>
  <c r="F15" i="7"/>
  <c r="Q137" i="7" l="1"/>
  <c r="AJ64" i="14" s="1"/>
  <c r="Q136" i="7"/>
  <c r="Q100" i="7"/>
  <c r="Q135" i="7"/>
  <c r="R134" i="7"/>
  <c r="S67" i="7"/>
  <c r="R67" i="7"/>
  <c r="S56" i="7"/>
  <c r="R56" i="7"/>
  <c r="T45" i="7"/>
  <c r="S34" i="7"/>
  <c r="R34" i="7"/>
  <c r="T22" i="7"/>
  <c r="R12" i="7"/>
  <c r="S12" i="7"/>
  <c r="T12" i="7" s="1"/>
  <c r="H111" i="7"/>
  <c r="G111" i="7"/>
  <c r="G100" i="7"/>
  <c r="H100" i="7"/>
  <c r="I100" i="7" s="1"/>
  <c r="H89" i="7"/>
  <c r="I89" i="7" s="1"/>
  <c r="G89" i="7"/>
  <c r="H78" i="7"/>
  <c r="I78" i="7" s="1"/>
  <c r="G78" i="7"/>
  <c r="H67" i="7"/>
  <c r="I67" i="7" s="1"/>
  <c r="G67" i="7"/>
  <c r="G56" i="7"/>
  <c r="H56" i="7"/>
  <c r="I56" i="7" s="1"/>
  <c r="G45" i="7"/>
  <c r="H45" i="7"/>
  <c r="H34" i="7"/>
  <c r="G34" i="7"/>
  <c r="G23" i="7"/>
  <c r="H23" i="7"/>
  <c r="I110" i="7"/>
  <c r="T110" i="7"/>
  <c r="T99" i="7"/>
  <c r="T88" i="7"/>
  <c r="T77" i="7"/>
  <c r="T66" i="7"/>
  <c r="T44" i="7"/>
  <c r="S55" i="7"/>
  <c r="T55" i="7"/>
  <c r="T33" i="7"/>
  <c r="I99" i="7"/>
  <c r="I88" i="7"/>
  <c r="I77" i="7"/>
  <c r="I66" i="7"/>
  <c r="I55" i="7"/>
  <c r="I44" i="7"/>
  <c r="I33" i="7"/>
  <c r="I22" i="7"/>
  <c r="N139" i="7"/>
  <c r="N35" i="7"/>
  <c r="O138" i="7"/>
  <c r="O147" i="7" s="1"/>
  <c r="P138" i="7"/>
  <c r="P147" i="7" s="1"/>
  <c r="P125" i="7"/>
  <c r="P146" i="7" s="1"/>
  <c r="Q134" i="7"/>
  <c r="AA83" i="14" s="1"/>
  <c r="N137" i="7"/>
  <c r="N134" i="7"/>
  <c r="N138" i="7" s="1"/>
  <c r="N147" i="7" s="1"/>
  <c r="R123" i="7"/>
  <c r="S66" i="7"/>
  <c r="N122" i="7"/>
  <c r="Q133" i="7"/>
  <c r="AJ45" i="14" s="1"/>
  <c r="T11" i="7"/>
  <c r="O125" i="7"/>
  <c r="O146" i="7" s="1"/>
  <c r="N24" i="7"/>
  <c r="Q121" i="7"/>
  <c r="P83" i="14" s="1"/>
  <c r="Q123" i="7"/>
  <c r="G64" i="14" s="1"/>
  <c r="S11" i="7"/>
  <c r="R33" i="7"/>
  <c r="R122" i="7" s="1"/>
  <c r="R99" i="7"/>
  <c r="R136" i="7" s="1"/>
  <c r="Q120" i="7"/>
  <c r="N121" i="7"/>
  <c r="N123" i="7"/>
  <c r="Q48" i="7"/>
  <c r="S33" i="7"/>
  <c r="Q122" i="7"/>
  <c r="G83" i="14" s="1"/>
  <c r="Q124" i="7"/>
  <c r="R137" i="7"/>
  <c r="S99" i="7"/>
  <c r="R135" i="7"/>
  <c r="R66" i="7"/>
  <c r="R133" i="7" s="1"/>
  <c r="R55" i="7"/>
  <c r="R124" i="7" s="1"/>
  <c r="R121" i="7"/>
  <c r="R11" i="7"/>
  <c r="R120" i="7" s="1"/>
  <c r="H44" i="7"/>
  <c r="E138" i="7"/>
  <c r="E147" i="7" s="1"/>
  <c r="D138" i="7"/>
  <c r="D147" i="7" s="1"/>
  <c r="H33" i="7"/>
  <c r="F136" i="7"/>
  <c r="AJ83" i="13" s="1"/>
  <c r="F135" i="7"/>
  <c r="AA64" i="13" s="1"/>
  <c r="H110" i="7"/>
  <c r="F137" i="7"/>
  <c r="C134" i="7"/>
  <c r="F133" i="7"/>
  <c r="C136" i="7"/>
  <c r="C135" i="7"/>
  <c r="F134" i="7"/>
  <c r="AA83" i="13" s="1"/>
  <c r="G44" i="7"/>
  <c r="G123" i="7" s="1"/>
  <c r="H55" i="7"/>
  <c r="H66" i="7"/>
  <c r="H77" i="7"/>
  <c r="H99" i="7"/>
  <c r="G110" i="7"/>
  <c r="G137" i="7" s="1"/>
  <c r="G99" i="7"/>
  <c r="G136" i="7" s="1"/>
  <c r="H88" i="7"/>
  <c r="G88" i="7"/>
  <c r="G135" i="7" s="1"/>
  <c r="G77" i="7"/>
  <c r="G134" i="7" s="1"/>
  <c r="G66" i="7"/>
  <c r="G133" i="7" s="1"/>
  <c r="G55" i="7"/>
  <c r="G124" i="7" s="1"/>
  <c r="G33" i="7"/>
  <c r="G122" i="7" s="1"/>
  <c r="L8" i="4"/>
  <c r="M8" i="4" s="1"/>
  <c r="L10" i="4"/>
  <c r="K8" i="4"/>
  <c r="L6" i="4"/>
  <c r="L7" i="4"/>
  <c r="L9" i="4"/>
  <c r="S136" i="7" l="1"/>
  <c r="AJ83" i="14"/>
  <c r="S120" i="7"/>
  <c r="P45" i="14"/>
  <c r="H133" i="7"/>
  <c r="AJ45" i="13"/>
  <c r="H137" i="7"/>
  <c r="AJ64" i="13"/>
  <c r="S124" i="7"/>
  <c r="P64" i="14"/>
  <c r="S135" i="7"/>
  <c r="AA64" i="14"/>
  <c r="S137" i="7"/>
  <c r="R100" i="7"/>
  <c r="S100" i="7"/>
  <c r="T100" i="7" s="1"/>
  <c r="T89" i="7"/>
  <c r="T78" i="7"/>
  <c r="Q138" i="7"/>
  <c r="Q139" i="7" s="1"/>
  <c r="P148" i="7"/>
  <c r="O148" i="7"/>
  <c r="N126" i="7"/>
  <c r="H134" i="7"/>
  <c r="S122" i="7"/>
  <c r="T34" i="7"/>
  <c r="S133" i="7"/>
  <c r="Q125" i="7"/>
  <c r="N125" i="7"/>
  <c r="N146" i="7" s="1"/>
  <c r="N148" i="7" s="1"/>
  <c r="S134" i="7"/>
  <c r="T23" i="7"/>
  <c r="Q118" i="7"/>
  <c r="Q131" i="7"/>
  <c r="Q144" i="7" s="1"/>
  <c r="S121" i="7"/>
  <c r="S123" i="7"/>
  <c r="T111" i="7"/>
  <c r="T67" i="7"/>
  <c r="T56" i="7"/>
  <c r="H135" i="7"/>
  <c r="H136" i="7"/>
  <c r="C138" i="7"/>
  <c r="C147" i="7" s="1"/>
  <c r="C139" i="7"/>
  <c r="F138" i="7"/>
  <c r="I111" i="7"/>
  <c r="I45" i="7"/>
  <c r="I93" i="6"/>
  <c r="Q147" i="7" l="1"/>
  <c r="S147" i="7" s="1"/>
  <c r="S138" i="7"/>
  <c r="R138" i="7"/>
  <c r="R139" i="7"/>
  <c r="S139" i="7"/>
  <c r="F147" i="7"/>
  <c r="G147" i="7" s="1"/>
  <c r="F139" i="7"/>
  <c r="S125" i="7"/>
  <c r="Q146" i="7"/>
  <c r="Q126" i="7"/>
  <c r="S126" i="7" s="1"/>
  <c r="R125" i="7"/>
  <c r="H138" i="7"/>
  <c r="G138" i="7"/>
  <c r="M44" i="13"/>
  <c r="R147" i="7" l="1"/>
  <c r="H147" i="7"/>
  <c r="H139" i="7"/>
  <c r="G139" i="7"/>
  <c r="R126" i="7"/>
  <c r="S146" i="7"/>
  <c r="Q148" i="7"/>
  <c r="R146" i="7"/>
  <c r="B219" i="15"/>
  <c r="F221" i="15"/>
  <c r="F184" i="15"/>
  <c r="F147" i="15"/>
  <c r="F110" i="15"/>
  <c r="F73" i="15"/>
  <c r="E14" i="19"/>
  <c r="D14" i="19"/>
  <c r="B6" i="19"/>
  <c r="S148" i="7" l="1"/>
  <c r="R148" i="7"/>
  <c r="G14" i="19"/>
  <c r="F14" i="19"/>
  <c r="B189" i="15" l="1"/>
  <c r="F218" i="15"/>
  <c r="E218" i="15"/>
  <c r="G68" i="18" s="1"/>
  <c r="D218" i="15"/>
  <c r="C218" i="15"/>
  <c r="A219" i="15" s="1"/>
  <c r="G217" i="15"/>
  <c r="I217" i="15" s="1"/>
  <c r="G216" i="15"/>
  <c r="I216" i="15" s="1"/>
  <c r="F211" i="15"/>
  <c r="E211" i="15"/>
  <c r="D211" i="15"/>
  <c r="C211" i="15"/>
  <c r="G209" i="15"/>
  <c r="I209" i="15" s="1"/>
  <c r="C206" i="15"/>
  <c r="F204" i="15"/>
  <c r="E204" i="15"/>
  <c r="D204" i="15"/>
  <c r="C204" i="15"/>
  <c r="C223" i="15" s="1"/>
  <c r="G203" i="15"/>
  <c r="G202" i="15"/>
  <c r="H202" i="15" s="1"/>
  <c r="G201" i="15"/>
  <c r="H201" i="15" s="1"/>
  <c r="G200" i="15"/>
  <c r="I200" i="15" s="1"/>
  <c r="G199" i="15"/>
  <c r="I199" i="15" s="1"/>
  <c r="G198" i="15"/>
  <c r="H198" i="15" s="1"/>
  <c r="G197" i="15"/>
  <c r="I197" i="15" s="1"/>
  <c r="G196" i="15"/>
  <c r="I196" i="15" s="1"/>
  <c r="G195" i="15"/>
  <c r="I195" i="15" s="1"/>
  <c r="G194" i="15"/>
  <c r="I194" i="15" s="1"/>
  <c r="I202" i="15" l="1"/>
  <c r="P45" i="18"/>
  <c r="G45" i="18"/>
  <c r="H191" i="15"/>
  <c r="H206" i="15" s="1"/>
  <c r="H213" i="15" s="1"/>
  <c r="F8" i="19"/>
  <c r="D223" i="15"/>
  <c r="H216" i="15"/>
  <c r="G218" i="15"/>
  <c r="H218" i="15" s="1"/>
  <c r="F223" i="15"/>
  <c r="G211" i="15"/>
  <c r="H211" i="15" s="1"/>
  <c r="H195" i="15"/>
  <c r="H197" i="15"/>
  <c r="I198" i="15"/>
  <c r="H196" i="15"/>
  <c r="I201" i="15"/>
  <c r="H199" i="15"/>
  <c r="G204" i="15"/>
  <c r="H209" i="15"/>
  <c r="H217" i="15"/>
  <c r="H194" i="15"/>
  <c r="E223" i="15"/>
  <c r="H200" i="15"/>
  <c r="G223" i="15" l="1"/>
  <c r="I223" i="15" s="1"/>
  <c r="G219" i="15"/>
  <c r="H219" i="15" s="1"/>
  <c r="I218" i="15"/>
  <c r="I211" i="15"/>
  <c r="I204" i="15"/>
  <c r="H204" i="15"/>
  <c r="I219" i="15" l="1"/>
  <c r="H223" i="15"/>
  <c r="L105" i="6"/>
  <c r="Y142" i="6"/>
  <c r="P136" i="6"/>
  <c r="B136" i="6"/>
  <c r="P135" i="6"/>
  <c r="B135" i="6"/>
  <c r="P134" i="6"/>
  <c r="B134" i="6"/>
  <c r="P133" i="6"/>
  <c r="B133" i="6"/>
  <c r="P132" i="6"/>
  <c r="B132" i="6"/>
  <c r="U130" i="6"/>
  <c r="P124" i="6"/>
  <c r="B124" i="6"/>
  <c r="P123" i="6"/>
  <c r="B123" i="6"/>
  <c r="P122" i="6"/>
  <c r="B122" i="6"/>
  <c r="P121" i="6"/>
  <c r="B121" i="6"/>
  <c r="P120" i="6"/>
  <c r="B120" i="6"/>
  <c r="U118" i="6"/>
  <c r="P111" i="6"/>
  <c r="B111" i="6"/>
  <c r="V110" i="6"/>
  <c r="V136" i="6" s="1"/>
  <c r="U110" i="6"/>
  <c r="U136" i="6" s="1"/>
  <c r="T110" i="6"/>
  <c r="S110" i="6"/>
  <c r="S136" i="6" s="1"/>
  <c r="R110" i="6"/>
  <c r="R136" i="6" s="1"/>
  <c r="Q110" i="6"/>
  <c r="Q136" i="6" s="1"/>
  <c r="H110" i="6"/>
  <c r="H136" i="6" s="1"/>
  <c r="G110" i="6"/>
  <c r="G136" i="6" s="1"/>
  <c r="F110" i="6"/>
  <c r="E110" i="6"/>
  <c r="E136" i="6" s="1"/>
  <c r="D110" i="6"/>
  <c r="D136" i="6" s="1"/>
  <c r="C110" i="6"/>
  <c r="C111" i="6" s="1"/>
  <c r="X109" i="6"/>
  <c r="W109" i="6"/>
  <c r="Y109" i="6" s="1"/>
  <c r="Z109" i="6" s="1"/>
  <c r="AA109" i="6" s="1"/>
  <c r="I109" i="6"/>
  <c r="K109" i="6" s="1"/>
  <c r="L109" i="6" s="1"/>
  <c r="M109" i="6" s="1"/>
  <c r="X108" i="6"/>
  <c r="W108" i="6"/>
  <c r="Y108" i="6" s="1"/>
  <c r="Z108" i="6" s="1"/>
  <c r="AA108" i="6" s="1"/>
  <c r="I108" i="6"/>
  <c r="X107" i="6"/>
  <c r="W107" i="6"/>
  <c r="Y107" i="6" s="1"/>
  <c r="Z107" i="6" s="1"/>
  <c r="AA107" i="6" s="1"/>
  <c r="I107" i="6"/>
  <c r="J107" i="6" s="1"/>
  <c r="Z106" i="6"/>
  <c r="X106" i="6"/>
  <c r="W106" i="6"/>
  <c r="I106" i="6"/>
  <c r="J106" i="6" s="1"/>
  <c r="X105" i="6"/>
  <c r="W105" i="6"/>
  <c r="Y105" i="6" s="1"/>
  <c r="Z105" i="6" s="1"/>
  <c r="AA105" i="6" s="1"/>
  <c r="I105" i="6"/>
  <c r="J105" i="6" s="1"/>
  <c r="X104" i="6"/>
  <c r="W104" i="6"/>
  <c r="Y104" i="6" s="1"/>
  <c r="Z104" i="6" s="1"/>
  <c r="AA104" i="6" s="1"/>
  <c r="I104" i="6"/>
  <c r="J104" i="6" s="1"/>
  <c r="U103" i="6"/>
  <c r="G103" i="6"/>
  <c r="P100" i="6"/>
  <c r="B100" i="6"/>
  <c r="V99" i="6"/>
  <c r="V135" i="6" s="1"/>
  <c r="U99" i="6"/>
  <c r="U135" i="6" s="1"/>
  <c r="T99" i="6"/>
  <c r="S99" i="6"/>
  <c r="S135" i="6" s="1"/>
  <c r="R99" i="6"/>
  <c r="R135" i="6" s="1"/>
  <c r="Q99" i="6"/>
  <c r="Q135" i="6" s="1"/>
  <c r="H99" i="6"/>
  <c r="H135" i="6" s="1"/>
  <c r="G99" i="6"/>
  <c r="G135" i="6" s="1"/>
  <c r="F99" i="6"/>
  <c r="F135" i="6" s="1"/>
  <c r="E99" i="6"/>
  <c r="E135" i="6" s="1"/>
  <c r="D99" i="6"/>
  <c r="D135" i="6" s="1"/>
  <c r="C99" i="6"/>
  <c r="C100" i="6" s="1"/>
  <c r="X98" i="6"/>
  <c r="W98" i="6"/>
  <c r="Y98" i="6" s="1"/>
  <c r="Z98" i="6" s="1"/>
  <c r="AA98" i="6" s="1"/>
  <c r="I98" i="6"/>
  <c r="X97" i="6"/>
  <c r="W97" i="6"/>
  <c r="Y97" i="6" s="1"/>
  <c r="Z97" i="6" s="1"/>
  <c r="AA97" i="6" s="1"/>
  <c r="I97" i="6"/>
  <c r="K97" i="6" s="1"/>
  <c r="L97" i="6" s="1"/>
  <c r="M97" i="6" s="1"/>
  <c r="X96" i="6"/>
  <c r="W96" i="6"/>
  <c r="Y96" i="6" s="1"/>
  <c r="Z96" i="6" s="1"/>
  <c r="AA96" i="6" s="1"/>
  <c r="I96" i="6"/>
  <c r="J96" i="6" s="1"/>
  <c r="X95" i="6"/>
  <c r="W95" i="6"/>
  <c r="Y95" i="6" s="1"/>
  <c r="Z95" i="6" s="1"/>
  <c r="AA95" i="6" s="1"/>
  <c r="I95" i="6"/>
  <c r="J95" i="6" s="1"/>
  <c r="X94" i="6"/>
  <c r="W94" i="6"/>
  <c r="Y94" i="6" s="1"/>
  <c r="Z94" i="6" s="1"/>
  <c r="AA94" i="6" s="1"/>
  <c r="I94" i="6"/>
  <c r="X93" i="6"/>
  <c r="W93" i="6"/>
  <c r="Y93" i="6" s="1"/>
  <c r="Z93" i="6" s="1"/>
  <c r="AA93" i="6" s="1"/>
  <c r="K93" i="6"/>
  <c r="L93" i="6" s="1"/>
  <c r="M93" i="6" s="1"/>
  <c r="U92" i="6"/>
  <c r="G92" i="6"/>
  <c r="P89" i="6"/>
  <c r="B89" i="6"/>
  <c r="V88" i="6"/>
  <c r="V134" i="6" s="1"/>
  <c r="U88" i="6"/>
  <c r="U134" i="6" s="1"/>
  <c r="T88" i="6"/>
  <c r="T134" i="6" s="1"/>
  <c r="S88" i="6"/>
  <c r="S134" i="6" s="1"/>
  <c r="R88" i="6"/>
  <c r="R134" i="6" s="1"/>
  <c r="Q88" i="6"/>
  <c r="Q89" i="6" s="1"/>
  <c r="H88" i="6"/>
  <c r="H134" i="6" s="1"/>
  <c r="G88" i="6"/>
  <c r="G134" i="6" s="1"/>
  <c r="F88" i="6"/>
  <c r="E88" i="6"/>
  <c r="E134" i="6" s="1"/>
  <c r="D88" i="6"/>
  <c r="D134" i="6" s="1"/>
  <c r="C88" i="6"/>
  <c r="C89" i="6" s="1"/>
  <c r="X87" i="6"/>
  <c r="W87" i="6"/>
  <c r="Y87" i="6" s="1"/>
  <c r="Z87" i="6" s="1"/>
  <c r="AA87" i="6" s="1"/>
  <c r="I87" i="6"/>
  <c r="J87" i="6" s="1"/>
  <c r="X86" i="6"/>
  <c r="W86" i="6"/>
  <c r="Y86" i="6" s="1"/>
  <c r="Z86" i="6" s="1"/>
  <c r="AA86" i="6" s="1"/>
  <c r="I86" i="6"/>
  <c r="J86" i="6" s="1"/>
  <c r="X85" i="6"/>
  <c r="W85" i="6"/>
  <c r="Y85" i="6" s="1"/>
  <c r="Z85" i="6" s="1"/>
  <c r="AA85" i="6" s="1"/>
  <c r="I85" i="6"/>
  <c r="X84" i="6"/>
  <c r="W84" i="6"/>
  <c r="Y84" i="6" s="1"/>
  <c r="Z84" i="6" s="1"/>
  <c r="AA84" i="6" s="1"/>
  <c r="I84" i="6"/>
  <c r="J84" i="6" s="1"/>
  <c r="X83" i="6"/>
  <c r="W83" i="6"/>
  <c r="Y83" i="6" s="1"/>
  <c r="Z83" i="6" s="1"/>
  <c r="AA83" i="6" s="1"/>
  <c r="I83" i="6"/>
  <c r="J83" i="6" s="1"/>
  <c r="X82" i="6"/>
  <c r="W82" i="6"/>
  <c r="Y82" i="6" s="1"/>
  <c r="Z82" i="6" s="1"/>
  <c r="AA82" i="6" s="1"/>
  <c r="I82" i="6"/>
  <c r="J82" i="6" s="1"/>
  <c r="U81" i="6"/>
  <c r="G81" i="6"/>
  <c r="P78" i="6"/>
  <c r="B78" i="6"/>
  <c r="V77" i="6"/>
  <c r="V133" i="6" s="1"/>
  <c r="U77" i="6"/>
  <c r="U133" i="6" s="1"/>
  <c r="T77" i="6"/>
  <c r="S77" i="6"/>
  <c r="S133" i="6" s="1"/>
  <c r="R77" i="6"/>
  <c r="R133" i="6" s="1"/>
  <c r="Q77" i="6"/>
  <c r="Q78" i="6" s="1"/>
  <c r="H77" i="6"/>
  <c r="H133" i="6" s="1"/>
  <c r="G77" i="6"/>
  <c r="G133" i="6" s="1"/>
  <c r="F77" i="6"/>
  <c r="F133" i="6" s="1"/>
  <c r="E77" i="6"/>
  <c r="E133" i="6" s="1"/>
  <c r="D77" i="6"/>
  <c r="D133" i="6" s="1"/>
  <c r="C77" i="6"/>
  <c r="C133" i="6" s="1"/>
  <c r="W76" i="6"/>
  <c r="X76" i="6" s="1"/>
  <c r="I76" i="6"/>
  <c r="W75" i="6"/>
  <c r="Y75" i="6" s="1"/>
  <c r="Z75" i="6" s="1"/>
  <c r="AA75" i="6" s="1"/>
  <c r="I75" i="6"/>
  <c r="J75" i="6" s="1"/>
  <c r="W74" i="6"/>
  <c r="Y74" i="6" s="1"/>
  <c r="Z74" i="6" s="1"/>
  <c r="AA74" i="6" s="1"/>
  <c r="I74" i="6"/>
  <c r="J74" i="6" s="1"/>
  <c r="W73" i="6"/>
  <c r="Y73" i="6" s="1"/>
  <c r="Z73" i="6" s="1"/>
  <c r="AA73" i="6" s="1"/>
  <c r="I73" i="6"/>
  <c r="J73" i="6" s="1"/>
  <c r="W72" i="6"/>
  <c r="X72" i="6" s="1"/>
  <c r="I72" i="6"/>
  <c r="W71" i="6"/>
  <c r="Y71" i="6" s="1"/>
  <c r="Z71" i="6" s="1"/>
  <c r="AA71" i="6" s="1"/>
  <c r="I71" i="6"/>
  <c r="K71" i="6" s="1"/>
  <c r="L71" i="6" s="1"/>
  <c r="M71" i="6" s="1"/>
  <c r="U70" i="6"/>
  <c r="G70" i="6"/>
  <c r="P67" i="6"/>
  <c r="B67" i="6"/>
  <c r="V66" i="6"/>
  <c r="V132" i="6" s="1"/>
  <c r="U66" i="6"/>
  <c r="U132" i="6" s="1"/>
  <c r="T66" i="6"/>
  <c r="S66" i="6"/>
  <c r="S132" i="6" s="1"/>
  <c r="R66" i="6"/>
  <c r="R132" i="6" s="1"/>
  <c r="Q66" i="6"/>
  <c r="H66" i="6"/>
  <c r="H132" i="6" s="1"/>
  <c r="G66" i="6"/>
  <c r="G132" i="6" s="1"/>
  <c r="F66" i="6"/>
  <c r="F132" i="6" s="1"/>
  <c r="E66" i="6"/>
  <c r="E132" i="6" s="1"/>
  <c r="D66" i="6"/>
  <c r="D132" i="6" s="1"/>
  <c r="C66" i="6"/>
  <c r="C67" i="6" s="1"/>
  <c r="W65" i="6"/>
  <c r="X65" i="6" s="1"/>
  <c r="I65" i="6"/>
  <c r="W64" i="6"/>
  <c r="Y64" i="6" s="1"/>
  <c r="Z64" i="6" s="1"/>
  <c r="AA64" i="6" s="1"/>
  <c r="I64" i="6"/>
  <c r="J64" i="6" s="1"/>
  <c r="W63" i="6"/>
  <c r="Y63" i="6" s="1"/>
  <c r="Z63" i="6" s="1"/>
  <c r="AA63" i="6" s="1"/>
  <c r="I63" i="6"/>
  <c r="K63" i="6" s="1"/>
  <c r="L63" i="6" s="1"/>
  <c r="M63" i="6" s="1"/>
  <c r="W62" i="6"/>
  <c r="Y62" i="6" s="1"/>
  <c r="Z62" i="6" s="1"/>
  <c r="AA62" i="6" s="1"/>
  <c r="I62" i="6"/>
  <c r="K62" i="6" s="1"/>
  <c r="L62" i="6" s="1"/>
  <c r="M62" i="6" s="1"/>
  <c r="W61" i="6"/>
  <c r="X61" i="6" s="1"/>
  <c r="I61" i="6"/>
  <c r="K61" i="6" s="1"/>
  <c r="W60" i="6"/>
  <c r="Y60" i="6" s="1"/>
  <c r="Z60" i="6" s="1"/>
  <c r="AA60" i="6" s="1"/>
  <c r="J60" i="6"/>
  <c r="U59" i="6"/>
  <c r="G59" i="6"/>
  <c r="P56" i="6"/>
  <c r="B56" i="6"/>
  <c r="V55" i="6"/>
  <c r="V124" i="6" s="1"/>
  <c r="U55" i="6"/>
  <c r="U124" i="6" s="1"/>
  <c r="T55" i="6"/>
  <c r="T124" i="6" s="1"/>
  <c r="S55" i="6"/>
  <c r="S124" i="6" s="1"/>
  <c r="R55" i="6"/>
  <c r="R124" i="6" s="1"/>
  <c r="Q55" i="6"/>
  <c r="Q124" i="6" s="1"/>
  <c r="H55" i="6"/>
  <c r="H124" i="6" s="1"/>
  <c r="G55" i="6"/>
  <c r="G124" i="6" s="1"/>
  <c r="F55" i="6"/>
  <c r="F124" i="6" s="1"/>
  <c r="E55" i="6"/>
  <c r="E124" i="6" s="1"/>
  <c r="D55" i="6"/>
  <c r="D124" i="6" s="1"/>
  <c r="C55" i="6"/>
  <c r="C124" i="6" s="1"/>
  <c r="W54" i="6"/>
  <c r="Y54" i="6" s="1"/>
  <c r="Z54" i="6" s="1"/>
  <c r="AA54" i="6" s="1"/>
  <c r="I54" i="6"/>
  <c r="K54" i="6" s="1"/>
  <c r="L54" i="6" s="1"/>
  <c r="M54" i="6" s="1"/>
  <c r="W53" i="6"/>
  <c r="Y53" i="6" s="1"/>
  <c r="Z53" i="6" s="1"/>
  <c r="AA53" i="6" s="1"/>
  <c r="I53" i="6"/>
  <c r="K53" i="6" s="1"/>
  <c r="L53" i="6" s="1"/>
  <c r="M53" i="6" s="1"/>
  <c r="W52" i="6"/>
  <c r="X52" i="6" s="1"/>
  <c r="I52" i="6"/>
  <c r="W51" i="6"/>
  <c r="Y51" i="6" s="1"/>
  <c r="Z51" i="6" s="1"/>
  <c r="AA51" i="6" s="1"/>
  <c r="I51" i="6"/>
  <c r="K51" i="6" s="1"/>
  <c r="L51" i="6" s="1"/>
  <c r="M51" i="6" s="1"/>
  <c r="W50" i="6"/>
  <c r="Y50" i="6" s="1"/>
  <c r="Z50" i="6" s="1"/>
  <c r="AA50" i="6" s="1"/>
  <c r="I50" i="6"/>
  <c r="K50" i="6" s="1"/>
  <c r="L50" i="6" s="1"/>
  <c r="M50" i="6" s="1"/>
  <c r="W49" i="6"/>
  <c r="Y49" i="6" s="1"/>
  <c r="Z49" i="6" s="1"/>
  <c r="AA49" i="6" s="1"/>
  <c r="I49" i="6"/>
  <c r="K49" i="6" s="1"/>
  <c r="L49" i="6" s="1"/>
  <c r="M49" i="6" s="1"/>
  <c r="U48" i="6"/>
  <c r="G48" i="6"/>
  <c r="G130" i="6" s="1"/>
  <c r="P45" i="6"/>
  <c r="B45" i="6"/>
  <c r="V44" i="6"/>
  <c r="V123" i="6" s="1"/>
  <c r="U44" i="6"/>
  <c r="U123" i="6" s="1"/>
  <c r="T44" i="6"/>
  <c r="S44" i="6"/>
  <c r="S123" i="6" s="1"/>
  <c r="R44" i="6"/>
  <c r="R123" i="6" s="1"/>
  <c r="Q44" i="6"/>
  <c r="Q123" i="6" s="1"/>
  <c r="H44" i="6"/>
  <c r="H123" i="6" s="1"/>
  <c r="G44" i="6"/>
  <c r="G123" i="6" s="1"/>
  <c r="F44" i="6"/>
  <c r="F123" i="6" s="1"/>
  <c r="E44" i="6"/>
  <c r="E123" i="6" s="1"/>
  <c r="D44" i="6"/>
  <c r="D123" i="6" s="1"/>
  <c r="C44" i="6"/>
  <c r="C45" i="6" s="1"/>
  <c r="W43" i="6"/>
  <c r="X43" i="6" s="1"/>
  <c r="I43" i="6"/>
  <c r="W42" i="6"/>
  <c r="Y42" i="6" s="1"/>
  <c r="Z42" i="6" s="1"/>
  <c r="AA42" i="6" s="1"/>
  <c r="I42" i="6"/>
  <c r="K42" i="6" s="1"/>
  <c r="L42" i="6" s="1"/>
  <c r="M42" i="6" s="1"/>
  <c r="W41" i="6"/>
  <c r="X41" i="6" s="1"/>
  <c r="I41" i="6"/>
  <c r="K41" i="6" s="1"/>
  <c r="L41" i="6" s="1"/>
  <c r="M41" i="6" s="1"/>
  <c r="W40" i="6"/>
  <c r="Y40" i="6" s="1"/>
  <c r="Z40" i="6" s="1"/>
  <c r="AA40" i="6" s="1"/>
  <c r="I40" i="6"/>
  <c r="K40" i="6" s="1"/>
  <c r="L40" i="6" s="1"/>
  <c r="M40" i="6" s="1"/>
  <c r="W39" i="6"/>
  <c r="X39" i="6" s="1"/>
  <c r="I39" i="6"/>
  <c r="W38" i="6"/>
  <c r="Y38" i="6" s="1"/>
  <c r="Z38" i="6" s="1"/>
  <c r="AA38" i="6" s="1"/>
  <c r="I38" i="6"/>
  <c r="K38" i="6" s="1"/>
  <c r="L38" i="6" s="1"/>
  <c r="M38" i="6" s="1"/>
  <c r="U37" i="6"/>
  <c r="G37" i="6"/>
  <c r="P34" i="6"/>
  <c r="B34" i="6"/>
  <c r="V33" i="6"/>
  <c r="V122" i="6" s="1"/>
  <c r="U33" i="6"/>
  <c r="U122" i="6" s="1"/>
  <c r="T33" i="6"/>
  <c r="T122" i="6" s="1"/>
  <c r="S33" i="6"/>
  <c r="S122" i="6" s="1"/>
  <c r="R33" i="6"/>
  <c r="R122" i="6" s="1"/>
  <c r="Q33" i="6"/>
  <c r="Q122" i="6" s="1"/>
  <c r="H33" i="6"/>
  <c r="H122" i="6" s="1"/>
  <c r="G33" i="6"/>
  <c r="G122" i="6" s="1"/>
  <c r="F33" i="6"/>
  <c r="F122" i="6" s="1"/>
  <c r="E33" i="6"/>
  <c r="E122" i="6" s="1"/>
  <c r="D33" i="6"/>
  <c r="D122" i="6" s="1"/>
  <c r="C33" i="6"/>
  <c r="C122" i="6" s="1"/>
  <c r="W32" i="6"/>
  <c r="X32" i="6" s="1"/>
  <c r="I32" i="6"/>
  <c r="K32" i="6" s="1"/>
  <c r="L32" i="6" s="1"/>
  <c r="M32" i="6" s="1"/>
  <c r="W31" i="6"/>
  <c r="Y31" i="6" s="1"/>
  <c r="Z31" i="6" s="1"/>
  <c r="AA31" i="6" s="1"/>
  <c r="I31" i="6"/>
  <c r="K31" i="6" s="1"/>
  <c r="L31" i="6" s="1"/>
  <c r="M31" i="6" s="1"/>
  <c r="W30" i="6"/>
  <c r="X30" i="6" s="1"/>
  <c r="I30" i="6"/>
  <c r="W29" i="6"/>
  <c r="Y29" i="6" s="1"/>
  <c r="Z29" i="6" s="1"/>
  <c r="AA29" i="6" s="1"/>
  <c r="I29" i="6"/>
  <c r="K29" i="6" s="1"/>
  <c r="L29" i="6" s="1"/>
  <c r="M29" i="6" s="1"/>
  <c r="W28" i="6"/>
  <c r="X28" i="6" s="1"/>
  <c r="I28" i="6"/>
  <c r="K28" i="6" s="1"/>
  <c r="L28" i="6" s="1"/>
  <c r="M28" i="6" s="1"/>
  <c r="W27" i="6"/>
  <c r="Y27" i="6" s="1"/>
  <c r="Z27" i="6" s="1"/>
  <c r="AA27" i="6" s="1"/>
  <c r="I27" i="6"/>
  <c r="K27" i="6" s="1"/>
  <c r="L27" i="6" s="1"/>
  <c r="M27" i="6" s="1"/>
  <c r="U26" i="6"/>
  <c r="G26" i="6"/>
  <c r="P23" i="6"/>
  <c r="B23" i="6"/>
  <c r="V22" i="6"/>
  <c r="V121" i="6" s="1"/>
  <c r="U22" i="6"/>
  <c r="U121" i="6" s="1"/>
  <c r="T22" i="6"/>
  <c r="S22" i="6"/>
  <c r="S121" i="6" s="1"/>
  <c r="R22" i="6"/>
  <c r="R121" i="6" s="1"/>
  <c r="Q22" i="6"/>
  <c r="Q121" i="6" s="1"/>
  <c r="H22" i="6"/>
  <c r="H121" i="6" s="1"/>
  <c r="G22" i="6"/>
  <c r="G121" i="6" s="1"/>
  <c r="F22" i="6"/>
  <c r="F121" i="6" s="1"/>
  <c r="E22" i="6"/>
  <c r="E121" i="6" s="1"/>
  <c r="D22" i="6"/>
  <c r="D121" i="6" s="1"/>
  <c r="C22" i="6"/>
  <c r="C121" i="6" s="1"/>
  <c r="W21" i="6"/>
  <c r="X21" i="6" s="1"/>
  <c r="I21" i="6"/>
  <c r="K21" i="6" s="1"/>
  <c r="L21" i="6" s="1"/>
  <c r="M21" i="6" s="1"/>
  <c r="W20" i="6"/>
  <c r="X20" i="6" s="1"/>
  <c r="I20" i="6"/>
  <c r="J20" i="6" s="1"/>
  <c r="W19" i="6"/>
  <c r="I19" i="6"/>
  <c r="K19" i="6" s="1"/>
  <c r="L19" i="6" s="1"/>
  <c r="M19" i="6" s="1"/>
  <c r="W18" i="6"/>
  <c r="Y18" i="6" s="1"/>
  <c r="Z18" i="6" s="1"/>
  <c r="AA18" i="6" s="1"/>
  <c r="I18" i="6"/>
  <c r="K18" i="6" s="1"/>
  <c r="L18" i="6" s="1"/>
  <c r="M18" i="6" s="1"/>
  <c r="W17" i="6"/>
  <c r="X17" i="6" s="1"/>
  <c r="I17" i="6"/>
  <c r="K17" i="6" s="1"/>
  <c r="L17" i="6" s="1"/>
  <c r="M17" i="6" s="1"/>
  <c r="W16" i="6"/>
  <c r="Y16" i="6" s="1"/>
  <c r="Z16" i="6" s="1"/>
  <c r="AA16" i="6" s="1"/>
  <c r="I16" i="6"/>
  <c r="K16" i="6" s="1"/>
  <c r="L16" i="6" s="1"/>
  <c r="M16" i="6" s="1"/>
  <c r="U15" i="6"/>
  <c r="Q15" i="6"/>
  <c r="Q26" i="6" s="1"/>
  <c r="Q37" i="6" s="1"/>
  <c r="Q48" i="6" s="1"/>
  <c r="Q59" i="6" s="1"/>
  <c r="Q70" i="6" s="1"/>
  <c r="Q81" i="6" s="1"/>
  <c r="Q92" i="6" s="1"/>
  <c r="Q103" i="6" s="1"/>
  <c r="G15" i="6"/>
  <c r="C15" i="6"/>
  <c r="C26" i="6" s="1"/>
  <c r="C37" i="6" s="1"/>
  <c r="C48" i="6" s="1"/>
  <c r="C59" i="6" s="1"/>
  <c r="C70" i="6" s="1"/>
  <c r="C81" i="6" s="1"/>
  <c r="C92" i="6" s="1"/>
  <c r="C103" i="6" s="1"/>
  <c r="P12" i="6"/>
  <c r="V11" i="6"/>
  <c r="V120" i="6" s="1"/>
  <c r="U11" i="6"/>
  <c r="U120" i="6" s="1"/>
  <c r="T11" i="6"/>
  <c r="T120" i="6" s="1"/>
  <c r="S11" i="6"/>
  <c r="S120" i="6" s="1"/>
  <c r="R11" i="6"/>
  <c r="R120" i="6" s="1"/>
  <c r="Q11" i="6"/>
  <c r="Q120" i="6" s="1"/>
  <c r="H11" i="6"/>
  <c r="H120" i="6" s="1"/>
  <c r="G11" i="6"/>
  <c r="G120" i="6" s="1"/>
  <c r="F11" i="6"/>
  <c r="F120" i="6" s="1"/>
  <c r="E11" i="6"/>
  <c r="E120" i="6" s="1"/>
  <c r="D11" i="6"/>
  <c r="D120" i="6" s="1"/>
  <c r="C11" i="6"/>
  <c r="W10" i="6"/>
  <c r="Y10" i="6" s="1"/>
  <c r="Z10" i="6" s="1"/>
  <c r="AA10" i="6" s="1"/>
  <c r="I10" i="6"/>
  <c r="J10" i="6" s="1"/>
  <c r="W9" i="6"/>
  <c r="Y9" i="6" s="1"/>
  <c r="Z9" i="6" s="1"/>
  <c r="AA9" i="6" s="1"/>
  <c r="I9" i="6"/>
  <c r="J9" i="6" s="1"/>
  <c r="W8" i="6"/>
  <c r="Y8" i="6" s="1"/>
  <c r="Z8" i="6" s="1"/>
  <c r="AA8" i="6" s="1"/>
  <c r="I8" i="6"/>
  <c r="W7" i="6"/>
  <c r="Y7" i="6" s="1"/>
  <c r="Z7" i="6" s="1"/>
  <c r="AA7" i="6" s="1"/>
  <c r="I7" i="6"/>
  <c r="K7" i="6" s="1"/>
  <c r="L7" i="6" s="1"/>
  <c r="M7" i="6" s="1"/>
  <c r="W6" i="6"/>
  <c r="Y6" i="6" s="1"/>
  <c r="Z6" i="6" s="1"/>
  <c r="AA6" i="6" s="1"/>
  <c r="I6" i="6"/>
  <c r="J6" i="6" s="1"/>
  <c r="W5" i="6"/>
  <c r="Y5" i="6" s="1"/>
  <c r="Z5" i="6" s="1"/>
  <c r="AA5" i="6" s="1"/>
  <c r="I5" i="6"/>
  <c r="J5" i="6" s="1"/>
  <c r="U4" i="6"/>
  <c r="K4" i="6"/>
  <c r="G10" i="19" s="1"/>
  <c r="F4" i="6"/>
  <c r="E9" i="19" s="1"/>
  <c r="M105" i="6" l="1"/>
  <c r="Y30" i="6"/>
  <c r="Z30" i="6" s="1"/>
  <c r="AA30" i="6" s="1"/>
  <c r="Y39" i="6"/>
  <c r="Z39" i="6" s="1"/>
  <c r="AA39" i="6" s="1"/>
  <c r="K107" i="6"/>
  <c r="L107" i="6" s="1"/>
  <c r="M107" i="6" s="1"/>
  <c r="X51" i="6"/>
  <c r="J41" i="6"/>
  <c r="J29" i="6"/>
  <c r="J21" i="6"/>
  <c r="X49" i="6"/>
  <c r="K84" i="6"/>
  <c r="L84" i="6" s="1"/>
  <c r="M84" i="6" s="1"/>
  <c r="J51" i="6"/>
  <c r="J63" i="6"/>
  <c r="K82" i="6"/>
  <c r="L82" i="6" s="1"/>
  <c r="M82" i="6" s="1"/>
  <c r="J71" i="6"/>
  <c r="K64" i="6"/>
  <c r="L64" i="6" s="1"/>
  <c r="M64" i="6" s="1"/>
  <c r="K6" i="6"/>
  <c r="L6" i="6" s="1"/>
  <c r="M6" i="6" s="1"/>
  <c r="W110" i="6"/>
  <c r="Y110" i="6" s="1"/>
  <c r="Z110" i="6" s="1"/>
  <c r="I120" i="6"/>
  <c r="L120" i="6" s="1"/>
  <c r="X60" i="6"/>
  <c r="X18" i="6"/>
  <c r="K106" i="6"/>
  <c r="L106" i="6" s="1"/>
  <c r="M106" i="6" s="1"/>
  <c r="K60" i="6"/>
  <c r="L60" i="6" s="1"/>
  <c r="M60" i="6" s="1"/>
  <c r="J38" i="6"/>
  <c r="J16" i="6"/>
  <c r="K10" i="6"/>
  <c r="L10" i="6" s="1"/>
  <c r="M10" i="6" s="1"/>
  <c r="I88" i="6"/>
  <c r="J88" i="6" s="1"/>
  <c r="X64" i="6"/>
  <c r="X63" i="6"/>
  <c r="Y65" i="6"/>
  <c r="Z65" i="6" s="1"/>
  <c r="AA65" i="6" s="1"/>
  <c r="W55" i="6"/>
  <c r="X55" i="6" s="1"/>
  <c r="W33" i="6"/>
  <c r="X33" i="6" s="1"/>
  <c r="Y20" i="6"/>
  <c r="Z20" i="6" s="1"/>
  <c r="AA20" i="6" s="1"/>
  <c r="AA119" i="6"/>
  <c r="I193" i="15"/>
  <c r="F92" i="6"/>
  <c r="E192" i="15"/>
  <c r="I77" i="6"/>
  <c r="I78" i="6" s="1"/>
  <c r="J42" i="6"/>
  <c r="J19" i="6"/>
  <c r="J7" i="6"/>
  <c r="F37" i="6"/>
  <c r="F15" i="6"/>
  <c r="F59" i="6"/>
  <c r="K15" i="6"/>
  <c r="K26" i="6" s="1"/>
  <c r="T4" i="6"/>
  <c r="T59" i="6" s="1"/>
  <c r="Q56" i="6"/>
  <c r="C123" i="6"/>
  <c r="S137" i="6"/>
  <c r="S145" i="6" s="1"/>
  <c r="T136" i="6"/>
  <c r="W136" i="6" s="1"/>
  <c r="AA106" i="6"/>
  <c r="AA110" i="6" s="1"/>
  <c r="W88" i="6"/>
  <c r="X88" i="6" s="1"/>
  <c r="AB134" i="6"/>
  <c r="AA62" i="14" s="1"/>
  <c r="U137" i="6"/>
  <c r="U145" i="6" s="1"/>
  <c r="X71" i="6"/>
  <c r="Q133" i="6"/>
  <c r="Y72" i="6"/>
  <c r="Z72" i="6" s="1"/>
  <c r="AA72" i="6" s="1"/>
  <c r="X75" i="6"/>
  <c r="Y76" i="6"/>
  <c r="Z76" i="6" s="1"/>
  <c r="AA76" i="6" s="1"/>
  <c r="Y61" i="6"/>
  <c r="Z61" i="6" s="1"/>
  <c r="AA61" i="6" s="1"/>
  <c r="X54" i="6"/>
  <c r="X50" i="6"/>
  <c r="Y52" i="6"/>
  <c r="Z52" i="6" s="1"/>
  <c r="AA52" i="6" s="1"/>
  <c r="AA55" i="6" s="1"/>
  <c r="X42" i="6"/>
  <c r="X38" i="6"/>
  <c r="Y43" i="6"/>
  <c r="Z43" i="6" s="1"/>
  <c r="AA43" i="6" s="1"/>
  <c r="X40" i="6"/>
  <c r="X27" i="6"/>
  <c r="X29" i="6"/>
  <c r="X16" i="6"/>
  <c r="Y21" i="6"/>
  <c r="Z21" i="6" s="1"/>
  <c r="AA21" i="6" s="1"/>
  <c r="V125" i="6"/>
  <c r="V144" i="6" s="1"/>
  <c r="Y17" i="6"/>
  <c r="Z17" i="6" s="1"/>
  <c r="AA17" i="6" s="1"/>
  <c r="X8" i="6"/>
  <c r="X7" i="6"/>
  <c r="X9" i="6"/>
  <c r="W11" i="6"/>
  <c r="X11" i="6" s="1"/>
  <c r="K104" i="6"/>
  <c r="L104" i="6" s="1"/>
  <c r="M104" i="6" s="1"/>
  <c r="C136" i="6"/>
  <c r="J93" i="6"/>
  <c r="J97" i="6"/>
  <c r="I99" i="6"/>
  <c r="I100" i="6" s="1"/>
  <c r="K95" i="6"/>
  <c r="L95" i="6" s="1"/>
  <c r="M95" i="6" s="1"/>
  <c r="F134" i="6"/>
  <c r="K86" i="6"/>
  <c r="L86" i="6" s="1"/>
  <c r="M86" i="6" s="1"/>
  <c r="K75" i="6"/>
  <c r="L75" i="6" s="1"/>
  <c r="M75" i="6" s="1"/>
  <c r="K73" i="6"/>
  <c r="L73" i="6" s="1"/>
  <c r="M73" i="6" s="1"/>
  <c r="C132" i="6"/>
  <c r="I66" i="6"/>
  <c r="I67" i="6" s="1"/>
  <c r="J54" i="6"/>
  <c r="C56" i="6"/>
  <c r="J50" i="6"/>
  <c r="I44" i="6"/>
  <c r="I45" i="6" s="1"/>
  <c r="J28" i="6"/>
  <c r="J32" i="6"/>
  <c r="C34" i="6"/>
  <c r="K20" i="6"/>
  <c r="L20" i="6" s="1"/>
  <c r="M20" i="6" s="1"/>
  <c r="M22" i="6" s="1"/>
  <c r="G125" i="6"/>
  <c r="G144" i="6" s="1"/>
  <c r="I22" i="6"/>
  <c r="I23" i="6" s="1"/>
  <c r="C23" i="6"/>
  <c r="K5" i="6"/>
  <c r="L5" i="6" s="1"/>
  <c r="M5" i="6" s="1"/>
  <c r="K9" i="6"/>
  <c r="L9" i="6" s="1"/>
  <c r="M9" i="6" s="1"/>
  <c r="F136" i="6"/>
  <c r="I110" i="6"/>
  <c r="T132" i="6"/>
  <c r="W66" i="6"/>
  <c r="J8" i="6"/>
  <c r="K8" i="6"/>
  <c r="L8" i="6" s="1"/>
  <c r="M8" i="6" s="1"/>
  <c r="C120" i="6"/>
  <c r="C125" i="6" s="1"/>
  <c r="C144" i="6" s="1"/>
  <c r="C12" i="6"/>
  <c r="J13" i="6" s="1"/>
  <c r="K52" i="6"/>
  <c r="L52" i="6" s="1"/>
  <c r="M52" i="6" s="1"/>
  <c r="M55" i="6" s="1"/>
  <c r="J52" i="6"/>
  <c r="K39" i="6"/>
  <c r="L39" i="6" s="1"/>
  <c r="M39" i="6" s="1"/>
  <c r="J39" i="6"/>
  <c r="X31" i="6"/>
  <c r="K43" i="6"/>
  <c r="L43" i="6" s="1"/>
  <c r="M43" i="6" s="1"/>
  <c r="J43" i="6"/>
  <c r="X19" i="6"/>
  <c r="Y19" i="6"/>
  <c r="Z19" i="6" s="1"/>
  <c r="AA19" i="6" s="1"/>
  <c r="D125" i="6"/>
  <c r="D144" i="6" s="1"/>
  <c r="Q125" i="6"/>
  <c r="Q144" i="6" s="1"/>
  <c r="K30" i="6"/>
  <c r="L30" i="6" s="1"/>
  <c r="M30" i="6" s="1"/>
  <c r="M33" i="6" s="1"/>
  <c r="J30" i="6"/>
  <c r="K65" i="6"/>
  <c r="L65" i="6" s="1"/>
  <c r="M65" i="6" s="1"/>
  <c r="J65" i="6"/>
  <c r="H125" i="6"/>
  <c r="AA99" i="6"/>
  <c r="K94" i="6"/>
  <c r="L94" i="6" s="1"/>
  <c r="M94" i="6" s="1"/>
  <c r="J94" i="6"/>
  <c r="AA11" i="6"/>
  <c r="E125" i="6"/>
  <c r="E144" i="6" s="1"/>
  <c r="R125" i="6"/>
  <c r="R144" i="6" s="1"/>
  <c r="I121" i="6"/>
  <c r="L121" i="6" s="1"/>
  <c r="M121" i="6" s="1"/>
  <c r="N121" i="6"/>
  <c r="P81" i="13" s="1"/>
  <c r="T121" i="6"/>
  <c r="W22" i="6"/>
  <c r="H137" i="6"/>
  <c r="W77" i="6"/>
  <c r="T133" i="6"/>
  <c r="K72" i="6"/>
  <c r="L72" i="6" s="1"/>
  <c r="M72" i="6" s="1"/>
  <c r="J72" i="6"/>
  <c r="T123" i="6"/>
  <c r="W44" i="6"/>
  <c r="L61" i="6"/>
  <c r="M61" i="6" s="1"/>
  <c r="J61" i="6"/>
  <c r="X53" i="6"/>
  <c r="AA143" i="6"/>
  <c r="AA131" i="6"/>
  <c r="Y4" i="6"/>
  <c r="X5" i="6"/>
  <c r="S125" i="6"/>
  <c r="S144" i="6" s="1"/>
  <c r="J17" i="6"/>
  <c r="X62" i="6"/>
  <c r="N133" i="6"/>
  <c r="AA81" i="13" s="1"/>
  <c r="I133" i="6"/>
  <c r="L133" i="6" s="1"/>
  <c r="M133" i="6" s="1"/>
  <c r="N124" i="6"/>
  <c r="P62" i="13" s="1"/>
  <c r="K76" i="6"/>
  <c r="L76" i="6" s="1"/>
  <c r="M76" i="6" s="1"/>
  <c r="J76" i="6"/>
  <c r="I124" i="6"/>
  <c r="X6" i="6"/>
  <c r="X10" i="6"/>
  <c r="J18" i="6"/>
  <c r="F26" i="6"/>
  <c r="J27" i="6"/>
  <c r="Y28" i="6"/>
  <c r="Z28" i="6" s="1"/>
  <c r="AA28" i="6" s="1"/>
  <c r="J31" i="6"/>
  <c r="Y32" i="6"/>
  <c r="Z32" i="6" s="1"/>
  <c r="AA32" i="6" s="1"/>
  <c r="J40" i="6"/>
  <c r="Y41" i="6"/>
  <c r="Z41" i="6" s="1"/>
  <c r="AA41" i="6" s="1"/>
  <c r="F48" i="6"/>
  <c r="J49" i="6"/>
  <c r="J53" i="6"/>
  <c r="J62" i="6"/>
  <c r="D137" i="6"/>
  <c r="D145" i="6" s="1"/>
  <c r="W99" i="6"/>
  <c r="T135" i="6"/>
  <c r="Q12" i="6"/>
  <c r="Q34" i="6"/>
  <c r="V137" i="6"/>
  <c r="K85" i="6"/>
  <c r="L85" i="6" s="1"/>
  <c r="M85" i="6" s="1"/>
  <c r="J85" i="6"/>
  <c r="I33" i="6"/>
  <c r="W122" i="6"/>
  <c r="AB122" i="6"/>
  <c r="G81" i="14" s="1"/>
  <c r="I55" i="6"/>
  <c r="W124" i="6"/>
  <c r="AB124" i="6"/>
  <c r="P62" i="14" s="1"/>
  <c r="E137" i="6"/>
  <c r="E145" i="6" s="1"/>
  <c r="AA88" i="6"/>
  <c r="K98" i="6"/>
  <c r="L98" i="6" s="1"/>
  <c r="M98" i="6" s="1"/>
  <c r="J98" i="6"/>
  <c r="I135" i="6"/>
  <c r="N135" i="6"/>
  <c r="AJ81" i="13" s="1"/>
  <c r="K108" i="6"/>
  <c r="L108" i="6" s="1"/>
  <c r="M108" i="6" s="1"/>
  <c r="J108" i="6"/>
  <c r="Q111" i="6"/>
  <c r="I122" i="6"/>
  <c r="N122" i="6"/>
  <c r="G81" i="13" s="1"/>
  <c r="N120" i="6"/>
  <c r="P43" i="13" s="1"/>
  <c r="F125" i="6"/>
  <c r="F144" i="6" s="1"/>
  <c r="I11" i="6"/>
  <c r="W120" i="6"/>
  <c r="AB120" i="6"/>
  <c r="P43" i="14" s="1"/>
  <c r="N123" i="6"/>
  <c r="G62" i="13" s="1"/>
  <c r="I123" i="6"/>
  <c r="N132" i="6"/>
  <c r="AJ43" i="13" s="1"/>
  <c r="I132" i="6"/>
  <c r="L132" i="6" s="1"/>
  <c r="Q132" i="6"/>
  <c r="Q67" i="6"/>
  <c r="W134" i="6"/>
  <c r="F103" i="6"/>
  <c r="F81" i="6"/>
  <c r="U125" i="6"/>
  <c r="U144" i="6" s="1"/>
  <c r="Q23" i="6"/>
  <c r="Q45" i="6"/>
  <c r="G137" i="6"/>
  <c r="G145" i="6" s="1"/>
  <c r="R137" i="6"/>
  <c r="R145" i="6" s="1"/>
  <c r="F70" i="6"/>
  <c r="X73" i="6"/>
  <c r="K74" i="6"/>
  <c r="L74" i="6" s="1"/>
  <c r="M74" i="6" s="1"/>
  <c r="K83" i="6"/>
  <c r="L83" i="6" s="1"/>
  <c r="M83" i="6" s="1"/>
  <c r="K87" i="6"/>
  <c r="L87" i="6" s="1"/>
  <c r="M87" i="6" s="1"/>
  <c r="K96" i="6"/>
  <c r="L96" i="6" s="1"/>
  <c r="M96" i="6" s="1"/>
  <c r="Q100" i="6"/>
  <c r="C135" i="6"/>
  <c r="C78" i="6"/>
  <c r="Q134" i="6"/>
  <c r="X74" i="6"/>
  <c r="J109" i="6"/>
  <c r="C134" i="6"/>
  <c r="T70" i="6" l="1"/>
  <c r="Y15" i="6"/>
  <c r="T48" i="6"/>
  <c r="Y55" i="6"/>
  <c r="Z55" i="6" s="1"/>
  <c r="W56" i="6"/>
  <c r="Y56" i="6" s="1"/>
  <c r="F137" i="6"/>
  <c r="F145" i="6" s="1"/>
  <c r="I145" i="6" s="1"/>
  <c r="M132" i="6"/>
  <c r="U146" i="6"/>
  <c r="AA33" i="6"/>
  <c r="K66" i="6"/>
  <c r="L66" i="6" s="1"/>
  <c r="M44" i="6"/>
  <c r="K22" i="6"/>
  <c r="L22" i="6" s="1"/>
  <c r="X110" i="6"/>
  <c r="W111" i="6"/>
  <c r="Y111" i="6" s="1"/>
  <c r="AA44" i="6"/>
  <c r="W12" i="6"/>
  <c r="X12" i="6" s="1"/>
  <c r="Y11" i="6"/>
  <c r="Z11" i="6" s="1"/>
  <c r="M99" i="6"/>
  <c r="J66" i="6"/>
  <c r="J22" i="6"/>
  <c r="Y33" i="6"/>
  <c r="Z33" i="6" s="1"/>
  <c r="W34" i="6"/>
  <c r="Y34" i="6" s="1"/>
  <c r="I89" i="6"/>
  <c r="J89" i="6" s="1"/>
  <c r="K88" i="6"/>
  <c r="L88" i="6" s="1"/>
  <c r="J99" i="6"/>
  <c r="AA77" i="6"/>
  <c r="S146" i="6"/>
  <c r="AA66" i="6"/>
  <c r="AA22" i="6"/>
  <c r="E207" i="15"/>
  <c r="E214" i="15"/>
  <c r="E221" i="15"/>
  <c r="I208" i="15"/>
  <c r="I222" i="15"/>
  <c r="I215" i="15"/>
  <c r="M110" i="6"/>
  <c r="K99" i="6"/>
  <c r="L99" i="6" s="1"/>
  <c r="J77" i="6"/>
  <c r="K77" i="6"/>
  <c r="L77" i="6" s="1"/>
  <c r="M77" i="6"/>
  <c r="J44" i="6"/>
  <c r="K44" i="6"/>
  <c r="L44" i="6" s="1"/>
  <c r="T81" i="6"/>
  <c r="T26" i="6"/>
  <c r="T118" i="6" s="1"/>
  <c r="T103" i="6"/>
  <c r="T15" i="6"/>
  <c r="T92" i="6" s="1"/>
  <c r="T37" i="6"/>
  <c r="M66" i="6"/>
  <c r="M11" i="6"/>
  <c r="J120" i="6"/>
  <c r="AB136" i="6"/>
  <c r="AJ62" i="14" s="1"/>
  <c r="W89" i="6"/>
  <c r="Y89" i="6" s="1"/>
  <c r="Y88" i="6"/>
  <c r="Z88" i="6" s="1"/>
  <c r="R146" i="6"/>
  <c r="I134" i="6"/>
  <c r="L134" i="6" s="1"/>
  <c r="M134" i="6" s="1"/>
  <c r="N134" i="6"/>
  <c r="AA62" i="13" s="1"/>
  <c r="C137" i="6"/>
  <c r="C145" i="6" s="1"/>
  <c r="E146" i="6"/>
  <c r="G146" i="6"/>
  <c r="Y134" i="6"/>
  <c r="X134" i="6"/>
  <c r="Y122" i="6"/>
  <c r="X122" i="6"/>
  <c r="K124" i="6"/>
  <c r="J124" i="6"/>
  <c r="H144" i="6"/>
  <c r="I111" i="6"/>
  <c r="K110" i="6"/>
  <c r="L110" i="6" s="1"/>
  <c r="J110" i="6"/>
  <c r="I34" i="6"/>
  <c r="K33" i="6"/>
  <c r="L33" i="6" s="1"/>
  <c r="J33" i="6"/>
  <c r="L124" i="6"/>
  <c r="M124" i="6" s="1"/>
  <c r="N136" i="6"/>
  <c r="AJ62" i="13" s="1"/>
  <c r="I136" i="6"/>
  <c r="J135" i="6"/>
  <c r="K135" i="6"/>
  <c r="L135" i="6"/>
  <c r="M135" i="6" s="1"/>
  <c r="J67" i="6"/>
  <c r="K67" i="6"/>
  <c r="K123" i="6"/>
  <c r="J123" i="6"/>
  <c r="I125" i="6"/>
  <c r="L125" i="6" s="1"/>
  <c r="M125" i="6" s="1"/>
  <c r="M88" i="6"/>
  <c r="J122" i="6"/>
  <c r="K122" i="6"/>
  <c r="L122" i="6"/>
  <c r="M122" i="6" s="1"/>
  <c r="K120" i="6"/>
  <c r="Z122" i="6"/>
  <c r="AA122" i="6" s="1"/>
  <c r="H145" i="6"/>
  <c r="Y44" i="6"/>
  <c r="Z44" i="6" s="1"/>
  <c r="X44" i="6"/>
  <c r="W45" i="6"/>
  <c r="W67" i="6"/>
  <c r="Y66" i="6"/>
  <c r="Z66" i="6" s="1"/>
  <c r="X66" i="6"/>
  <c r="Y136" i="6"/>
  <c r="X136" i="6"/>
  <c r="K78" i="6"/>
  <c r="J78" i="6"/>
  <c r="K45" i="6"/>
  <c r="J45" i="6"/>
  <c r="K100" i="6"/>
  <c r="J100" i="6"/>
  <c r="W123" i="6"/>
  <c r="AB123" i="6"/>
  <c r="G62" i="14" s="1"/>
  <c r="T125" i="6"/>
  <c r="T144" i="6" s="1"/>
  <c r="Y22" i="6"/>
  <c r="Z22" i="6" s="1"/>
  <c r="X22" i="6"/>
  <c r="W23" i="6"/>
  <c r="Y99" i="6"/>
  <c r="Z99" i="6" s="1"/>
  <c r="X99" i="6"/>
  <c r="W100" i="6"/>
  <c r="K133" i="6"/>
  <c r="J133" i="6"/>
  <c r="Z136" i="6"/>
  <c r="AA136" i="6" s="1"/>
  <c r="AB121" i="6"/>
  <c r="P81" i="14" s="1"/>
  <c r="W121" i="6"/>
  <c r="D146" i="6"/>
  <c r="K37" i="6"/>
  <c r="Y26" i="6"/>
  <c r="W132" i="6"/>
  <c r="T137" i="6"/>
  <c r="T145" i="6" s="1"/>
  <c r="W145" i="6" s="1"/>
  <c r="AB132" i="6"/>
  <c r="AJ43" i="14" s="1"/>
  <c r="I144" i="6"/>
  <c r="W135" i="6"/>
  <c r="AB135" i="6"/>
  <c r="AJ81" i="14" s="1"/>
  <c r="Z134" i="6"/>
  <c r="AA134" i="6" s="1"/>
  <c r="Q137" i="6"/>
  <c r="Q145" i="6" s="1"/>
  <c r="Q146" i="6" s="1"/>
  <c r="X120" i="6"/>
  <c r="Y120" i="6"/>
  <c r="Z120" i="6"/>
  <c r="AA120" i="6" s="1"/>
  <c r="X124" i="6"/>
  <c r="Y124" i="6"/>
  <c r="Z124" i="6"/>
  <c r="AA124" i="6" s="1"/>
  <c r="V145" i="6"/>
  <c r="F118" i="6"/>
  <c r="F130" i="6"/>
  <c r="F142" i="6" s="1"/>
  <c r="K23" i="6"/>
  <c r="J23" i="6"/>
  <c r="M120" i="6"/>
  <c r="W133" i="6"/>
  <c r="AB133" i="6"/>
  <c r="AA81" i="14" s="1"/>
  <c r="K132" i="6"/>
  <c r="J132" i="6"/>
  <c r="I12" i="6"/>
  <c r="J11" i="6"/>
  <c r="K11" i="6"/>
  <c r="L11" i="6" s="1"/>
  <c r="I56" i="6"/>
  <c r="K55" i="6"/>
  <c r="L55" i="6" s="1"/>
  <c r="J55" i="6"/>
  <c r="Y77" i="6"/>
  <c r="Z77" i="6" s="1"/>
  <c r="X77" i="6"/>
  <c r="W78" i="6"/>
  <c r="K121" i="6"/>
  <c r="J121" i="6"/>
  <c r="L123" i="6"/>
  <c r="M123" i="6" s="1"/>
  <c r="X56" i="6" l="1"/>
  <c r="Y12" i="6"/>
  <c r="F146" i="6"/>
  <c r="X111" i="6"/>
  <c r="W125" i="6"/>
  <c r="Y125" i="6" s="1"/>
  <c r="Y144" i="6" s="1"/>
  <c r="X34" i="6"/>
  <c r="T130" i="6"/>
  <c r="T142" i="6" s="1"/>
  <c r="X89" i="6"/>
  <c r="K89" i="6"/>
  <c r="Z145" i="6"/>
  <c r="AA145" i="6" s="1"/>
  <c r="L145" i="6"/>
  <c r="M145" i="6" s="1"/>
  <c r="J134" i="6"/>
  <c r="K145" i="6"/>
  <c r="I137" i="6"/>
  <c r="J137" i="6" s="1"/>
  <c r="K134" i="6"/>
  <c r="C146" i="6"/>
  <c r="J145" i="6"/>
  <c r="V146" i="6"/>
  <c r="X145" i="6"/>
  <c r="Y123" i="6"/>
  <c r="X123" i="6"/>
  <c r="Z123" i="6"/>
  <c r="AA123" i="6" s="1"/>
  <c r="Y67" i="6"/>
  <c r="X67" i="6"/>
  <c r="Y45" i="6"/>
  <c r="X45" i="6"/>
  <c r="J34" i="6"/>
  <c r="K34" i="6"/>
  <c r="Y135" i="6"/>
  <c r="X135" i="6"/>
  <c r="Z135" i="6"/>
  <c r="AA135" i="6" s="1"/>
  <c r="K48" i="6"/>
  <c r="Y37" i="6"/>
  <c r="K56" i="6"/>
  <c r="J56" i="6"/>
  <c r="K125" i="6"/>
  <c r="J125" i="6"/>
  <c r="K12" i="6"/>
  <c r="J12" i="6"/>
  <c r="K144" i="6"/>
  <c r="J144" i="6"/>
  <c r="I146" i="6"/>
  <c r="Y121" i="6"/>
  <c r="X121" i="6"/>
  <c r="Z121" i="6"/>
  <c r="AA121" i="6" s="1"/>
  <c r="K136" i="6"/>
  <c r="J136" i="6"/>
  <c r="L136" i="6"/>
  <c r="M136" i="6" s="1"/>
  <c r="J111" i="6"/>
  <c r="K111" i="6"/>
  <c r="Y23" i="6"/>
  <c r="X23" i="6"/>
  <c r="X133" i="6"/>
  <c r="Y133" i="6"/>
  <c r="Z133" i="6"/>
  <c r="AA133" i="6" s="1"/>
  <c r="Y132" i="6"/>
  <c r="X132" i="6"/>
  <c r="W137" i="6"/>
  <c r="Z132" i="6"/>
  <c r="AA132" i="6" s="1"/>
  <c r="Y78" i="6"/>
  <c r="X78" i="6"/>
  <c r="Y100" i="6"/>
  <c r="X100" i="6"/>
  <c r="W144" i="6"/>
  <c r="T146" i="6"/>
  <c r="H146" i="6"/>
  <c r="L144" i="6"/>
  <c r="M144" i="6" s="1"/>
  <c r="X125" i="6" l="1"/>
  <c r="Z125" i="6"/>
  <c r="AA125" i="6" s="1"/>
  <c r="L137" i="6"/>
  <c r="M137" i="6" s="1"/>
  <c r="K137" i="6"/>
  <c r="L146" i="6"/>
  <c r="M146" i="6" s="1"/>
  <c r="Y137" i="6"/>
  <c r="Y145" i="6" s="1"/>
  <c r="X137" i="6"/>
  <c r="Z137" i="6"/>
  <c r="AA137" i="6" s="1"/>
  <c r="K146" i="6"/>
  <c r="J146" i="6"/>
  <c r="W146" i="6"/>
  <c r="Z146" i="6" s="1"/>
  <c r="AA146" i="6" s="1"/>
  <c r="X144" i="6"/>
  <c r="Z144" i="6"/>
  <c r="AA144" i="6" s="1"/>
  <c r="K59" i="6"/>
  <c r="Y48" i="6"/>
  <c r="Y146" i="6" l="1"/>
  <c r="X146" i="6"/>
  <c r="K70" i="6"/>
  <c r="Y59" i="6"/>
  <c r="K81" i="6" l="1"/>
  <c r="Y70" i="6"/>
  <c r="K92" i="6" l="1"/>
  <c r="Y81" i="6"/>
  <c r="K103" i="6" l="1"/>
  <c r="Y92" i="6"/>
  <c r="Y103" i="6" l="1"/>
  <c r="M119" i="6"/>
  <c r="M131" i="6" s="1"/>
  <c r="M143" i="6" s="1"/>
  <c r="U103" i="5" l="1"/>
  <c r="W104" i="5"/>
  <c r="Y104" i="5" s="1"/>
  <c r="X104" i="5"/>
  <c r="W105" i="5"/>
  <c r="Y105" i="5" s="1"/>
  <c r="X105" i="5"/>
  <c r="W106" i="5"/>
  <c r="X106" i="5"/>
  <c r="W107" i="5"/>
  <c r="Y107" i="5" s="1"/>
  <c r="X107" i="5"/>
  <c r="W108" i="5"/>
  <c r="Y108" i="5" s="1"/>
  <c r="X108" i="5"/>
  <c r="W109" i="5"/>
  <c r="Y109" i="5" s="1"/>
  <c r="X109" i="5"/>
  <c r="Q110" i="5"/>
  <c r="R110" i="5"/>
  <c r="S110" i="5"/>
  <c r="T110" i="5"/>
  <c r="U110" i="5"/>
  <c r="V110" i="5"/>
  <c r="P111" i="5"/>
  <c r="Q111" i="5"/>
  <c r="W110" i="5" l="1"/>
  <c r="Y110" i="5" s="1"/>
  <c r="W111" i="5" l="1"/>
  <c r="X111" i="5" s="1"/>
  <c r="X110" i="5"/>
  <c r="Y111" i="5" l="1"/>
  <c r="Z109" i="5" l="1"/>
  <c r="AA109" i="5" s="1"/>
  <c r="Z106" i="5"/>
  <c r="L105" i="5"/>
  <c r="M105" i="5" s="1"/>
  <c r="B182" i="15"/>
  <c r="B152" i="15"/>
  <c r="H154" i="15" s="1"/>
  <c r="H169" i="15" s="1"/>
  <c r="H176" i="15" s="1"/>
  <c r="B115" i="15"/>
  <c r="F181" i="15"/>
  <c r="E181" i="15"/>
  <c r="G67" i="18" s="1"/>
  <c r="D181" i="15"/>
  <c r="C181" i="15"/>
  <c r="G180" i="15"/>
  <c r="G179" i="15"/>
  <c r="F174" i="15"/>
  <c r="E174" i="15"/>
  <c r="P44" i="18" s="1"/>
  <c r="D174" i="15"/>
  <c r="C174" i="15"/>
  <c r="G172" i="15"/>
  <c r="C169" i="15"/>
  <c r="F167" i="15"/>
  <c r="E167" i="15"/>
  <c r="G44" i="18" s="1"/>
  <c r="D167" i="15"/>
  <c r="C167" i="15"/>
  <c r="G166" i="15"/>
  <c r="G165" i="15"/>
  <c r="G164" i="15"/>
  <c r="G163" i="15"/>
  <c r="G162" i="15"/>
  <c r="G161" i="15"/>
  <c r="G160" i="15"/>
  <c r="G159" i="15"/>
  <c r="G158" i="15"/>
  <c r="G157" i="15"/>
  <c r="Y142" i="5"/>
  <c r="P136" i="5"/>
  <c r="B136" i="5"/>
  <c r="P135" i="5"/>
  <c r="B135" i="5"/>
  <c r="P134" i="5"/>
  <c r="B134" i="5"/>
  <c r="P133" i="5"/>
  <c r="B133" i="5"/>
  <c r="P132" i="5"/>
  <c r="B132" i="5"/>
  <c r="U130" i="5"/>
  <c r="P124" i="5"/>
  <c r="B124" i="5"/>
  <c r="P123" i="5"/>
  <c r="B123" i="5"/>
  <c r="P122" i="5"/>
  <c r="B122" i="5"/>
  <c r="P121" i="5"/>
  <c r="B121" i="5"/>
  <c r="P120" i="5"/>
  <c r="B120" i="5"/>
  <c r="U118" i="5"/>
  <c r="B111" i="5"/>
  <c r="V136" i="5"/>
  <c r="U136" i="5"/>
  <c r="S136" i="5"/>
  <c r="R136" i="5"/>
  <c r="H110" i="5"/>
  <c r="H136" i="5" s="1"/>
  <c r="G110" i="5"/>
  <c r="G136" i="5" s="1"/>
  <c r="F110" i="5"/>
  <c r="E110" i="5"/>
  <c r="E136" i="5" s="1"/>
  <c r="D110" i="5"/>
  <c r="D136" i="5" s="1"/>
  <c r="C110" i="5"/>
  <c r="I109" i="5"/>
  <c r="Z108" i="5"/>
  <c r="AA108" i="5" s="1"/>
  <c r="I108" i="5"/>
  <c r="Z107" i="5"/>
  <c r="AA107" i="5" s="1"/>
  <c r="I107" i="5"/>
  <c r="I106" i="5"/>
  <c r="Z105" i="5"/>
  <c r="AA105" i="5" s="1"/>
  <c r="I105" i="5"/>
  <c r="J105" i="5" s="1"/>
  <c r="Z104" i="5"/>
  <c r="AA104" i="5" s="1"/>
  <c r="I104" i="5"/>
  <c r="G103" i="5"/>
  <c r="P100" i="5"/>
  <c r="B100" i="5"/>
  <c r="V99" i="5"/>
  <c r="V135" i="5" s="1"/>
  <c r="U99" i="5"/>
  <c r="U135" i="5" s="1"/>
  <c r="T99" i="5"/>
  <c r="S99" i="5"/>
  <c r="S135" i="5" s="1"/>
  <c r="R99" i="5"/>
  <c r="R135" i="5" s="1"/>
  <c r="Q99" i="5"/>
  <c r="H99" i="5"/>
  <c r="H135" i="5" s="1"/>
  <c r="G99" i="5"/>
  <c r="G135" i="5" s="1"/>
  <c r="F99" i="5"/>
  <c r="E99" i="5"/>
  <c r="E135" i="5" s="1"/>
  <c r="D99" i="5"/>
  <c r="D135" i="5" s="1"/>
  <c r="C99" i="5"/>
  <c r="X98" i="5"/>
  <c r="W98" i="5"/>
  <c r="Y98" i="5" s="1"/>
  <c r="Z98" i="5" s="1"/>
  <c r="AA98" i="5" s="1"/>
  <c r="I98" i="5"/>
  <c r="X97" i="5"/>
  <c r="W97" i="5"/>
  <c r="Y97" i="5" s="1"/>
  <c r="Z97" i="5" s="1"/>
  <c r="AA97" i="5" s="1"/>
  <c r="I97" i="5"/>
  <c r="X96" i="5"/>
  <c r="W96" i="5"/>
  <c r="Y96" i="5" s="1"/>
  <c r="Z96" i="5" s="1"/>
  <c r="AA96" i="5" s="1"/>
  <c r="I96" i="5"/>
  <c r="X95" i="5"/>
  <c r="W95" i="5"/>
  <c r="Y95" i="5" s="1"/>
  <c r="Z95" i="5" s="1"/>
  <c r="AA95" i="5" s="1"/>
  <c r="I95" i="5"/>
  <c r="X94" i="5"/>
  <c r="W94" i="5"/>
  <c r="Y94" i="5" s="1"/>
  <c r="Z94" i="5" s="1"/>
  <c r="AA94" i="5" s="1"/>
  <c r="I94" i="5"/>
  <c r="X93" i="5"/>
  <c r="W93" i="5"/>
  <c r="Y93" i="5" s="1"/>
  <c r="Z93" i="5" s="1"/>
  <c r="AA93" i="5" s="1"/>
  <c r="I93" i="5"/>
  <c r="U92" i="5"/>
  <c r="G92" i="5"/>
  <c r="P89" i="5"/>
  <c r="B89" i="5"/>
  <c r="V88" i="5"/>
  <c r="V134" i="5" s="1"/>
  <c r="U88" i="5"/>
  <c r="U134" i="5" s="1"/>
  <c r="T88" i="5"/>
  <c r="S88" i="5"/>
  <c r="S134" i="5" s="1"/>
  <c r="R88" i="5"/>
  <c r="R134" i="5" s="1"/>
  <c r="Q88" i="5"/>
  <c r="H88" i="5"/>
  <c r="H134" i="5" s="1"/>
  <c r="G88" i="5"/>
  <c r="G134" i="5" s="1"/>
  <c r="F88" i="5"/>
  <c r="E88" i="5"/>
  <c r="E134" i="5" s="1"/>
  <c r="D88" i="5"/>
  <c r="D134" i="5" s="1"/>
  <c r="C88" i="5"/>
  <c r="X87" i="5"/>
  <c r="W87" i="5"/>
  <c r="Y87" i="5" s="1"/>
  <c r="Z87" i="5" s="1"/>
  <c r="AA87" i="5" s="1"/>
  <c r="I87" i="5"/>
  <c r="X86" i="5"/>
  <c r="W86" i="5"/>
  <c r="Y86" i="5" s="1"/>
  <c r="Z86" i="5" s="1"/>
  <c r="AA86" i="5" s="1"/>
  <c r="I86" i="5"/>
  <c r="X85" i="5"/>
  <c r="W85" i="5"/>
  <c r="Y85" i="5" s="1"/>
  <c r="Z85" i="5" s="1"/>
  <c r="AA85" i="5" s="1"/>
  <c r="I85" i="5"/>
  <c r="X84" i="5"/>
  <c r="W84" i="5"/>
  <c r="Y84" i="5" s="1"/>
  <c r="Z84" i="5" s="1"/>
  <c r="AA84" i="5" s="1"/>
  <c r="I84" i="5"/>
  <c r="X83" i="5"/>
  <c r="W83" i="5"/>
  <c r="Y83" i="5" s="1"/>
  <c r="Z83" i="5" s="1"/>
  <c r="AA83" i="5" s="1"/>
  <c r="I83" i="5"/>
  <c r="X82" i="5"/>
  <c r="W82" i="5"/>
  <c r="Y82" i="5" s="1"/>
  <c r="Z82" i="5" s="1"/>
  <c r="AA82" i="5" s="1"/>
  <c r="I82" i="5"/>
  <c r="U81" i="5"/>
  <c r="G81" i="5"/>
  <c r="P78" i="5"/>
  <c r="B78" i="5"/>
  <c r="V77" i="5"/>
  <c r="V133" i="5" s="1"/>
  <c r="U77" i="5"/>
  <c r="U133" i="5" s="1"/>
  <c r="T77" i="5"/>
  <c r="S77" i="5"/>
  <c r="S133" i="5" s="1"/>
  <c r="R77" i="5"/>
  <c r="R133" i="5" s="1"/>
  <c r="Q77" i="5"/>
  <c r="H77" i="5"/>
  <c r="H133" i="5" s="1"/>
  <c r="G77" i="5"/>
  <c r="G133" i="5" s="1"/>
  <c r="F77" i="5"/>
  <c r="E77" i="5"/>
  <c r="E133" i="5" s="1"/>
  <c r="D77" i="5"/>
  <c r="D133" i="5" s="1"/>
  <c r="C77" i="5"/>
  <c r="W76" i="5"/>
  <c r="I76" i="5"/>
  <c r="W75" i="5"/>
  <c r="I75" i="5"/>
  <c r="W74" i="5"/>
  <c r="I74" i="5"/>
  <c r="W73" i="5"/>
  <c r="I73" i="5"/>
  <c r="W72" i="5"/>
  <c r="I72" i="5"/>
  <c r="W71" i="5"/>
  <c r="I71" i="5"/>
  <c r="U70" i="5"/>
  <c r="G70" i="5"/>
  <c r="P67" i="5"/>
  <c r="B67" i="5"/>
  <c r="V66" i="5"/>
  <c r="V132" i="5" s="1"/>
  <c r="U66" i="5"/>
  <c r="U132" i="5" s="1"/>
  <c r="T66" i="5"/>
  <c r="S66" i="5"/>
  <c r="S132" i="5" s="1"/>
  <c r="R66" i="5"/>
  <c r="R132" i="5" s="1"/>
  <c r="Q66" i="5"/>
  <c r="H66" i="5"/>
  <c r="H132" i="5" s="1"/>
  <c r="G66" i="5"/>
  <c r="G132" i="5" s="1"/>
  <c r="F66" i="5"/>
  <c r="E66" i="5"/>
  <c r="E132" i="5" s="1"/>
  <c r="D66" i="5"/>
  <c r="D132" i="5" s="1"/>
  <c r="C66" i="5"/>
  <c r="W65" i="5"/>
  <c r="I65" i="5"/>
  <c r="W64" i="5"/>
  <c r="I64" i="5"/>
  <c r="W63" i="5"/>
  <c r="I63" i="5"/>
  <c r="W62" i="5"/>
  <c r="I62" i="5"/>
  <c r="W61" i="5"/>
  <c r="I61" i="5"/>
  <c r="W60" i="5"/>
  <c r="I60" i="5"/>
  <c r="U59" i="5"/>
  <c r="G59" i="5"/>
  <c r="P56" i="5"/>
  <c r="B56" i="5"/>
  <c r="V55" i="5"/>
  <c r="V124" i="5" s="1"/>
  <c r="U55" i="5"/>
  <c r="U124" i="5" s="1"/>
  <c r="T55" i="5"/>
  <c r="S55" i="5"/>
  <c r="S124" i="5" s="1"/>
  <c r="R55" i="5"/>
  <c r="R124" i="5" s="1"/>
  <c r="Q55" i="5"/>
  <c r="H55" i="5"/>
  <c r="H124" i="5" s="1"/>
  <c r="G55" i="5"/>
  <c r="G124" i="5" s="1"/>
  <c r="F55" i="5"/>
  <c r="E55" i="5"/>
  <c r="E124" i="5" s="1"/>
  <c r="D55" i="5"/>
  <c r="D124" i="5" s="1"/>
  <c r="C55" i="5"/>
  <c r="W54" i="5"/>
  <c r="I54" i="5"/>
  <c r="W53" i="5"/>
  <c r="I53" i="5"/>
  <c r="W52" i="5"/>
  <c r="I52" i="5"/>
  <c r="W51" i="5"/>
  <c r="I51" i="5"/>
  <c r="W50" i="5"/>
  <c r="I50" i="5"/>
  <c r="W49" i="5"/>
  <c r="I49" i="5"/>
  <c r="U48" i="5"/>
  <c r="G48" i="5"/>
  <c r="G130" i="5" s="1"/>
  <c r="P45" i="5"/>
  <c r="B45" i="5"/>
  <c r="V44" i="5"/>
  <c r="V123" i="5" s="1"/>
  <c r="U44" i="5"/>
  <c r="U123" i="5" s="1"/>
  <c r="T44" i="5"/>
  <c r="S44" i="5"/>
  <c r="S123" i="5" s="1"/>
  <c r="R44" i="5"/>
  <c r="R123" i="5" s="1"/>
  <c r="Q44" i="5"/>
  <c r="H44" i="5"/>
  <c r="H123" i="5" s="1"/>
  <c r="G44" i="5"/>
  <c r="G123" i="5" s="1"/>
  <c r="F44" i="5"/>
  <c r="E44" i="5"/>
  <c r="E123" i="5" s="1"/>
  <c r="D44" i="5"/>
  <c r="D123" i="5" s="1"/>
  <c r="C44" i="5"/>
  <c r="W43" i="5"/>
  <c r="I43" i="5"/>
  <c r="W42" i="5"/>
  <c r="I42" i="5"/>
  <c r="W41" i="5"/>
  <c r="I41" i="5"/>
  <c r="W40" i="5"/>
  <c r="I40" i="5"/>
  <c r="W39" i="5"/>
  <c r="I39" i="5"/>
  <c r="W38" i="5"/>
  <c r="I38" i="5"/>
  <c r="U37" i="5"/>
  <c r="G37" i="5"/>
  <c r="P34" i="5"/>
  <c r="B34" i="5"/>
  <c r="V33" i="5"/>
  <c r="V122" i="5" s="1"/>
  <c r="U33" i="5"/>
  <c r="U122" i="5" s="1"/>
  <c r="T33" i="5"/>
  <c r="S33" i="5"/>
  <c r="S122" i="5" s="1"/>
  <c r="R33" i="5"/>
  <c r="R122" i="5" s="1"/>
  <c r="Q33" i="5"/>
  <c r="H33" i="5"/>
  <c r="H122" i="5" s="1"/>
  <c r="G33" i="5"/>
  <c r="G122" i="5" s="1"/>
  <c r="F33" i="5"/>
  <c r="E33" i="5"/>
  <c r="E122" i="5" s="1"/>
  <c r="D33" i="5"/>
  <c r="D122" i="5" s="1"/>
  <c r="C33" i="5"/>
  <c r="W32" i="5"/>
  <c r="I32" i="5"/>
  <c r="W31" i="5"/>
  <c r="I31" i="5"/>
  <c r="W30" i="5"/>
  <c r="I30" i="5"/>
  <c r="W29" i="5"/>
  <c r="I29" i="5"/>
  <c r="W28" i="5"/>
  <c r="I28" i="5"/>
  <c r="W27" i="5"/>
  <c r="I27" i="5"/>
  <c r="U26" i="5"/>
  <c r="G26" i="5"/>
  <c r="P23" i="5"/>
  <c r="B23" i="5"/>
  <c r="V22" i="5"/>
  <c r="V121" i="5" s="1"/>
  <c r="U22" i="5"/>
  <c r="U121" i="5" s="1"/>
  <c r="T22" i="5"/>
  <c r="S22" i="5"/>
  <c r="S121" i="5" s="1"/>
  <c r="R22" i="5"/>
  <c r="R121" i="5" s="1"/>
  <c r="Q22" i="5"/>
  <c r="H22" i="5"/>
  <c r="H121" i="5" s="1"/>
  <c r="G22" i="5"/>
  <c r="G121" i="5" s="1"/>
  <c r="F22" i="5"/>
  <c r="E22" i="5"/>
  <c r="E121" i="5" s="1"/>
  <c r="D22" i="5"/>
  <c r="D121" i="5" s="1"/>
  <c r="C22" i="5"/>
  <c r="W21" i="5"/>
  <c r="I21" i="5"/>
  <c r="W20" i="5"/>
  <c r="I20" i="5"/>
  <c r="W19" i="5"/>
  <c r="I19" i="5"/>
  <c r="W18" i="5"/>
  <c r="I18" i="5"/>
  <c r="W17" i="5"/>
  <c r="I17" i="5"/>
  <c r="W16" i="5"/>
  <c r="I16" i="5"/>
  <c r="U15" i="5"/>
  <c r="Q15" i="5"/>
  <c r="Q26" i="5" s="1"/>
  <c r="Q37" i="5" s="1"/>
  <c r="Q48" i="5" s="1"/>
  <c r="Q59" i="5" s="1"/>
  <c r="Q70" i="5" s="1"/>
  <c r="Q81" i="5" s="1"/>
  <c r="Q92" i="5" s="1"/>
  <c r="Q103" i="5" s="1"/>
  <c r="G15" i="5"/>
  <c r="C15" i="5"/>
  <c r="C26" i="5" s="1"/>
  <c r="C37" i="5" s="1"/>
  <c r="C48" i="5" s="1"/>
  <c r="C59" i="5" s="1"/>
  <c r="C70" i="5" s="1"/>
  <c r="C81" i="5" s="1"/>
  <c r="C92" i="5" s="1"/>
  <c r="C103" i="5" s="1"/>
  <c r="P12" i="5"/>
  <c r="V11" i="5"/>
  <c r="V120" i="5" s="1"/>
  <c r="U11" i="5"/>
  <c r="U120" i="5" s="1"/>
  <c r="T11" i="5"/>
  <c r="S11" i="5"/>
  <c r="S120" i="5" s="1"/>
  <c r="R11" i="5"/>
  <c r="R120" i="5" s="1"/>
  <c r="Q11" i="5"/>
  <c r="H11" i="5"/>
  <c r="H120" i="5" s="1"/>
  <c r="G11" i="5"/>
  <c r="G120" i="5" s="1"/>
  <c r="F11" i="5"/>
  <c r="E11" i="5"/>
  <c r="E120" i="5" s="1"/>
  <c r="D11" i="5"/>
  <c r="D120" i="5" s="1"/>
  <c r="C11" i="5"/>
  <c r="W10" i="5"/>
  <c r="I10" i="5"/>
  <c r="W9" i="5"/>
  <c r="I9" i="5"/>
  <c r="W8" i="5"/>
  <c r="I8" i="5"/>
  <c r="W7" i="5"/>
  <c r="I7" i="5"/>
  <c r="W6" i="5"/>
  <c r="I6" i="5"/>
  <c r="W5" i="5"/>
  <c r="I5" i="5"/>
  <c r="U4" i="5"/>
  <c r="K4" i="5"/>
  <c r="I156" i="15" s="1"/>
  <c r="F4" i="5"/>
  <c r="E155" i="15" s="1"/>
  <c r="E170" i="15" s="1"/>
  <c r="C48" i="4"/>
  <c r="G48" i="4"/>
  <c r="I49" i="4"/>
  <c r="I50" i="4"/>
  <c r="I51" i="4"/>
  <c r="I52" i="4"/>
  <c r="I53" i="4"/>
  <c r="I54" i="4"/>
  <c r="C55" i="4"/>
  <c r="D55" i="4"/>
  <c r="E55" i="4"/>
  <c r="F55" i="4"/>
  <c r="G55" i="4"/>
  <c r="H55" i="4"/>
  <c r="B56" i="4"/>
  <c r="C56" i="4"/>
  <c r="E144" i="15"/>
  <c r="D144" i="15"/>
  <c r="AA106" i="4"/>
  <c r="M105" i="4"/>
  <c r="AA106" i="5" l="1"/>
  <c r="AA110" i="5" s="1"/>
  <c r="G125" i="5"/>
  <c r="G144" i="5" s="1"/>
  <c r="C186" i="15"/>
  <c r="F186" i="15"/>
  <c r="D186" i="15"/>
  <c r="E186" i="15"/>
  <c r="G181" i="15"/>
  <c r="I180" i="15"/>
  <c r="H180" i="15"/>
  <c r="I179" i="15"/>
  <c r="H179" i="15"/>
  <c r="I172" i="15"/>
  <c r="G174" i="15"/>
  <c r="H172" i="15"/>
  <c r="H165" i="15"/>
  <c r="I165" i="15"/>
  <c r="I164" i="15"/>
  <c r="H164" i="15"/>
  <c r="H163" i="15"/>
  <c r="I163" i="15"/>
  <c r="I162" i="15"/>
  <c r="H162" i="15"/>
  <c r="I161" i="15"/>
  <c r="H161" i="15"/>
  <c r="I160" i="15"/>
  <c r="H160" i="15"/>
  <c r="I159" i="15"/>
  <c r="H159" i="15"/>
  <c r="I158" i="15"/>
  <c r="H158" i="15"/>
  <c r="H157" i="15"/>
  <c r="G167" i="15"/>
  <c r="I157" i="15"/>
  <c r="I185" i="15"/>
  <c r="I178" i="15"/>
  <c r="I171" i="15"/>
  <c r="E177" i="15"/>
  <c r="E184" i="15"/>
  <c r="AA88" i="5"/>
  <c r="E125" i="5"/>
  <c r="E144" i="5" s="1"/>
  <c r="D125" i="5"/>
  <c r="D144" i="5" s="1"/>
  <c r="J54" i="4"/>
  <c r="K54" i="4"/>
  <c r="J53" i="4"/>
  <c r="K53" i="4"/>
  <c r="Z110" i="5"/>
  <c r="T136" i="5"/>
  <c r="AB136" i="5" s="1"/>
  <c r="AJ61" i="14" s="1"/>
  <c r="Q136" i="5"/>
  <c r="W99" i="5"/>
  <c r="X99" i="5" s="1"/>
  <c r="T135" i="5"/>
  <c r="AB135" i="5" s="1"/>
  <c r="AJ80" i="14" s="1"/>
  <c r="Q100" i="5"/>
  <c r="Q135" i="5"/>
  <c r="W66" i="5"/>
  <c r="W67" i="5" s="1"/>
  <c r="T132" i="5"/>
  <c r="AB132" i="5" s="1"/>
  <c r="AJ42" i="14" s="1"/>
  <c r="Q67" i="5"/>
  <c r="Q132" i="5"/>
  <c r="W22" i="5"/>
  <c r="W23" i="5" s="1"/>
  <c r="T121" i="5"/>
  <c r="AB121" i="5" s="1"/>
  <c r="P80" i="14" s="1"/>
  <c r="Q23" i="5"/>
  <c r="Q121" i="5"/>
  <c r="I110" i="5"/>
  <c r="J110" i="5" s="1"/>
  <c r="F136" i="5"/>
  <c r="I136" i="5" s="1"/>
  <c r="C111" i="5"/>
  <c r="C136" i="5"/>
  <c r="I99" i="5"/>
  <c r="K99" i="5" s="1"/>
  <c r="L99" i="5" s="1"/>
  <c r="F135" i="5"/>
  <c r="I135" i="5" s="1"/>
  <c r="C100" i="5"/>
  <c r="C135" i="5"/>
  <c r="I66" i="5"/>
  <c r="J66" i="5" s="1"/>
  <c r="F132" i="5"/>
  <c r="I132" i="5" s="1"/>
  <c r="L132" i="5" s="1"/>
  <c r="M132" i="5" s="1"/>
  <c r="C67" i="5"/>
  <c r="C132" i="5"/>
  <c r="V137" i="5"/>
  <c r="H137" i="5"/>
  <c r="J109" i="5"/>
  <c r="K109" i="5"/>
  <c r="L109" i="5" s="1"/>
  <c r="M109" i="5" s="1"/>
  <c r="K108" i="5"/>
  <c r="L108" i="5" s="1"/>
  <c r="M108" i="5" s="1"/>
  <c r="J108" i="5"/>
  <c r="J107" i="5"/>
  <c r="K107" i="5"/>
  <c r="L107" i="5" s="1"/>
  <c r="M107" i="5" s="1"/>
  <c r="K106" i="5"/>
  <c r="L106" i="5" s="1"/>
  <c r="M106" i="5" s="1"/>
  <c r="J106" i="5"/>
  <c r="K104" i="5"/>
  <c r="L104" i="5" s="1"/>
  <c r="M104" i="5" s="1"/>
  <c r="J104" i="5"/>
  <c r="K98" i="5"/>
  <c r="L98" i="5" s="1"/>
  <c r="M98" i="5" s="1"/>
  <c r="J98" i="5"/>
  <c r="J97" i="5"/>
  <c r="K97" i="5"/>
  <c r="L97" i="5" s="1"/>
  <c r="M97" i="5" s="1"/>
  <c r="K96" i="5"/>
  <c r="L96" i="5" s="1"/>
  <c r="M96" i="5" s="1"/>
  <c r="J96" i="5"/>
  <c r="K95" i="5"/>
  <c r="L95" i="5" s="1"/>
  <c r="M95" i="5" s="1"/>
  <c r="J95" i="5"/>
  <c r="J94" i="5"/>
  <c r="K94" i="5"/>
  <c r="L94" i="5" s="1"/>
  <c r="M94" i="5" s="1"/>
  <c r="J93" i="5"/>
  <c r="K93" i="5"/>
  <c r="L93" i="5" s="1"/>
  <c r="M93" i="5" s="1"/>
  <c r="T134" i="5"/>
  <c r="W88" i="5"/>
  <c r="Q134" i="5"/>
  <c r="Q89" i="5"/>
  <c r="I88" i="5"/>
  <c r="F134" i="5"/>
  <c r="C89" i="5"/>
  <c r="C134" i="5"/>
  <c r="K87" i="5"/>
  <c r="L87" i="5" s="1"/>
  <c r="M87" i="5" s="1"/>
  <c r="J87" i="5"/>
  <c r="J86" i="5"/>
  <c r="K86" i="5"/>
  <c r="L86" i="5" s="1"/>
  <c r="M86" i="5" s="1"/>
  <c r="K85" i="5"/>
  <c r="L85" i="5" s="1"/>
  <c r="M85" i="5" s="1"/>
  <c r="J85" i="5"/>
  <c r="J84" i="5"/>
  <c r="K84" i="5"/>
  <c r="L84" i="5" s="1"/>
  <c r="M84" i="5" s="1"/>
  <c r="J83" i="5"/>
  <c r="K83" i="5"/>
  <c r="L83" i="5" s="1"/>
  <c r="M83" i="5" s="1"/>
  <c r="K82" i="5"/>
  <c r="L82" i="5" s="1"/>
  <c r="M82" i="5" s="1"/>
  <c r="J82" i="5"/>
  <c r="T133" i="5"/>
  <c r="W77" i="5"/>
  <c r="Q133" i="5"/>
  <c r="Q137" i="5" s="1"/>
  <c r="Q145" i="5" s="1"/>
  <c r="Q78" i="5"/>
  <c r="F133" i="5"/>
  <c r="I77" i="5"/>
  <c r="C133" i="5"/>
  <c r="C78" i="5"/>
  <c r="Y76" i="5"/>
  <c r="Z76" i="5" s="1"/>
  <c r="AA76" i="5" s="1"/>
  <c r="X76" i="5"/>
  <c r="K76" i="5"/>
  <c r="L76" i="5" s="1"/>
  <c r="M76" i="5" s="1"/>
  <c r="J76" i="5"/>
  <c r="Y75" i="5"/>
  <c r="Z75" i="5" s="1"/>
  <c r="AA75" i="5" s="1"/>
  <c r="X75" i="5"/>
  <c r="K75" i="5"/>
  <c r="L75" i="5" s="1"/>
  <c r="M75" i="5" s="1"/>
  <c r="J75" i="5"/>
  <c r="Y74" i="5"/>
  <c r="Z74" i="5" s="1"/>
  <c r="AA74" i="5" s="1"/>
  <c r="X74" i="5"/>
  <c r="K74" i="5"/>
  <c r="L74" i="5" s="1"/>
  <c r="M74" i="5" s="1"/>
  <c r="J74" i="5"/>
  <c r="Y73" i="5"/>
  <c r="Z73" i="5" s="1"/>
  <c r="AA73" i="5" s="1"/>
  <c r="X73" i="5"/>
  <c r="K73" i="5"/>
  <c r="L73" i="5" s="1"/>
  <c r="M73" i="5" s="1"/>
  <c r="J73" i="5"/>
  <c r="Y72" i="5"/>
  <c r="Z72" i="5" s="1"/>
  <c r="AA72" i="5" s="1"/>
  <c r="X72" i="5"/>
  <c r="K72" i="5"/>
  <c r="L72" i="5" s="1"/>
  <c r="M72" i="5" s="1"/>
  <c r="J72" i="5"/>
  <c r="Y71" i="5"/>
  <c r="Z71" i="5" s="1"/>
  <c r="AA71" i="5" s="1"/>
  <c r="X71" i="5"/>
  <c r="K71" i="5"/>
  <c r="L71" i="5" s="1"/>
  <c r="M71" i="5" s="1"/>
  <c r="J71" i="5"/>
  <c r="Y65" i="5"/>
  <c r="Z65" i="5" s="1"/>
  <c r="AA65" i="5" s="1"/>
  <c r="X65" i="5"/>
  <c r="J65" i="5"/>
  <c r="K65" i="5"/>
  <c r="L65" i="5" s="1"/>
  <c r="M65" i="5" s="1"/>
  <c r="X64" i="5"/>
  <c r="Y64" i="5"/>
  <c r="Z64" i="5" s="1"/>
  <c r="AA64" i="5" s="1"/>
  <c r="J64" i="5"/>
  <c r="K64" i="5"/>
  <c r="L64" i="5" s="1"/>
  <c r="M64" i="5" s="1"/>
  <c r="X63" i="5"/>
  <c r="Y63" i="5"/>
  <c r="Z63" i="5" s="1"/>
  <c r="AA63" i="5" s="1"/>
  <c r="J63" i="5"/>
  <c r="K63" i="5"/>
  <c r="L63" i="5" s="1"/>
  <c r="M63" i="5" s="1"/>
  <c r="Y62" i="5"/>
  <c r="Z62" i="5" s="1"/>
  <c r="AA62" i="5" s="1"/>
  <c r="X62" i="5"/>
  <c r="K62" i="5"/>
  <c r="L62" i="5" s="1"/>
  <c r="M62" i="5" s="1"/>
  <c r="J62" i="5"/>
  <c r="Y61" i="5"/>
  <c r="Z61" i="5" s="1"/>
  <c r="AA61" i="5" s="1"/>
  <c r="X61" i="5"/>
  <c r="K61" i="5"/>
  <c r="L61" i="5" s="1"/>
  <c r="M61" i="5" s="1"/>
  <c r="J61" i="5"/>
  <c r="Y60" i="5"/>
  <c r="Z60" i="5" s="1"/>
  <c r="AA60" i="5" s="1"/>
  <c r="X60" i="5"/>
  <c r="K60" i="5"/>
  <c r="J60" i="5"/>
  <c r="T124" i="5"/>
  <c r="W55" i="5"/>
  <c r="Q124" i="5"/>
  <c r="Q56" i="5"/>
  <c r="I55" i="5"/>
  <c r="F124" i="5"/>
  <c r="C124" i="5"/>
  <c r="C56" i="5"/>
  <c r="X54" i="5"/>
  <c r="Y54" i="5"/>
  <c r="Z54" i="5" s="1"/>
  <c r="AA54" i="5" s="1"/>
  <c r="J54" i="5"/>
  <c r="K54" i="5"/>
  <c r="L54" i="5" s="1"/>
  <c r="M54" i="5" s="1"/>
  <c r="X53" i="5"/>
  <c r="Y53" i="5"/>
  <c r="Z53" i="5" s="1"/>
  <c r="AA53" i="5" s="1"/>
  <c r="K53" i="5"/>
  <c r="L53" i="5" s="1"/>
  <c r="M53" i="5" s="1"/>
  <c r="J53" i="5"/>
  <c r="X52" i="5"/>
  <c r="Y52" i="5"/>
  <c r="Z52" i="5" s="1"/>
  <c r="AA52" i="5" s="1"/>
  <c r="J52" i="5"/>
  <c r="K52" i="5"/>
  <c r="L52" i="5" s="1"/>
  <c r="M52" i="5" s="1"/>
  <c r="Y51" i="5"/>
  <c r="Z51" i="5" s="1"/>
  <c r="AA51" i="5" s="1"/>
  <c r="X51" i="5"/>
  <c r="J51" i="5"/>
  <c r="K51" i="5"/>
  <c r="L51" i="5" s="1"/>
  <c r="M51" i="5" s="1"/>
  <c r="X50" i="5"/>
  <c r="Y50" i="5"/>
  <c r="Z50" i="5" s="1"/>
  <c r="AA50" i="5" s="1"/>
  <c r="J50" i="5"/>
  <c r="K50" i="5"/>
  <c r="L50" i="5" s="1"/>
  <c r="M50" i="5" s="1"/>
  <c r="X49" i="5"/>
  <c r="Y49" i="5"/>
  <c r="Z49" i="5" s="1"/>
  <c r="AA49" i="5" s="1"/>
  <c r="J49" i="5"/>
  <c r="K49" i="5"/>
  <c r="L49" i="5" s="1"/>
  <c r="M49" i="5" s="1"/>
  <c r="W44" i="5"/>
  <c r="T123" i="5"/>
  <c r="Q123" i="5"/>
  <c r="Q45" i="5"/>
  <c r="F123" i="5"/>
  <c r="I44" i="5"/>
  <c r="C123" i="5"/>
  <c r="C45" i="5"/>
  <c r="Y43" i="5"/>
  <c r="Z43" i="5" s="1"/>
  <c r="AA43" i="5" s="1"/>
  <c r="X43" i="5"/>
  <c r="J43" i="5"/>
  <c r="K43" i="5"/>
  <c r="L43" i="5" s="1"/>
  <c r="M43" i="5" s="1"/>
  <c r="Y42" i="5"/>
  <c r="Z42" i="5" s="1"/>
  <c r="AA42" i="5" s="1"/>
  <c r="X42" i="5"/>
  <c r="K42" i="5"/>
  <c r="L42" i="5" s="1"/>
  <c r="M42" i="5" s="1"/>
  <c r="J42" i="5"/>
  <c r="Y41" i="5"/>
  <c r="Z41" i="5" s="1"/>
  <c r="AA41" i="5" s="1"/>
  <c r="X41" i="5"/>
  <c r="J41" i="5"/>
  <c r="K41" i="5"/>
  <c r="L41" i="5" s="1"/>
  <c r="M41" i="5" s="1"/>
  <c r="Y40" i="5"/>
  <c r="Z40" i="5" s="1"/>
  <c r="AA40" i="5" s="1"/>
  <c r="X40" i="5"/>
  <c r="K40" i="5"/>
  <c r="L40" i="5" s="1"/>
  <c r="M40" i="5" s="1"/>
  <c r="J40" i="5"/>
  <c r="X39" i="5"/>
  <c r="Y39" i="5"/>
  <c r="Z39" i="5" s="1"/>
  <c r="AA39" i="5" s="1"/>
  <c r="K39" i="5"/>
  <c r="L39" i="5" s="1"/>
  <c r="M39" i="5" s="1"/>
  <c r="J39" i="5"/>
  <c r="X38" i="5"/>
  <c r="Y38" i="5"/>
  <c r="J38" i="5"/>
  <c r="K38" i="5"/>
  <c r="L38" i="5" s="1"/>
  <c r="M38" i="5" s="1"/>
  <c r="T122" i="5"/>
  <c r="W33" i="5"/>
  <c r="Q122" i="5"/>
  <c r="Q34" i="5"/>
  <c r="F122" i="5"/>
  <c r="I33" i="5"/>
  <c r="C122" i="5"/>
  <c r="C34" i="5"/>
  <c r="Y32" i="5"/>
  <c r="Z32" i="5" s="1"/>
  <c r="AA32" i="5" s="1"/>
  <c r="X32" i="5"/>
  <c r="K32" i="5"/>
  <c r="L32" i="5" s="1"/>
  <c r="M32" i="5" s="1"/>
  <c r="J32" i="5"/>
  <c r="Y31" i="5"/>
  <c r="Z31" i="5" s="1"/>
  <c r="AA31" i="5" s="1"/>
  <c r="X31" i="5"/>
  <c r="J31" i="5"/>
  <c r="K31" i="5"/>
  <c r="L31" i="5" s="1"/>
  <c r="M31" i="5" s="1"/>
  <c r="Y30" i="5"/>
  <c r="Z30" i="5" s="1"/>
  <c r="AA30" i="5" s="1"/>
  <c r="X30" i="5"/>
  <c r="K30" i="5"/>
  <c r="L30" i="5" s="1"/>
  <c r="M30" i="5" s="1"/>
  <c r="J30" i="5"/>
  <c r="Y29" i="5"/>
  <c r="Z29" i="5" s="1"/>
  <c r="AA29" i="5" s="1"/>
  <c r="X29" i="5"/>
  <c r="K29" i="5"/>
  <c r="L29" i="5" s="1"/>
  <c r="M29" i="5" s="1"/>
  <c r="J29" i="5"/>
  <c r="Y28" i="5"/>
  <c r="Z28" i="5" s="1"/>
  <c r="AA28" i="5" s="1"/>
  <c r="X28" i="5"/>
  <c r="K28" i="5"/>
  <c r="L28" i="5" s="1"/>
  <c r="M28" i="5" s="1"/>
  <c r="J28" i="5"/>
  <c r="Y27" i="5"/>
  <c r="Z27" i="5" s="1"/>
  <c r="AA27" i="5" s="1"/>
  <c r="X27" i="5"/>
  <c r="K27" i="5"/>
  <c r="L27" i="5" s="1"/>
  <c r="M27" i="5" s="1"/>
  <c r="J27" i="5"/>
  <c r="I22" i="5"/>
  <c r="F121" i="5"/>
  <c r="C121" i="5"/>
  <c r="C23" i="5"/>
  <c r="X21" i="5"/>
  <c r="Y21" i="5"/>
  <c r="Z21" i="5" s="1"/>
  <c r="AA21" i="5" s="1"/>
  <c r="J21" i="5"/>
  <c r="K21" i="5"/>
  <c r="L21" i="5" s="1"/>
  <c r="M21" i="5" s="1"/>
  <c r="X20" i="5"/>
  <c r="Y20" i="5"/>
  <c r="Z20" i="5" s="1"/>
  <c r="AA20" i="5" s="1"/>
  <c r="J20" i="5"/>
  <c r="K20" i="5"/>
  <c r="L20" i="5" s="1"/>
  <c r="M20" i="5" s="1"/>
  <c r="X19" i="5"/>
  <c r="Y19" i="5"/>
  <c r="Z19" i="5" s="1"/>
  <c r="AA19" i="5" s="1"/>
  <c r="J19" i="5"/>
  <c r="K19" i="5"/>
  <c r="L19" i="5" s="1"/>
  <c r="M19" i="5" s="1"/>
  <c r="Y18" i="5"/>
  <c r="Z18" i="5" s="1"/>
  <c r="AA18" i="5" s="1"/>
  <c r="X18" i="5"/>
  <c r="J18" i="5"/>
  <c r="K18" i="5"/>
  <c r="L18" i="5" s="1"/>
  <c r="M18" i="5" s="1"/>
  <c r="Y17" i="5"/>
  <c r="Z17" i="5" s="1"/>
  <c r="AA17" i="5" s="1"/>
  <c r="X17" i="5"/>
  <c r="K17" i="5"/>
  <c r="L17" i="5" s="1"/>
  <c r="M17" i="5" s="1"/>
  <c r="J17" i="5"/>
  <c r="X16" i="5"/>
  <c r="Y16" i="5"/>
  <c r="K16" i="5"/>
  <c r="L16" i="5" s="1"/>
  <c r="M16" i="5" s="1"/>
  <c r="J16" i="5"/>
  <c r="V125" i="5"/>
  <c r="T120" i="5"/>
  <c r="W11" i="5"/>
  <c r="Q12" i="5"/>
  <c r="Q120" i="5"/>
  <c r="H125" i="5"/>
  <c r="F120" i="5"/>
  <c r="I11" i="5"/>
  <c r="C120" i="5"/>
  <c r="C12" i="5"/>
  <c r="X10" i="5"/>
  <c r="Y10" i="5"/>
  <c r="Z10" i="5" s="1"/>
  <c r="AA10" i="5" s="1"/>
  <c r="K10" i="5"/>
  <c r="J10" i="5"/>
  <c r="Y9" i="5"/>
  <c r="Z9" i="5" s="1"/>
  <c r="AA9" i="5" s="1"/>
  <c r="X9" i="5"/>
  <c r="K9" i="5"/>
  <c r="J9" i="5"/>
  <c r="X8" i="5"/>
  <c r="Y8" i="5"/>
  <c r="Z8" i="5" s="1"/>
  <c r="AA8" i="5" s="1"/>
  <c r="K8" i="5"/>
  <c r="J8" i="5"/>
  <c r="Y7" i="5"/>
  <c r="Z7" i="5" s="1"/>
  <c r="AA7" i="5" s="1"/>
  <c r="X7" i="5"/>
  <c r="J7" i="5"/>
  <c r="K7" i="5"/>
  <c r="X6" i="5"/>
  <c r="Y6" i="5"/>
  <c r="Z6" i="5" s="1"/>
  <c r="AA6" i="5" s="1"/>
  <c r="J6" i="5"/>
  <c r="K6" i="5"/>
  <c r="X5" i="5"/>
  <c r="Y5" i="5"/>
  <c r="Z5" i="5" s="1"/>
  <c r="AA5" i="5" s="1"/>
  <c r="K5" i="5"/>
  <c r="J5" i="5"/>
  <c r="Y4" i="5"/>
  <c r="AA143" i="5"/>
  <c r="AA131" i="5"/>
  <c r="AA119" i="5"/>
  <c r="K15" i="5"/>
  <c r="F70" i="5"/>
  <c r="F48" i="5"/>
  <c r="F37" i="5"/>
  <c r="F92" i="5"/>
  <c r="F103" i="5"/>
  <c r="F15" i="5"/>
  <c r="F81" i="5"/>
  <c r="F26" i="5"/>
  <c r="F59" i="5"/>
  <c r="T4" i="5"/>
  <c r="T103" i="5" s="1"/>
  <c r="U137" i="5"/>
  <c r="U145" i="5" s="1"/>
  <c r="S137" i="5"/>
  <c r="S145" i="5" s="1"/>
  <c r="R137" i="5"/>
  <c r="R145" i="5" s="1"/>
  <c r="G137" i="5"/>
  <c r="G145" i="5" s="1"/>
  <c r="E137" i="5"/>
  <c r="E145" i="5" s="1"/>
  <c r="D137" i="5"/>
  <c r="D145" i="5" s="1"/>
  <c r="AA99" i="5"/>
  <c r="U125" i="5"/>
  <c r="U144" i="5" s="1"/>
  <c r="S125" i="5"/>
  <c r="S144" i="5" s="1"/>
  <c r="R125" i="5"/>
  <c r="R144" i="5" s="1"/>
  <c r="J51" i="4"/>
  <c r="K51" i="4"/>
  <c r="J50" i="4"/>
  <c r="K50" i="4"/>
  <c r="I55" i="4"/>
  <c r="I56" i="4" s="1"/>
  <c r="J49" i="4"/>
  <c r="K49" i="4"/>
  <c r="J52" i="4"/>
  <c r="K52" i="4"/>
  <c r="G66" i="18"/>
  <c r="B145" i="15"/>
  <c r="S110" i="4"/>
  <c r="T110" i="4"/>
  <c r="Z106" i="4"/>
  <c r="L105" i="4"/>
  <c r="H117" i="15"/>
  <c r="H132" i="15" s="1"/>
  <c r="H139" i="15" s="1"/>
  <c r="F144" i="15"/>
  <c r="G144" i="15" s="1"/>
  <c r="C144" i="15"/>
  <c r="G143" i="15"/>
  <c r="H143" i="15" s="1"/>
  <c r="G142" i="15"/>
  <c r="I142" i="15" s="1"/>
  <c r="F137" i="15"/>
  <c r="E137" i="15"/>
  <c r="P43" i="18" s="1"/>
  <c r="D137" i="15"/>
  <c r="C137" i="15"/>
  <c r="G135" i="15"/>
  <c r="H135" i="15" s="1"/>
  <c r="F130" i="15"/>
  <c r="E130" i="15"/>
  <c r="D130" i="15"/>
  <c r="C130" i="15"/>
  <c r="G129" i="15"/>
  <c r="G128" i="15"/>
  <c r="I128" i="15" s="1"/>
  <c r="G127" i="15"/>
  <c r="H127" i="15" s="1"/>
  <c r="G126" i="15"/>
  <c r="G125" i="15"/>
  <c r="H125" i="15" s="1"/>
  <c r="G124" i="15"/>
  <c r="H124" i="15" s="1"/>
  <c r="G123" i="15"/>
  <c r="I123" i="15" s="1"/>
  <c r="G122" i="15"/>
  <c r="I122" i="15" s="1"/>
  <c r="G121" i="15"/>
  <c r="I121" i="15" s="1"/>
  <c r="G120" i="15"/>
  <c r="I120" i="15" s="1"/>
  <c r="Q111" i="4"/>
  <c r="Q100" i="4"/>
  <c r="Q89" i="4"/>
  <c r="Q78" i="4"/>
  <c r="Q67" i="4"/>
  <c r="Q56" i="4"/>
  <c r="Q45" i="4"/>
  <c r="Q34" i="4"/>
  <c r="Q23" i="4"/>
  <c r="Q12" i="4"/>
  <c r="C111" i="4"/>
  <c r="C100" i="4"/>
  <c r="C89" i="4"/>
  <c r="C78" i="4"/>
  <c r="C45" i="4"/>
  <c r="C34" i="4"/>
  <c r="C23" i="4"/>
  <c r="C12" i="4"/>
  <c r="C149" i="15" l="1"/>
  <c r="W136" i="5"/>
  <c r="Z136" i="5" s="1"/>
  <c r="AA136" i="5" s="1"/>
  <c r="W121" i="5"/>
  <c r="Y121" i="5" s="1"/>
  <c r="N132" i="5"/>
  <c r="AJ42" i="13" s="1"/>
  <c r="W132" i="5"/>
  <c r="Z132" i="5" s="1"/>
  <c r="AA132" i="5" s="1"/>
  <c r="L6" i="5"/>
  <c r="M6" i="5" s="1"/>
  <c r="C137" i="5"/>
  <c r="C145" i="5" s="1"/>
  <c r="W135" i="5"/>
  <c r="Z135" i="5" s="1"/>
  <c r="AA135" i="5" s="1"/>
  <c r="W100" i="5"/>
  <c r="Y100" i="5" s="1"/>
  <c r="G146" i="5"/>
  <c r="Y99" i="5"/>
  <c r="Z99" i="5" s="1"/>
  <c r="S146" i="5"/>
  <c r="Z38" i="5"/>
  <c r="AA38" i="5" s="1"/>
  <c r="AA44" i="5" s="1"/>
  <c r="AA33" i="5"/>
  <c r="Z16" i="5"/>
  <c r="AA16" i="5" s="1"/>
  <c r="AA22" i="5" s="1"/>
  <c r="I111" i="5"/>
  <c r="J111" i="5" s="1"/>
  <c r="N136" i="5"/>
  <c r="AJ61" i="13" s="1"/>
  <c r="K110" i="5"/>
  <c r="L110" i="5" s="1"/>
  <c r="J99" i="5"/>
  <c r="N135" i="5"/>
  <c r="AJ80" i="13" s="1"/>
  <c r="I100" i="5"/>
  <c r="K100" i="5" s="1"/>
  <c r="I67" i="5"/>
  <c r="J67" i="5" s="1"/>
  <c r="K66" i="5"/>
  <c r="L66" i="5" s="1"/>
  <c r="L60" i="5"/>
  <c r="M60" i="5" s="1"/>
  <c r="M66" i="5" s="1"/>
  <c r="L8" i="5"/>
  <c r="M8" i="5" s="1"/>
  <c r="L10" i="5"/>
  <c r="M10" i="5" s="1"/>
  <c r="L9" i="5"/>
  <c r="M9" i="5" s="1"/>
  <c r="L7" i="5"/>
  <c r="M7" i="5" s="1"/>
  <c r="L5" i="5"/>
  <c r="M5" i="5" s="1"/>
  <c r="K55" i="4"/>
  <c r="J55" i="4"/>
  <c r="M44" i="5"/>
  <c r="T137" i="5"/>
  <c r="T145" i="5" s="1"/>
  <c r="W145" i="5" s="1"/>
  <c r="X145" i="5" s="1"/>
  <c r="X22" i="5"/>
  <c r="Y22" i="5"/>
  <c r="Z22" i="5" s="1"/>
  <c r="F137" i="5"/>
  <c r="F145" i="5" s="1"/>
  <c r="I145" i="5" s="1"/>
  <c r="H126" i="15"/>
  <c r="I126" i="15"/>
  <c r="H181" i="15"/>
  <c r="I181" i="15"/>
  <c r="G186" i="15"/>
  <c r="G182" i="15"/>
  <c r="I174" i="15"/>
  <c r="H174" i="15"/>
  <c r="I167" i="15"/>
  <c r="H167" i="15"/>
  <c r="U146" i="5"/>
  <c r="AA55" i="5"/>
  <c r="M88" i="5"/>
  <c r="X66" i="5"/>
  <c r="Y66" i="5"/>
  <c r="Z66" i="5" s="1"/>
  <c r="AA66" i="5"/>
  <c r="M110" i="5"/>
  <c r="M99" i="5"/>
  <c r="M55" i="5"/>
  <c r="E146" i="5"/>
  <c r="M33" i="5"/>
  <c r="M22" i="5"/>
  <c r="R146" i="5"/>
  <c r="D146" i="5"/>
  <c r="Q125" i="5"/>
  <c r="Q144" i="5" s="1"/>
  <c r="Q146" i="5" s="1"/>
  <c r="C125" i="5"/>
  <c r="C144" i="5" s="1"/>
  <c r="C146" i="5"/>
  <c r="L136" i="5"/>
  <c r="M136" i="5" s="1"/>
  <c r="J136" i="5"/>
  <c r="K136" i="5"/>
  <c r="L135" i="5"/>
  <c r="M135" i="5" s="1"/>
  <c r="J135" i="5"/>
  <c r="K135" i="5"/>
  <c r="V145" i="5"/>
  <c r="H145" i="5"/>
  <c r="J132" i="5"/>
  <c r="K132" i="5"/>
  <c r="W134" i="5"/>
  <c r="AB134" i="5"/>
  <c r="AA61" i="14" s="1"/>
  <c r="X88" i="5"/>
  <c r="Y88" i="5"/>
  <c r="Z88" i="5" s="1"/>
  <c r="W89" i="5"/>
  <c r="J88" i="5"/>
  <c r="K88" i="5"/>
  <c r="L88" i="5" s="1"/>
  <c r="I89" i="5"/>
  <c r="I134" i="5"/>
  <c r="N134" i="5"/>
  <c r="AA61" i="13" s="1"/>
  <c r="W133" i="5"/>
  <c r="AB133" i="5"/>
  <c r="AA80" i="14" s="1"/>
  <c r="X77" i="5"/>
  <c r="Y77" i="5"/>
  <c r="Z77" i="5" s="1"/>
  <c r="W78" i="5"/>
  <c r="I133" i="5"/>
  <c r="N133" i="5"/>
  <c r="AA80" i="13" s="1"/>
  <c r="J77" i="5"/>
  <c r="K77" i="5"/>
  <c r="L77" i="5" s="1"/>
  <c r="I78" i="5"/>
  <c r="X67" i="5"/>
  <c r="Y67" i="5"/>
  <c r="W124" i="5"/>
  <c r="AB124" i="5"/>
  <c r="P61" i="14" s="1"/>
  <c r="X55" i="5"/>
  <c r="Y55" i="5"/>
  <c r="Z55" i="5" s="1"/>
  <c r="W56" i="5"/>
  <c r="J55" i="5"/>
  <c r="K55" i="5"/>
  <c r="L55" i="5" s="1"/>
  <c r="I56" i="5"/>
  <c r="I124" i="5"/>
  <c r="N124" i="5"/>
  <c r="P61" i="13" s="1"/>
  <c r="X44" i="5"/>
  <c r="Y44" i="5"/>
  <c r="Z44" i="5" s="1"/>
  <c r="W45" i="5"/>
  <c r="W123" i="5"/>
  <c r="AB123" i="5"/>
  <c r="G61" i="14" s="1"/>
  <c r="I123" i="5"/>
  <c r="N123" i="5"/>
  <c r="G61" i="13" s="1"/>
  <c r="J44" i="5"/>
  <c r="K44" i="5"/>
  <c r="L44" i="5" s="1"/>
  <c r="I45" i="5"/>
  <c r="W122" i="5"/>
  <c r="AB122" i="5"/>
  <c r="G80" i="14" s="1"/>
  <c r="X33" i="5"/>
  <c r="Y33" i="5"/>
  <c r="Z33" i="5" s="1"/>
  <c r="W34" i="5"/>
  <c r="I122" i="5"/>
  <c r="N122" i="5"/>
  <c r="G80" i="13" s="1"/>
  <c r="J33" i="5"/>
  <c r="K33" i="5"/>
  <c r="L33" i="5" s="1"/>
  <c r="I34" i="5"/>
  <c r="X23" i="5"/>
  <c r="Y23" i="5"/>
  <c r="J22" i="5"/>
  <c r="K22" i="5"/>
  <c r="L22" i="5" s="1"/>
  <c r="I23" i="5"/>
  <c r="I121" i="5"/>
  <c r="N121" i="5"/>
  <c r="P80" i="13" s="1"/>
  <c r="V144" i="5"/>
  <c r="W120" i="5"/>
  <c r="AB120" i="5"/>
  <c r="P42" i="14" s="1"/>
  <c r="T125" i="5"/>
  <c r="T144" i="5" s="1"/>
  <c r="X11" i="5"/>
  <c r="Y11" i="5"/>
  <c r="Z11" i="5" s="1"/>
  <c r="W12" i="5"/>
  <c r="H144" i="5"/>
  <c r="I120" i="5"/>
  <c r="N120" i="5"/>
  <c r="P42" i="13" s="1"/>
  <c r="F125" i="5"/>
  <c r="F144" i="5" s="1"/>
  <c r="J11" i="5"/>
  <c r="K11" i="5"/>
  <c r="L11" i="5" s="1"/>
  <c r="I12" i="5"/>
  <c r="Y15" i="5"/>
  <c r="K26" i="5"/>
  <c r="F130" i="5"/>
  <c r="F142" i="5" s="1"/>
  <c r="F118" i="5"/>
  <c r="T15" i="5"/>
  <c r="T92" i="5" s="1"/>
  <c r="T81" i="5"/>
  <c r="T37" i="5"/>
  <c r="T48" i="5"/>
  <c r="T26" i="5"/>
  <c r="T59" i="5"/>
  <c r="T70" i="5"/>
  <c r="AA77" i="5"/>
  <c r="M77" i="5"/>
  <c r="AA11" i="5"/>
  <c r="K56" i="4"/>
  <c r="J56" i="4"/>
  <c r="G43" i="18"/>
  <c r="I143" i="15"/>
  <c r="H121" i="15"/>
  <c r="G137" i="15"/>
  <c r="I137" i="15" s="1"/>
  <c r="G145" i="15"/>
  <c r="D149" i="15"/>
  <c r="H142" i="15"/>
  <c r="I135" i="15"/>
  <c r="F149" i="15"/>
  <c r="H120" i="15"/>
  <c r="I124" i="15"/>
  <c r="H128" i="15"/>
  <c r="E149" i="15"/>
  <c r="I125" i="15"/>
  <c r="H122" i="15"/>
  <c r="I127" i="15"/>
  <c r="G130" i="15"/>
  <c r="H123" i="15"/>
  <c r="Z121" i="5" l="1"/>
  <c r="AA121" i="5" s="1"/>
  <c r="Y132" i="5"/>
  <c r="X121" i="5"/>
  <c r="Y136" i="5"/>
  <c r="K111" i="5"/>
  <c r="X136" i="5"/>
  <c r="X135" i="5"/>
  <c r="X132" i="5"/>
  <c r="J100" i="5"/>
  <c r="X100" i="5"/>
  <c r="Y135" i="5"/>
  <c r="K67" i="5"/>
  <c r="I137" i="5"/>
  <c r="L137" i="5" s="1"/>
  <c r="M137" i="5" s="1"/>
  <c r="M11" i="5"/>
  <c r="J145" i="5"/>
  <c r="K145" i="5"/>
  <c r="Z145" i="5"/>
  <c r="AA145" i="5" s="1"/>
  <c r="L145" i="5"/>
  <c r="M145" i="5" s="1"/>
  <c r="I186" i="15"/>
  <c r="H186" i="15"/>
  <c r="H182" i="15"/>
  <c r="I182" i="15"/>
  <c r="W137" i="5"/>
  <c r="Z134" i="5"/>
  <c r="AA134" i="5" s="1"/>
  <c r="X134" i="5"/>
  <c r="Y134" i="5"/>
  <c r="X89" i="5"/>
  <c r="Y89" i="5"/>
  <c r="J89" i="5"/>
  <c r="K89" i="5"/>
  <c r="L134" i="5"/>
  <c r="M134" i="5" s="1"/>
  <c r="J134" i="5"/>
  <c r="K134" i="5"/>
  <c r="Z133" i="5"/>
  <c r="AA133" i="5" s="1"/>
  <c r="X133" i="5"/>
  <c r="Y133" i="5"/>
  <c r="Y78" i="5"/>
  <c r="X78" i="5"/>
  <c r="L133" i="5"/>
  <c r="M133" i="5" s="1"/>
  <c r="J133" i="5"/>
  <c r="K133" i="5"/>
  <c r="J78" i="5"/>
  <c r="K78" i="5"/>
  <c r="Z124" i="5"/>
  <c r="AA124" i="5" s="1"/>
  <c r="X124" i="5"/>
  <c r="Y124" i="5"/>
  <c r="X56" i="5"/>
  <c r="Y56" i="5"/>
  <c r="J56" i="5"/>
  <c r="K56" i="5"/>
  <c r="L124" i="5"/>
  <c r="M124" i="5" s="1"/>
  <c r="J124" i="5"/>
  <c r="K124" i="5"/>
  <c r="X45" i="5"/>
  <c r="Y45" i="5"/>
  <c r="Z123" i="5"/>
  <c r="AA123" i="5" s="1"/>
  <c r="X123" i="5"/>
  <c r="Y123" i="5"/>
  <c r="L123" i="5"/>
  <c r="M123" i="5" s="1"/>
  <c r="J123" i="5"/>
  <c r="K123" i="5"/>
  <c r="J45" i="5"/>
  <c r="K45" i="5"/>
  <c r="Z122" i="5"/>
  <c r="AA122" i="5" s="1"/>
  <c r="X122" i="5"/>
  <c r="Y122" i="5"/>
  <c r="X34" i="5"/>
  <c r="Y34" i="5"/>
  <c r="L122" i="5"/>
  <c r="M122" i="5" s="1"/>
  <c r="J122" i="5"/>
  <c r="K122" i="5"/>
  <c r="J34" i="5"/>
  <c r="K34" i="5"/>
  <c r="J23" i="5"/>
  <c r="K23" i="5"/>
  <c r="L121" i="5"/>
  <c r="M121" i="5" s="1"/>
  <c r="J121" i="5"/>
  <c r="K121" i="5"/>
  <c r="V146" i="5"/>
  <c r="Z120" i="5"/>
  <c r="AA120" i="5" s="1"/>
  <c r="X120" i="5"/>
  <c r="Y120" i="5"/>
  <c r="W125" i="5"/>
  <c r="W144" i="5"/>
  <c r="Z144" i="5" s="1"/>
  <c r="AA144" i="5" s="1"/>
  <c r="T146" i="5"/>
  <c r="X12" i="5"/>
  <c r="Y12" i="5"/>
  <c r="H146" i="5"/>
  <c r="L120" i="5"/>
  <c r="M120" i="5" s="1"/>
  <c r="J120" i="5"/>
  <c r="K120" i="5"/>
  <c r="I125" i="5"/>
  <c r="I144" i="5"/>
  <c r="L144" i="5" s="1"/>
  <c r="M144" i="5" s="1"/>
  <c r="F146" i="5"/>
  <c r="J12" i="5"/>
  <c r="K12" i="5"/>
  <c r="Y26" i="5"/>
  <c r="K37" i="5"/>
  <c r="T118" i="5"/>
  <c r="T130" i="5"/>
  <c r="T142" i="5" s="1"/>
  <c r="H137" i="15"/>
  <c r="H144" i="15"/>
  <c r="I144" i="15"/>
  <c r="G149" i="15"/>
  <c r="I149" i="15" s="1"/>
  <c r="I145" i="15"/>
  <c r="H145" i="15"/>
  <c r="I130" i="15"/>
  <c r="H130" i="15"/>
  <c r="K137" i="5" l="1"/>
  <c r="J137" i="5"/>
  <c r="Z137" i="5"/>
  <c r="AA137" i="5" s="1"/>
  <c r="X137" i="5"/>
  <c r="Y137" i="5"/>
  <c r="Y145" i="5" s="1"/>
  <c r="Z125" i="5"/>
  <c r="AA125" i="5" s="1"/>
  <c r="X125" i="5"/>
  <c r="Y125" i="5"/>
  <c r="Y144" i="5" s="1"/>
  <c r="X144" i="5"/>
  <c r="W146" i="5"/>
  <c r="L125" i="5"/>
  <c r="M125" i="5" s="1"/>
  <c r="J125" i="5"/>
  <c r="K125" i="5"/>
  <c r="J144" i="5"/>
  <c r="K144" i="5"/>
  <c r="I146" i="5"/>
  <c r="Y37" i="5"/>
  <c r="K48" i="5"/>
  <c r="H149" i="15"/>
  <c r="K4" i="4"/>
  <c r="I119" i="15" s="1"/>
  <c r="Y142" i="4"/>
  <c r="P136" i="4"/>
  <c r="B136" i="4"/>
  <c r="P135" i="4"/>
  <c r="B135" i="4"/>
  <c r="P134" i="4"/>
  <c r="B134" i="4"/>
  <c r="P133" i="4"/>
  <c r="B133" i="4"/>
  <c r="P132" i="4"/>
  <c r="B132" i="4"/>
  <c r="U130" i="4"/>
  <c r="P124" i="4"/>
  <c r="B124" i="4"/>
  <c r="P123" i="4"/>
  <c r="B123" i="4"/>
  <c r="P122" i="4"/>
  <c r="B122" i="4"/>
  <c r="P121" i="4"/>
  <c r="B121" i="4"/>
  <c r="P120" i="4"/>
  <c r="B120" i="4"/>
  <c r="U118" i="4"/>
  <c r="P111" i="4"/>
  <c r="B111" i="4"/>
  <c r="V110" i="4"/>
  <c r="V136" i="4" s="1"/>
  <c r="U110" i="4"/>
  <c r="U136" i="4" s="1"/>
  <c r="S136" i="4"/>
  <c r="R110" i="4"/>
  <c r="R136" i="4" s="1"/>
  <c r="Q110" i="4"/>
  <c r="H110" i="4"/>
  <c r="H136" i="4" s="1"/>
  <c r="G110" i="4"/>
  <c r="G136" i="4" s="1"/>
  <c r="F110" i="4"/>
  <c r="F136" i="4" s="1"/>
  <c r="N136" i="4" s="1"/>
  <c r="AJ60" i="13" s="1"/>
  <c r="E110" i="4"/>
  <c r="E136" i="4" s="1"/>
  <c r="D110" i="4"/>
  <c r="D136" i="4" s="1"/>
  <c r="C110" i="4"/>
  <c r="X109" i="4"/>
  <c r="W109" i="4"/>
  <c r="Y109" i="4" s="1"/>
  <c r="Z109" i="4" s="1"/>
  <c r="AA109" i="4" s="1"/>
  <c r="I109" i="4"/>
  <c r="X108" i="4"/>
  <c r="W108" i="4"/>
  <c r="Y108" i="4" s="1"/>
  <c r="Z108" i="4" s="1"/>
  <c r="AA108" i="4" s="1"/>
  <c r="I108" i="4"/>
  <c r="J108" i="4" s="1"/>
  <c r="X107" i="4"/>
  <c r="W107" i="4"/>
  <c r="Y107" i="4" s="1"/>
  <c r="Z107" i="4" s="1"/>
  <c r="AA107" i="4" s="1"/>
  <c r="I107" i="4"/>
  <c r="J107" i="4" s="1"/>
  <c r="X106" i="4"/>
  <c r="W106" i="4"/>
  <c r="I106" i="4"/>
  <c r="J106" i="4" s="1"/>
  <c r="X105" i="4"/>
  <c r="W105" i="4"/>
  <c r="Y105" i="4" s="1"/>
  <c r="Z105" i="4" s="1"/>
  <c r="AA105" i="4" s="1"/>
  <c r="I105" i="4"/>
  <c r="J105" i="4" s="1"/>
  <c r="X104" i="4"/>
  <c r="W104" i="4"/>
  <c r="Y104" i="4" s="1"/>
  <c r="Z104" i="4" s="1"/>
  <c r="AA104" i="4" s="1"/>
  <c r="I104" i="4"/>
  <c r="U103" i="4"/>
  <c r="G103" i="4"/>
  <c r="P100" i="4"/>
  <c r="B100" i="4"/>
  <c r="V99" i="4"/>
  <c r="V135" i="4" s="1"/>
  <c r="U99" i="4"/>
  <c r="U135" i="4" s="1"/>
  <c r="T99" i="4"/>
  <c r="T135" i="4" s="1"/>
  <c r="S99" i="4"/>
  <c r="S135" i="4" s="1"/>
  <c r="R99" i="4"/>
  <c r="R135" i="4" s="1"/>
  <c r="Q99" i="4"/>
  <c r="H99" i="4"/>
  <c r="H135" i="4" s="1"/>
  <c r="G99" i="4"/>
  <c r="G135" i="4" s="1"/>
  <c r="F99" i="4"/>
  <c r="F135" i="4" s="1"/>
  <c r="E99" i="4"/>
  <c r="E135" i="4" s="1"/>
  <c r="D99" i="4"/>
  <c r="D135" i="4" s="1"/>
  <c r="C99" i="4"/>
  <c r="X98" i="4"/>
  <c r="W98" i="4"/>
  <c r="Y98" i="4" s="1"/>
  <c r="Z98" i="4" s="1"/>
  <c r="AA98" i="4" s="1"/>
  <c r="I98" i="4"/>
  <c r="K98" i="4" s="1"/>
  <c r="L98" i="4" s="1"/>
  <c r="M98" i="4" s="1"/>
  <c r="X97" i="4"/>
  <c r="W97" i="4"/>
  <c r="Y97" i="4" s="1"/>
  <c r="Z97" i="4" s="1"/>
  <c r="AA97" i="4" s="1"/>
  <c r="I97" i="4"/>
  <c r="K97" i="4" s="1"/>
  <c r="L97" i="4" s="1"/>
  <c r="M97" i="4" s="1"/>
  <c r="X96" i="4"/>
  <c r="W96" i="4"/>
  <c r="Y96" i="4" s="1"/>
  <c r="Z96" i="4" s="1"/>
  <c r="AA96" i="4" s="1"/>
  <c r="I96" i="4"/>
  <c r="J96" i="4" s="1"/>
  <c r="X95" i="4"/>
  <c r="W95" i="4"/>
  <c r="Y95" i="4" s="1"/>
  <c r="Z95" i="4" s="1"/>
  <c r="AA95" i="4" s="1"/>
  <c r="I95" i="4"/>
  <c r="K95" i="4" s="1"/>
  <c r="L95" i="4" s="1"/>
  <c r="M95" i="4" s="1"/>
  <c r="X94" i="4"/>
  <c r="W94" i="4"/>
  <c r="Y94" i="4" s="1"/>
  <c r="Z94" i="4" s="1"/>
  <c r="AA94" i="4" s="1"/>
  <c r="I94" i="4"/>
  <c r="K94" i="4" s="1"/>
  <c r="L94" i="4" s="1"/>
  <c r="M94" i="4" s="1"/>
  <c r="X93" i="4"/>
  <c r="W93" i="4"/>
  <c r="Y93" i="4" s="1"/>
  <c r="Z93" i="4" s="1"/>
  <c r="AA93" i="4" s="1"/>
  <c r="I93" i="4"/>
  <c r="J93" i="4" s="1"/>
  <c r="U92" i="4"/>
  <c r="G92" i="4"/>
  <c r="P89" i="4"/>
  <c r="B89" i="4"/>
  <c r="V88" i="4"/>
  <c r="V134" i="4" s="1"/>
  <c r="U88" i="4"/>
  <c r="U134" i="4" s="1"/>
  <c r="T88" i="4"/>
  <c r="T134" i="4" s="1"/>
  <c r="S88" i="4"/>
  <c r="S134" i="4" s="1"/>
  <c r="R88" i="4"/>
  <c r="R134" i="4" s="1"/>
  <c r="Q88" i="4"/>
  <c r="Q134" i="4" s="1"/>
  <c r="H88" i="4"/>
  <c r="H134" i="4" s="1"/>
  <c r="G88" i="4"/>
  <c r="G134" i="4" s="1"/>
  <c r="F88" i="4"/>
  <c r="F134" i="4" s="1"/>
  <c r="E88" i="4"/>
  <c r="E134" i="4" s="1"/>
  <c r="D88" i="4"/>
  <c r="D134" i="4" s="1"/>
  <c r="C88" i="4"/>
  <c r="C134" i="4" s="1"/>
  <c r="X87" i="4"/>
  <c r="W87" i="4"/>
  <c r="Y87" i="4" s="1"/>
  <c r="Z87" i="4" s="1"/>
  <c r="AA87" i="4" s="1"/>
  <c r="I87" i="4"/>
  <c r="J87" i="4" s="1"/>
  <c r="X86" i="4"/>
  <c r="W86" i="4"/>
  <c r="Y86" i="4" s="1"/>
  <c r="Z86" i="4" s="1"/>
  <c r="AA86" i="4" s="1"/>
  <c r="I86" i="4"/>
  <c r="J86" i="4" s="1"/>
  <c r="X85" i="4"/>
  <c r="W85" i="4"/>
  <c r="Y85" i="4" s="1"/>
  <c r="Z85" i="4" s="1"/>
  <c r="AA85" i="4" s="1"/>
  <c r="I85" i="4"/>
  <c r="J85" i="4" s="1"/>
  <c r="X84" i="4"/>
  <c r="W84" i="4"/>
  <c r="Y84" i="4" s="1"/>
  <c r="Z84" i="4" s="1"/>
  <c r="AA84" i="4" s="1"/>
  <c r="I84" i="4"/>
  <c r="K84" i="4" s="1"/>
  <c r="L84" i="4" s="1"/>
  <c r="M84" i="4" s="1"/>
  <c r="X83" i="4"/>
  <c r="W83" i="4"/>
  <c r="Y83" i="4" s="1"/>
  <c r="Z83" i="4" s="1"/>
  <c r="AA83" i="4" s="1"/>
  <c r="I83" i="4"/>
  <c r="X82" i="4"/>
  <c r="W82" i="4"/>
  <c r="Y82" i="4" s="1"/>
  <c r="Z82" i="4" s="1"/>
  <c r="AA82" i="4" s="1"/>
  <c r="I82" i="4"/>
  <c r="U81" i="4"/>
  <c r="G81" i="4"/>
  <c r="P78" i="4"/>
  <c r="B78" i="4"/>
  <c r="V77" i="4"/>
  <c r="V133" i="4" s="1"/>
  <c r="U77" i="4"/>
  <c r="U133" i="4" s="1"/>
  <c r="T77" i="4"/>
  <c r="T133" i="4" s="1"/>
  <c r="S77" i="4"/>
  <c r="S133" i="4" s="1"/>
  <c r="R77" i="4"/>
  <c r="R133" i="4" s="1"/>
  <c r="Q77" i="4"/>
  <c r="Q133" i="4" s="1"/>
  <c r="H77" i="4"/>
  <c r="H133" i="4" s="1"/>
  <c r="G77" i="4"/>
  <c r="G133" i="4" s="1"/>
  <c r="F77" i="4"/>
  <c r="F133" i="4" s="1"/>
  <c r="E77" i="4"/>
  <c r="E133" i="4" s="1"/>
  <c r="D77" i="4"/>
  <c r="D133" i="4" s="1"/>
  <c r="C77" i="4"/>
  <c r="W76" i="4"/>
  <c r="X76" i="4" s="1"/>
  <c r="I76" i="4"/>
  <c r="J76" i="4" s="1"/>
  <c r="W75" i="4"/>
  <c r="Y75" i="4" s="1"/>
  <c r="Z75" i="4" s="1"/>
  <c r="AA75" i="4" s="1"/>
  <c r="I75" i="4"/>
  <c r="W74" i="4"/>
  <c r="X74" i="4" s="1"/>
  <c r="I74" i="4"/>
  <c r="J74" i="4" s="1"/>
  <c r="W73" i="4"/>
  <c r="X73" i="4" s="1"/>
  <c r="I73" i="4"/>
  <c r="J73" i="4" s="1"/>
  <c r="W72" i="4"/>
  <c r="X72" i="4" s="1"/>
  <c r="I72" i="4"/>
  <c r="J72" i="4" s="1"/>
  <c r="W71" i="4"/>
  <c r="Y71" i="4" s="1"/>
  <c r="Z71" i="4" s="1"/>
  <c r="AA71" i="4" s="1"/>
  <c r="I71" i="4"/>
  <c r="J71" i="4" s="1"/>
  <c r="U70" i="4"/>
  <c r="G70" i="4"/>
  <c r="P67" i="4"/>
  <c r="B67" i="4"/>
  <c r="V66" i="4"/>
  <c r="V132" i="4" s="1"/>
  <c r="U66" i="4"/>
  <c r="U132" i="4" s="1"/>
  <c r="T66" i="4"/>
  <c r="S66" i="4"/>
  <c r="S132" i="4" s="1"/>
  <c r="R66" i="4"/>
  <c r="R132" i="4" s="1"/>
  <c r="Q66" i="4"/>
  <c r="Q132" i="4" s="1"/>
  <c r="H66" i="4"/>
  <c r="H132" i="4" s="1"/>
  <c r="G66" i="4"/>
  <c r="F66" i="4"/>
  <c r="F132" i="4" s="1"/>
  <c r="E66" i="4"/>
  <c r="E132" i="4" s="1"/>
  <c r="D66" i="4"/>
  <c r="D132" i="4" s="1"/>
  <c r="C66" i="4"/>
  <c r="W65" i="4"/>
  <c r="Y65" i="4" s="1"/>
  <c r="Z65" i="4" s="1"/>
  <c r="AA65" i="4" s="1"/>
  <c r="I65" i="4"/>
  <c r="J65" i="4" s="1"/>
  <c r="W64" i="4"/>
  <c r="Y64" i="4" s="1"/>
  <c r="Z64" i="4" s="1"/>
  <c r="AA64" i="4" s="1"/>
  <c r="I64" i="4"/>
  <c r="J64" i="4" s="1"/>
  <c r="W63" i="4"/>
  <c r="I63" i="4"/>
  <c r="K63" i="4" s="1"/>
  <c r="L63" i="4" s="1"/>
  <c r="M63" i="4" s="1"/>
  <c r="W62" i="4"/>
  <c r="Y62" i="4" s="1"/>
  <c r="Z62" i="4" s="1"/>
  <c r="AA62" i="4" s="1"/>
  <c r="I62" i="4"/>
  <c r="K62" i="4" s="1"/>
  <c r="L62" i="4" s="1"/>
  <c r="M62" i="4" s="1"/>
  <c r="W61" i="4"/>
  <c r="X61" i="4" s="1"/>
  <c r="I61" i="4"/>
  <c r="K61" i="4" s="1"/>
  <c r="L61" i="4" s="1"/>
  <c r="M61" i="4" s="1"/>
  <c r="W60" i="4"/>
  <c r="Y60" i="4" s="1"/>
  <c r="Z60" i="4" s="1"/>
  <c r="AA60" i="4" s="1"/>
  <c r="I60" i="4"/>
  <c r="K60" i="4" s="1"/>
  <c r="L60" i="4" s="1"/>
  <c r="M60" i="4" s="1"/>
  <c r="U59" i="4"/>
  <c r="G59" i="4"/>
  <c r="P56" i="4"/>
  <c r="V55" i="4"/>
  <c r="V124" i="4" s="1"/>
  <c r="U55" i="4"/>
  <c r="U124" i="4" s="1"/>
  <c r="T55" i="4"/>
  <c r="T124" i="4" s="1"/>
  <c r="S55" i="4"/>
  <c r="S124" i="4" s="1"/>
  <c r="R55" i="4"/>
  <c r="R124" i="4" s="1"/>
  <c r="Q55" i="4"/>
  <c r="H124" i="4"/>
  <c r="G124" i="4"/>
  <c r="E124" i="4"/>
  <c r="D124" i="4"/>
  <c r="W54" i="4"/>
  <c r="Y54" i="4" s="1"/>
  <c r="Z54" i="4" s="1"/>
  <c r="AA54" i="4" s="1"/>
  <c r="L54" i="4"/>
  <c r="M54" i="4" s="1"/>
  <c r="W53" i="4"/>
  <c r="Y53" i="4" s="1"/>
  <c r="Z53" i="4" s="1"/>
  <c r="AA53" i="4" s="1"/>
  <c r="L53" i="4"/>
  <c r="M53" i="4" s="1"/>
  <c r="W52" i="4"/>
  <c r="Y52" i="4" s="1"/>
  <c r="Z52" i="4" s="1"/>
  <c r="AA52" i="4" s="1"/>
  <c r="L52" i="4"/>
  <c r="M52" i="4" s="1"/>
  <c r="W51" i="4"/>
  <c r="Y51" i="4" s="1"/>
  <c r="Z51" i="4" s="1"/>
  <c r="AA51" i="4" s="1"/>
  <c r="W50" i="4"/>
  <c r="Y50" i="4" s="1"/>
  <c r="Z50" i="4" s="1"/>
  <c r="AA50" i="4" s="1"/>
  <c r="L50" i="4"/>
  <c r="M50" i="4" s="1"/>
  <c r="W49" i="4"/>
  <c r="Y49" i="4" s="1"/>
  <c r="Z49" i="4" s="1"/>
  <c r="AA49" i="4" s="1"/>
  <c r="U48" i="4"/>
  <c r="G130" i="4"/>
  <c r="P45" i="4"/>
  <c r="B45" i="4"/>
  <c r="V44" i="4"/>
  <c r="V123" i="4" s="1"/>
  <c r="U44" i="4"/>
  <c r="U123" i="4" s="1"/>
  <c r="T44" i="4"/>
  <c r="T123" i="4" s="1"/>
  <c r="S44" i="4"/>
  <c r="S123" i="4" s="1"/>
  <c r="R44" i="4"/>
  <c r="R123" i="4" s="1"/>
  <c r="Q44" i="4"/>
  <c r="H44" i="4"/>
  <c r="H123" i="4" s="1"/>
  <c r="G44" i="4"/>
  <c r="G123" i="4" s="1"/>
  <c r="F44" i="4"/>
  <c r="E44" i="4"/>
  <c r="E123" i="4" s="1"/>
  <c r="D44" i="4"/>
  <c r="D123" i="4" s="1"/>
  <c r="C44" i="4"/>
  <c r="W43" i="4"/>
  <c r="Y43" i="4" s="1"/>
  <c r="Z43" i="4" s="1"/>
  <c r="AA43" i="4" s="1"/>
  <c r="I43" i="4"/>
  <c r="K43" i="4" s="1"/>
  <c r="L43" i="4" s="1"/>
  <c r="M43" i="4" s="1"/>
  <c r="W42" i="4"/>
  <c r="Y42" i="4" s="1"/>
  <c r="Z42" i="4" s="1"/>
  <c r="AA42" i="4" s="1"/>
  <c r="I42" i="4"/>
  <c r="K42" i="4" s="1"/>
  <c r="L42" i="4" s="1"/>
  <c r="M42" i="4" s="1"/>
  <c r="W41" i="4"/>
  <c r="Y41" i="4" s="1"/>
  <c r="Z41" i="4" s="1"/>
  <c r="AA41" i="4" s="1"/>
  <c r="I41" i="4"/>
  <c r="J41" i="4" s="1"/>
  <c r="W40" i="4"/>
  <c r="Y40" i="4" s="1"/>
  <c r="Z40" i="4" s="1"/>
  <c r="AA40" i="4" s="1"/>
  <c r="I40" i="4"/>
  <c r="K40" i="4" s="1"/>
  <c r="L40" i="4" s="1"/>
  <c r="M40" i="4" s="1"/>
  <c r="W39" i="4"/>
  <c r="Y39" i="4" s="1"/>
  <c r="Z39" i="4" s="1"/>
  <c r="AA39" i="4" s="1"/>
  <c r="I39" i="4"/>
  <c r="K39" i="4" s="1"/>
  <c r="L39" i="4" s="1"/>
  <c r="M39" i="4" s="1"/>
  <c r="W38" i="4"/>
  <c r="Y38" i="4" s="1"/>
  <c r="Z38" i="4" s="1"/>
  <c r="AA38" i="4" s="1"/>
  <c r="I38" i="4"/>
  <c r="J38" i="4" s="1"/>
  <c r="U37" i="4"/>
  <c r="G37" i="4"/>
  <c r="C37" i="4"/>
  <c r="C59" i="4" s="1"/>
  <c r="C70" i="4" s="1"/>
  <c r="C81" i="4" s="1"/>
  <c r="C92" i="4" s="1"/>
  <c r="C103" i="4" s="1"/>
  <c r="P34" i="4"/>
  <c r="B34" i="4"/>
  <c r="V33" i="4"/>
  <c r="V122" i="4" s="1"/>
  <c r="U33" i="4"/>
  <c r="T33" i="4"/>
  <c r="T122" i="4" s="1"/>
  <c r="S33" i="4"/>
  <c r="S122" i="4" s="1"/>
  <c r="R33" i="4"/>
  <c r="R122" i="4" s="1"/>
  <c r="Q33" i="4"/>
  <c r="Q122" i="4" s="1"/>
  <c r="H33" i="4"/>
  <c r="H122" i="4" s="1"/>
  <c r="G33" i="4"/>
  <c r="G122" i="4" s="1"/>
  <c r="F33" i="4"/>
  <c r="E33" i="4"/>
  <c r="E122" i="4" s="1"/>
  <c r="D33" i="4"/>
  <c r="D122" i="4" s="1"/>
  <c r="C33" i="4"/>
  <c r="W32" i="4"/>
  <c r="Y32" i="4" s="1"/>
  <c r="Z32" i="4" s="1"/>
  <c r="AA32" i="4" s="1"/>
  <c r="I32" i="4"/>
  <c r="K32" i="4" s="1"/>
  <c r="L32" i="4" s="1"/>
  <c r="M32" i="4" s="1"/>
  <c r="W31" i="4"/>
  <c r="X31" i="4" s="1"/>
  <c r="I31" i="4"/>
  <c r="K31" i="4" s="1"/>
  <c r="L31" i="4" s="1"/>
  <c r="M31" i="4" s="1"/>
  <c r="W30" i="4"/>
  <c r="Y30" i="4" s="1"/>
  <c r="Z30" i="4" s="1"/>
  <c r="AA30" i="4" s="1"/>
  <c r="I30" i="4"/>
  <c r="K30" i="4" s="1"/>
  <c r="L30" i="4" s="1"/>
  <c r="M30" i="4" s="1"/>
  <c r="W29" i="4"/>
  <c r="Y29" i="4" s="1"/>
  <c r="Z29" i="4" s="1"/>
  <c r="AA29" i="4" s="1"/>
  <c r="I29" i="4"/>
  <c r="W28" i="4"/>
  <c r="Y28" i="4" s="1"/>
  <c r="Z28" i="4" s="1"/>
  <c r="AA28" i="4" s="1"/>
  <c r="I28" i="4"/>
  <c r="K28" i="4" s="1"/>
  <c r="L28" i="4" s="1"/>
  <c r="M28" i="4" s="1"/>
  <c r="W27" i="4"/>
  <c r="Y27" i="4" s="1"/>
  <c r="Z27" i="4" s="1"/>
  <c r="AA27" i="4" s="1"/>
  <c r="I27" i="4"/>
  <c r="K27" i="4" s="1"/>
  <c r="L27" i="4" s="1"/>
  <c r="M27" i="4" s="1"/>
  <c r="U26" i="4"/>
  <c r="G26" i="4"/>
  <c r="P23" i="4"/>
  <c r="B23" i="4"/>
  <c r="V22" i="4"/>
  <c r="V121" i="4" s="1"/>
  <c r="U22" i="4"/>
  <c r="U121" i="4" s="1"/>
  <c r="T22" i="4"/>
  <c r="S22" i="4"/>
  <c r="S121" i="4" s="1"/>
  <c r="R22" i="4"/>
  <c r="R121" i="4" s="1"/>
  <c r="Q22" i="4"/>
  <c r="Q121" i="4" s="1"/>
  <c r="H22" i="4"/>
  <c r="H121" i="4" s="1"/>
  <c r="G22" i="4"/>
  <c r="G121" i="4" s="1"/>
  <c r="F22" i="4"/>
  <c r="E22" i="4"/>
  <c r="E121" i="4" s="1"/>
  <c r="D22" i="4"/>
  <c r="D121" i="4" s="1"/>
  <c r="C22" i="4"/>
  <c r="C121" i="4" s="1"/>
  <c r="W21" i="4"/>
  <c r="Y21" i="4" s="1"/>
  <c r="Z21" i="4" s="1"/>
  <c r="AA21" i="4" s="1"/>
  <c r="I21" i="4"/>
  <c r="W20" i="4"/>
  <c r="Y20" i="4" s="1"/>
  <c r="Z20" i="4" s="1"/>
  <c r="AA20" i="4" s="1"/>
  <c r="I20" i="4"/>
  <c r="W19" i="4"/>
  <c r="X19" i="4" s="1"/>
  <c r="I19" i="4"/>
  <c r="W18" i="4"/>
  <c r="X18" i="4" s="1"/>
  <c r="I18" i="4"/>
  <c r="W17" i="4"/>
  <c r="Y17" i="4" s="1"/>
  <c r="Z17" i="4" s="1"/>
  <c r="AA17" i="4" s="1"/>
  <c r="I17" i="4"/>
  <c r="W16" i="4"/>
  <c r="Y16" i="4" s="1"/>
  <c r="Z16" i="4" s="1"/>
  <c r="AA16" i="4" s="1"/>
  <c r="I16" i="4"/>
  <c r="U15" i="4"/>
  <c r="Q15" i="4"/>
  <c r="Q26" i="4" s="1"/>
  <c r="Q37" i="4" s="1"/>
  <c r="Q48" i="4" s="1"/>
  <c r="Q59" i="4" s="1"/>
  <c r="Q70" i="4" s="1"/>
  <c r="Q81" i="4" s="1"/>
  <c r="Q92" i="4" s="1"/>
  <c r="Q103" i="4" s="1"/>
  <c r="G15" i="4"/>
  <c r="C15" i="4"/>
  <c r="C26" i="4" s="1"/>
  <c r="P12" i="4"/>
  <c r="V11" i="4"/>
  <c r="V120" i="4" s="1"/>
  <c r="U11" i="4"/>
  <c r="U120" i="4" s="1"/>
  <c r="T11" i="4"/>
  <c r="S11" i="4"/>
  <c r="S120" i="4" s="1"/>
  <c r="R11" i="4"/>
  <c r="R120" i="4" s="1"/>
  <c r="Q11" i="4"/>
  <c r="Q120" i="4" s="1"/>
  <c r="H11" i="4"/>
  <c r="H120" i="4" s="1"/>
  <c r="G11" i="4"/>
  <c r="G120" i="4" s="1"/>
  <c r="F11" i="4"/>
  <c r="F120" i="4" s="1"/>
  <c r="E11" i="4"/>
  <c r="E120" i="4" s="1"/>
  <c r="D11" i="4"/>
  <c r="D120" i="4" s="1"/>
  <c r="C11" i="4"/>
  <c r="C120" i="4" s="1"/>
  <c r="W10" i="4"/>
  <c r="Y10" i="4" s="1"/>
  <c r="Z10" i="4" s="1"/>
  <c r="AA10" i="4" s="1"/>
  <c r="I10" i="4"/>
  <c r="K10" i="4" s="1"/>
  <c r="M10" i="4" s="1"/>
  <c r="W9" i="4"/>
  <c r="Y9" i="4" s="1"/>
  <c r="Z9" i="4" s="1"/>
  <c r="AA9" i="4" s="1"/>
  <c r="I9" i="4"/>
  <c r="K9" i="4" s="1"/>
  <c r="M9" i="4" s="1"/>
  <c r="W8" i="4"/>
  <c r="X8" i="4" s="1"/>
  <c r="I8" i="4"/>
  <c r="W7" i="4"/>
  <c r="Y7" i="4" s="1"/>
  <c r="Z7" i="4" s="1"/>
  <c r="AA7" i="4" s="1"/>
  <c r="I7" i="4"/>
  <c r="K7" i="4" s="1"/>
  <c r="M7" i="4" s="1"/>
  <c r="W6" i="4"/>
  <c r="X6" i="4" s="1"/>
  <c r="I6" i="4"/>
  <c r="K6" i="4" s="1"/>
  <c r="M6" i="4" s="1"/>
  <c r="W5" i="4"/>
  <c r="Y5" i="4" s="1"/>
  <c r="Z5" i="4" s="1"/>
  <c r="AA5" i="4" s="1"/>
  <c r="I5" i="4"/>
  <c r="K5" i="4" s="1"/>
  <c r="L5" i="4" s="1"/>
  <c r="M5" i="4" s="1"/>
  <c r="U4" i="4"/>
  <c r="F4" i="4"/>
  <c r="F48" i="4" s="1"/>
  <c r="M31" i="1"/>
  <c r="L35" i="1"/>
  <c r="M34" i="1"/>
  <c r="Z146" i="5" l="1"/>
  <c r="AA146" i="5" s="1"/>
  <c r="X146" i="5"/>
  <c r="Y146" i="5"/>
  <c r="L146" i="5"/>
  <c r="M146" i="5" s="1"/>
  <c r="J146" i="5"/>
  <c r="K146" i="5"/>
  <c r="Y48" i="5"/>
  <c r="K59" i="5"/>
  <c r="C132" i="4"/>
  <c r="C67" i="4"/>
  <c r="AA99" i="4"/>
  <c r="M11" i="4"/>
  <c r="AA110" i="4"/>
  <c r="AA88" i="4"/>
  <c r="AA55" i="4"/>
  <c r="AA44" i="4"/>
  <c r="Y76" i="4"/>
  <c r="Z76" i="4" s="1"/>
  <c r="AA76" i="4" s="1"/>
  <c r="X75" i="4"/>
  <c r="Y74" i="4"/>
  <c r="Z74" i="4" s="1"/>
  <c r="AA74" i="4" s="1"/>
  <c r="X7" i="4"/>
  <c r="Y6" i="4"/>
  <c r="Z6" i="4" s="1"/>
  <c r="AA6" i="4" s="1"/>
  <c r="K106" i="4"/>
  <c r="L106" i="4" s="1"/>
  <c r="M106" i="4" s="1"/>
  <c r="K64" i="4"/>
  <c r="L64" i="4" s="1"/>
  <c r="M64" i="4" s="1"/>
  <c r="J62" i="4"/>
  <c r="Y18" i="4"/>
  <c r="Z18" i="4" s="1"/>
  <c r="AA18" i="4" s="1"/>
  <c r="J95" i="4"/>
  <c r="K96" i="4"/>
  <c r="L96" i="4" s="1"/>
  <c r="M96" i="4" s="1"/>
  <c r="K86" i="4"/>
  <c r="L86" i="4" s="1"/>
  <c r="M86" i="4" s="1"/>
  <c r="L51" i="4"/>
  <c r="M51" i="4" s="1"/>
  <c r="K41" i="4"/>
  <c r="L41" i="4" s="1"/>
  <c r="M41" i="4" s="1"/>
  <c r="J30" i="4"/>
  <c r="I33" i="4"/>
  <c r="J33" i="4" s="1"/>
  <c r="Y61" i="4"/>
  <c r="Z61" i="4" s="1"/>
  <c r="AA61" i="4" s="1"/>
  <c r="W44" i="4"/>
  <c r="Y44" i="4" s="1"/>
  <c r="Z44" i="4" s="1"/>
  <c r="X28" i="4"/>
  <c r="F15" i="4"/>
  <c r="E118" i="15"/>
  <c r="I148" i="15"/>
  <c r="I141" i="15"/>
  <c r="I134" i="15"/>
  <c r="W133" i="4"/>
  <c r="Z133" i="4" s="1"/>
  <c r="AA133" i="4" s="1"/>
  <c r="Y31" i="4"/>
  <c r="Z31" i="4" s="1"/>
  <c r="AA31" i="4" s="1"/>
  <c r="AA33" i="4" s="1"/>
  <c r="K93" i="4"/>
  <c r="L93" i="4" s="1"/>
  <c r="M93" i="4" s="1"/>
  <c r="L49" i="4"/>
  <c r="M49" i="4" s="1"/>
  <c r="K38" i="4"/>
  <c r="L38" i="4" s="1"/>
  <c r="M38" i="4" s="1"/>
  <c r="F122" i="4"/>
  <c r="I122" i="4" s="1"/>
  <c r="L122" i="4" s="1"/>
  <c r="M122" i="4" s="1"/>
  <c r="D125" i="4"/>
  <c r="D144" i="4" s="1"/>
  <c r="C124" i="4"/>
  <c r="W110" i="4"/>
  <c r="W111" i="4" s="1"/>
  <c r="W135" i="4"/>
  <c r="Z135" i="4" s="1"/>
  <c r="W88" i="4"/>
  <c r="Y88" i="4" s="1"/>
  <c r="Z88" i="4" s="1"/>
  <c r="W77" i="4"/>
  <c r="Y77" i="4" s="1"/>
  <c r="Z77" i="4" s="1"/>
  <c r="Y72" i="4"/>
  <c r="Z72" i="4" s="1"/>
  <c r="AA72" i="4" s="1"/>
  <c r="AB133" i="4"/>
  <c r="AA79" i="14" s="1"/>
  <c r="Y73" i="4"/>
  <c r="Z73" i="4" s="1"/>
  <c r="AA73" i="4" s="1"/>
  <c r="X60" i="4"/>
  <c r="S137" i="4"/>
  <c r="S145" i="4" s="1"/>
  <c r="R125" i="4"/>
  <c r="R144" i="4" s="1"/>
  <c r="W55" i="4"/>
  <c r="Y55" i="4" s="1"/>
  <c r="Z55" i="4" s="1"/>
  <c r="X30" i="4"/>
  <c r="X32" i="4"/>
  <c r="X27" i="4"/>
  <c r="X29" i="4"/>
  <c r="X21" i="4"/>
  <c r="X17" i="4"/>
  <c r="Y19" i="4"/>
  <c r="Z19" i="4" s="1"/>
  <c r="AA19" i="4" s="1"/>
  <c r="S125" i="4"/>
  <c r="S144" i="4" s="1"/>
  <c r="Y8" i="4"/>
  <c r="Z8" i="4" s="1"/>
  <c r="AA8" i="4" s="1"/>
  <c r="X5" i="4"/>
  <c r="D137" i="4"/>
  <c r="D145" i="4" s="1"/>
  <c r="K107" i="4"/>
  <c r="L107" i="4" s="1"/>
  <c r="M107" i="4" s="1"/>
  <c r="I136" i="4"/>
  <c r="L136" i="4" s="1"/>
  <c r="K108" i="4"/>
  <c r="L108" i="4" s="1"/>
  <c r="M108" i="4" s="1"/>
  <c r="I135" i="4"/>
  <c r="L135" i="4" s="1"/>
  <c r="I99" i="4"/>
  <c r="I100" i="4" s="1"/>
  <c r="J97" i="4"/>
  <c r="F137" i="4"/>
  <c r="F145" i="4" s="1"/>
  <c r="I134" i="4"/>
  <c r="K134" i="4" s="1"/>
  <c r="I88" i="4"/>
  <c r="I89" i="4" s="1"/>
  <c r="K71" i="4"/>
  <c r="L71" i="4" s="1"/>
  <c r="M71" i="4" s="1"/>
  <c r="K73" i="4"/>
  <c r="L73" i="4" s="1"/>
  <c r="M73" i="4" s="1"/>
  <c r="K72" i="4"/>
  <c r="L72" i="4" s="1"/>
  <c r="M72" i="4" s="1"/>
  <c r="N133" i="4"/>
  <c r="AA79" i="13" s="1"/>
  <c r="C133" i="4"/>
  <c r="J63" i="4"/>
  <c r="K65" i="4"/>
  <c r="L65" i="4" s="1"/>
  <c r="M65" i="4" s="1"/>
  <c r="J31" i="4"/>
  <c r="H125" i="4"/>
  <c r="K83" i="4"/>
  <c r="L83" i="4" s="1"/>
  <c r="M83" i="4" s="1"/>
  <c r="J83" i="4"/>
  <c r="X9" i="4"/>
  <c r="G132" i="4"/>
  <c r="G137" i="4" s="1"/>
  <c r="G145" i="4" s="1"/>
  <c r="I66" i="4"/>
  <c r="T120" i="4"/>
  <c r="W11" i="4"/>
  <c r="K16" i="4"/>
  <c r="L16" i="4" s="1"/>
  <c r="M16" i="4" s="1"/>
  <c r="J16" i="4"/>
  <c r="K20" i="4"/>
  <c r="L20" i="4" s="1"/>
  <c r="M20" i="4" s="1"/>
  <c r="J20" i="4"/>
  <c r="T121" i="4"/>
  <c r="W22" i="4"/>
  <c r="K29" i="4"/>
  <c r="L29" i="4" s="1"/>
  <c r="M29" i="4" s="1"/>
  <c r="M33" i="4" s="1"/>
  <c r="J29" i="4"/>
  <c r="U122" i="4"/>
  <c r="U125" i="4" s="1"/>
  <c r="U144" i="4" s="1"/>
  <c r="W33" i="4"/>
  <c r="X51" i="4"/>
  <c r="K104" i="4"/>
  <c r="L104" i="4" s="1"/>
  <c r="M104" i="4" s="1"/>
  <c r="J104" i="4"/>
  <c r="W123" i="4"/>
  <c r="AB123" i="4"/>
  <c r="G60" i="14" s="1"/>
  <c r="T4" i="4"/>
  <c r="N120" i="4"/>
  <c r="P41" i="13" s="1"/>
  <c r="I120" i="4"/>
  <c r="AB135" i="4"/>
  <c r="AJ79" i="14" s="1"/>
  <c r="G125" i="4"/>
  <c r="G144" i="4" s="1"/>
  <c r="F121" i="4"/>
  <c r="I22" i="4"/>
  <c r="F26" i="4"/>
  <c r="J40" i="4"/>
  <c r="F123" i="4"/>
  <c r="I44" i="4"/>
  <c r="F124" i="4"/>
  <c r="Y63" i="4"/>
  <c r="Z63" i="4" s="1"/>
  <c r="AA63" i="4" s="1"/>
  <c r="X63" i="4"/>
  <c r="K17" i="4"/>
  <c r="L17" i="4" s="1"/>
  <c r="M17" i="4" s="1"/>
  <c r="J17" i="4"/>
  <c r="K21" i="4"/>
  <c r="L21" i="4" s="1"/>
  <c r="M21" i="4" s="1"/>
  <c r="J21" i="4"/>
  <c r="F70" i="4"/>
  <c r="F103" i="4"/>
  <c r="F81" i="4"/>
  <c r="F92" i="4"/>
  <c r="F59" i="4"/>
  <c r="F37" i="4"/>
  <c r="X10" i="4"/>
  <c r="I11" i="4"/>
  <c r="J43" i="4"/>
  <c r="T132" i="4"/>
  <c r="W66" i="4"/>
  <c r="J84" i="4"/>
  <c r="AA143" i="4"/>
  <c r="K15" i="4"/>
  <c r="Y4" i="4"/>
  <c r="AA131" i="4"/>
  <c r="AA119" i="4"/>
  <c r="X52" i="4"/>
  <c r="E137" i="4"/>
  <c r="E145" i="4" s="1"/>
  <c r="U137" i="4"/>
  <c r="U145" i="4" s="1"/>
  <c r="W134" i="4"/>
  <c r="AB134" i="4"/>
  <c r="AA60" i="14" s="1"/>
  <c r="K19" i="4"/>
  <c r="L19" i="4" s="1"/>
  <c r="M19" i="4" s="1"/>
  <c r="J19" i="4"/>
  <c r="Q124" i="4"/>
  <c r="J61" i="4"/>
  <c r="X65" i="4"/>
  <c r="X71" i="4"/>
  <c r="J94" i="4"/>
  <c r="N135" i="4"/>
  <c r="AJ79" i="13" s="1"/>
  <c r="C122" i="4"/>
  <c r="J42" i="4"/>
  <c r="X50" i="4"/>
  <c r="X54" i="4"/>
  <c r="K76" i="4"/>
  <c r="L76" i="4" s="1"/>
  <c r="M76" i="4" s="1"/>
  <c r="K82" i="4"/>
  <c r="L82" i="4" s="1"/>
  <c r="M82" i="4" s="1"/>
  <c r="J82" i="4"/>
  <c r="AB122" i="4"/>
  <c r="G79" i="14" s="1"/>
  <c r="R137" i="4"/>
  <c r="R145" i="4" s="1"/>
  <c r="V137" i="4"/>
  <c r="J109" i="4"/>
  <c r="K109" i="4"/>
  <c r="L109" i="4" s="1"/>
  <c r="M109" i="4" s="1"/>
  <c r="W124" i="4"/>
  <c r="AB124" i="4"/>
  <c r="P60" i="14" s="1"/>
  <c r="V125" i="4"/>
  <c r="X16" i="4"/>
  <c r="J9" i="4"/>
  <c r="J39" i="4"/>
  <c r="C123" i="4"/>
  <c r="Q123" i="4"/>
  <c r="Q125" i="4" s="1"/>
  <c r="Q144" i="4" s="1"/>
  <c r="K85" i="4"/>
  <c r="L85" i="4" s="1"/>
  <c r="M85" i="4" s="1"/>
  <c r="W99" i="4"/>
  <c r="Q136" i="4"/>
  <c r="H137" i="4"/>
  <c r="X20" i="4"/>
  <c r="J28" i="4"/>
  <c r="J5" i="4"/>
  <c r="J6" i="4"/>
  <c r="J7" i="4"/>
  <c r="J8" i="4"/>
  <c r="J10" i="4"/>
  <c r="K18" i="4"/>
  <c r="L18" i="4" s="1"/>
  <c r="M18" i="4" s="1"/>
  <c r="J18" i="4"/>
  <c r="J27" i="4"/>
  <c r="E125" i="4"/>
  <c r="E144" i="4" s="1"/>
  <c r="J32" i="4"/>
  <c r="X49" i="4"/>
  <c r="X53" i="4"/>
  <c r="J60" i="4"/>
  <c r="X64" i="4"/>
  <c r="J75" i="4"/>
  <c r="K75" i="4"/>
  <c r="L75" i="4" s="1"/>
  <c r="M75" i="4" s="1"/>
  <c r="C135" i="4"/>
  <c r="C136" i="4"/>
  <c r="X38" i="4"/>
  <c r="X39" i="4"/>
  <c r="X40" i="4"/>
  <c r="X41" i="4"/>
  <c r="X42" i="4"/>
  <c r="X43" i="4"/>
  <c r="X62" i="4"/>
  <c r="K74" i="4"/>
  <c r="L74" i="4" s="1"/>
  <c r="M74" i="4" s="1"/>
  <c r="K87" i="4"/>
  <c r="L87" i="4" s="1"/>
  <c r="M87" i="4" s="1"/>
  <c r="N134" i="4"/>
  <c r="AA60" i="13" s="1"/>
  <c r="J98" i="4"/>
  <c r="Q135" i="4"/>
  <c r="T136" i="4"/>
  <c r="I133" i="4"/>
  <c r="N132" i="4"/>
  <c r="AJ41" i="13" s="1"/>
  <c r="I77" i="4"/>
  <c r="I110" i="4"/>
  <c r="K4" i="3"/>
  <c r="M9" i="17"/>
  <c r="Y59" i="5" l="1"/>
  <c r="K70" i="5"/>
  <c r="M99" i="4"/>
  <c r="M66" i="4"/>
  <c r="M88" i="4"/>
  <c r="AA11" i="4"/>
  <c r="M55" i="4"/>
  <c r="M44" i="4"/>
  <c r="AA77" i="4"/>
  <c r="AA66" i="4"/>
  <c r="AA22" i="4"/>
  <c r="M110" i="4"/>
  <c r="M77" i="4"/>
  <c r="M22" i="4"/>
  <c r="W122" i="4"/>
  <c r="Z122" i="4" s="1"/>
  <c r="AA122" i="4" s="1"/>
  <c r="X44" i="4"/>
  <c r="W45" i="4"/>
  <c r="Y45" i="4" s="1"/>
  <c r="J134" i="4"/>
  <c r="L134" i="4"/>
  <c r="M134" i="4" s="1"/>
  <c r="K33" i="4"/>
  <c r="L33" i="4" s="1"/>
  <c r="J135" i="4"/>
  <c r="K88" i="4"/>
  <c r="L88" i="4" s="1"/>
  <c r="X55" i="4"/>
  <c r="W56" i="4"/>
  <c r="Y56" i="4" s="1"/>
  <c r="J88" i="4"/>
  <c r="I34" i="4"/>
  <c r="J34" i="4" s="1"/>
  <c r="X133" i="4"/>
  <c r="Y133" i="4"/>
  <c r="W89" i="4"/>
  <c r="X89" i="4" s="1"/>
  <c r="X88" i="4"/>
  <c r="J99" i="4"/>
  <c r="E133" i="15"/>
  <c r="E140" i="15"/>
  <c r="E147" i="15"/>
  <c r="W78" i="4"/>
  <c r="Y78" i="4" s="1"/>
  <c r="K99" i="4"/>
  <c r="L99" i="4" s="1"/>
  <c r="N122" i="4"/>
  <c r="G79" i="13" s="1"/>
  <c r="R146" i="4"/>
  <c r="D146" i="4"/>
  <c r="Q137" i="4"/>
  <c r="Q145" i="4" s="1"/>
  <c r="X135" i="4"/>
  <c r="Y135" i="4"/>
  <c r="C125" i="4"/>
  <c r="C144" i="4" s="1"/>
  <c r="S146" i="4"/>
  <c r="X110" i="4"/>
  <c r="Y110" i="4"/>
  <c r="Z110" i="4" s="1"/>
  <c r="AA135" i="4"/>
  <c r="X77" i="4"/>
  <c r="U146" i="4"/>
  <c r="Q146" i="4"/>
  <c r="J136" i="4"/>
  <c r="K135" i="4"/>
  <c r="I145" i="4"/>
  <c r="J100" i="4"/>
  <c r="K100" i="4"/>
  <c r="M135" i="4"/>
  <c r="E146" i="4"/>
  <c r="G146" i="4"/>
  <c r="I132" i="4"/>
  <c r="L132" i="4" s="1"/>
  <c r="M132" i="4" s="1"/>
  <c r="F125" i="4"/>
  <c r="F144" i="4" s="1"/>
  <c r="I144" i="4" s="1"/>
  <c r="J133" i="4"/>
  <c r="K133" i="4"/>
  <c r="Y99" i="4"/>
  <c r="Z99" i="4" s="1"/>
  <c r="X99" i="4"/>
  <c r="W100" i="4"/>
  <c r="W120" i="4"/>
  <c r="AB120" i="4"/>
  <c r="P41" i="14" s="1"/>
  <c r="T125" i="4"/>
  <c r="T144" i="4" s="1"/>
  <c r="W136" i="4"/>
  <c r="AB136" i="4"/>
  <c r="AJ60" i="14" s="1"/>
  <c r="L55" i="4"/>
  <c r="J22" i="4"/>
  <c r="K22" i="4"/>
  <c r="L22" i="4" s="1"/>
  <c r="I23" i="4"/>
  <c r="J122" i="4"/>
  <c r="K122" i="4"/>
  <c r="Y22" i="4"/>
  <c r="Z22" i="4" s="1"/>
  <c r="W23" i="4"/>
  <c r="X22" i="4"/>
  <c r="F130" i="4"/>
  <c r="F142" i="4" s="1"/>
  <c r="F118" i="4"/>
  <c r="V145" i="4"/>
  <c r="Y123" i="4"/>
  <c r="X123" i="4"/>
  <c r="K136" i="4"/>
  <c r="I78" i="4"/>
  <c r="K77" i="4"/>
  <c r="L77" i="4" s="1"/>
  <c r="J77" i="4"/>
  <c r="V144" i="4"/>
  <c r="Y111" i="4"/>
  <c r="X111" i="4"/>
  <c r="W132" i="4"/>
  <c r="T137" i="4"/>
  <c r="T145" i="4" s="1"/>
  <c r="W145" i="4" s="1"/>
  <c r="X145" i="4" s="1"/>
  <c r="AB132" i="4"/>
  <c r="AJ41" i="14" s="1"/>
  <c r="J44" i="4"/>
  <c r="I45" i="4"/>
  <c r="K44" i="4"/>
  <c r="L44" i="4" s="1"/>
  <c r="K120" i="4"/>
  <c r="J120" i="4"/>
  <c r="M136" i="4"/>
  <c r="H144" i="4"/>
  <c r="L133" i="4"/>
  <c r="M133" i="4" s="1"/>
  <c r="K11" i="4"/>
  <c r="L11" i="4" s="1"/>
  <c r="J11" i="4"/>
  <c r="I12" i="4"/>
  <c r="K89" i="4"/>
  <c r="J89" i="4"/>
  <c r="Y66" i="4"/>
  <c r="Z66" i="4" s="1"/>
  <c r="X66" i="4"/>
  <c r="W67" i="4"/>
  <c r="C137" i="4"/>
  <c r="C145" i="4" s="1"/>
  <c r="H145" i="4"/>
  <c r="N123" i="4"/>
  <c r="G60" i="13" s="1"/>
  <c r="I123" i="4"/>
  <c r="J66" i="4"/>
  <c r="I67" i="4"/>
  <c r="K66" i="4"/>
  <c r="L66" i="4" s="1"/>
  <c r="L120" i="4"/>
  <c r="M120" i="4" s="1"/>
  <c r="W121" i="4"/>
  <c r="AB121" i="4"/>
  <c r="P79" i="14" s="1"/>
  <c r="Y124" i="4"/>
  <c r="X124" i="4"/>
  <c r="Y134" i="4"/>
  <c r="X134" i="4"/>
  <c r="K26" i="4"/>
  <c r="Y15" i="4"/>
  <c r="Y33" i="4"/>
  <c r="Z33" i="4" s="1"/>
  <c r="X33" i="4"/>
  <c r="W34" i="4"/>
  <c r="Y11" i="4"/>
  <c r="Z11" i="4" s="1"/>
  <c r="X11" i="4"/>
  <c r="W12" i="4"/>
  <c r="J110" i="4"/>
  <c r="I111" i="4"/>
  <c r="K110" i="4"/>
  <c r="L110" i="4" s="1"/>
  <c r="N124" i="4"/>
  <c r="P60" i="13" s="1"/>
  <c r="I124" i="4"/>
  <c r="N121" i="4"/>
  <c r="P79" i="13" s="1"/>
  <c r="I121" i="4"/>
  <c r="Z124" i="4"/>
  <c r="AA124" i="4" s="1"/>
  <c r="Z123" i="4"/>
  <c r="AA123" i="4" s="1"/>
  <c r="T103" i="4"/>
  <c r="T37" i="4"/>
  <c r="T70" i="4"/>
  <c r="T15" i="4"/>
  <c r="T92" i="4" s="1"/>
  <c r="T59" i="4"/>
  <c r="T26" i="4"/>
  <c r="T48" i="4"/>
  <c r="T81" i="4"/>
  <c r="Z134" i="4"/>
  <c r="AA134" i="4" s="1"/>
  <c r="R20" i="17"/>
  <c r="R19" i="17"/>
  <c r="R18" i="17"/>
  <c r="N20" i="17"/>
  <c r="N19" i="17"/>
  <c r="N18" i="17"/>
  <c r="N17" i="17"/>
  <c r="N16" i="17"/>
  <c r="N15" i="17"/>
  <c r="N13" i="17"/>
  <c r="N12" i="17"/>
  <c r="N11" i="17"/>
  <c r="N10" i="17"/>
  <c r="N9" i="17"/>
  <c r="N8" i="17"/>
  <c r="M20" i="17"/>
  <c r="M19" i="17"/>
  <c r="M18" i="17"/>
  <c r="M17" i="17"/>
  <c r="M16" i="17"/>
  <c r="M15" i="17"/>
  <c r="M13" i="17"/>
  <c r="M12" i="17"/>
  <c r="M11" i="17"/>
  <c r="M10" i="17"/>
  <c r="M8" i="17"/>
  <c r="L20" i="17"/>
  <c r="C19" i="17" s="1"/>
  <c r="L19" i="17"/>
  <c r="C18" i="17" s="1"/>
  <c r="L18" i="17"/>
  <c r="C17" i="17" s="1"/>
  <c r="L17" i="17"/>
  <c r="C16" i="17" s="1"/>
  <c r="L16" i="17"/>
  <c r="C15" i="17" s="1"/>
  <c r="L15" i="17"/>
  <c r="C14" i="17" s="1"/>
  <c r="L13" i="17"/>
  <c r="C12" i="17" s="1"/>
  <c r="L12" i="17"/>
  <c r="C11" i="17" s="1"/>
  <c r="L11" i="17"/>
  <c r="C10" i="17" s="1"/>
  <c r="L10" i="17"/>
  <c r="C9" i="17" s="1"/>
  <c r="L9" i="17"/>
  <c r="C8" i="17" s="1"/>
  <c r="L8" i="17"/>
  <c r="P40" i="18"/>
  <c r="Q40" i="18" s="1"/>
  <c r="G18" i="18"/>
  <c r="G17" i="18"/>
  <c r="G16" i="18"/>
  <c r="G15" i="18"/>
  <c r="Q17" i="17" s="1"/>
  <c r="G14" i="18"/>
  <c r="Q16" i="17" s="1"/>
  <c r="G13" i="18"/>
  <c r="Q15" i="17" s="1"/>
  <c r="G10" i="18"/>
  <c r="G9" i="18"/>
  <c r="F18" i="18"/>
  <c r="F17" i="18"/>
  <c r="F16" i="18"/>
  <c r="F15" i="18"/>
  <c r="F14" i="18"/>
  <c r="F13" i="18"/>
  <c r="F11" i="18"/>
  <c r="F10" i="18"/>
  <c r="F9" i="18"/>
  <c r="F8" i="18"/>
  <c r="F7" i="18"/>
  <c r="F6" i="18"/>
  <c r="E18" i="18"/>
  <c r="E17" i="18"/>
  <c r="E16" i="18"/>
  <c r="E15" i="18"/>
  <c r="E14" i="18"/>
  <c r="E13" i="18"/>
  <c r="E11" i="18"/>
  <c r="E10" i="18"/>
  <c r="E9" i="18"/>
  <c r="E8" i="18"/>
  <c r="E7" i="18"/>
  <c r="E6" i="18"/>
  <c r="D18" i="18"/>
  <c r="D17" i="18"/>
  <c r="D16" i="18"/>
  <c r="D15" i="18"/>
  <c r="D14" i="18"/>
  <c r="D13" i="18"/>
  <c r="D11" i="18"/>
  <c r="D10" i="18"/>
  <c r="D9" i="18"/>
  <c r="D8" i="18"/>
  <c r="D7" i="18"/>
  <c r="D6" i="18"/>
  <c r="F78" i="18"/>
  <c r="E78" i="18"/>
  <c r="D78" i="18"/>
  <c r="G76" i="18"/>
  <c r="H76" i="18" s="1"/>
  <c r="F76" i="18"/>
  <c r="E76" i="18"/>
  <c r="D76" i="18"/>
  <c r="J75" i="18"/>
  <c r="I75" i="18"/>
  <c r="H75" i="18"/>
  <c r="J74" i="18"/>
  <c r="I74" i="18"/>
  <c r="H74" i="18"/>
  <c r="J73" i="18"/>
  <c r="I73" i="18"/>
  <c r="H73" i="18"/>
  <c r="J72" i="18"/>
  <c r="I72" i="18"/>
  <c r="H72" i="18"/>
  <c r="J71" i="18"/>
  <c r="I71" i="18"/>
  <c r="H71" i="18"/>
  <c r="J70" i="18"/>
  <c r="I70" i="18"/>
  <c r="H70" i="18"/>
  <c r="F69" i="18"/>
  <c r="F77" i="18" s="1"/>
  <c r="E69" i="18"/>
  <c r="E77" i="18" s="1"/>
  <c r="D69" i="18"/>
  <c r="J68" i="18"/>
  <c r="I68" i="18"/>
  <c r="H68" i="18"/>
  <c r="J67" i="18"/>
  <c r="I67" i="18"/>
  <c r="H67" i="18"/>
  <c r="J66" i="18"/>
  <c r="I66" i="18"/>
  <c r="H66" i="18"/>
  <c r="O55" i="18"/>
  <c r="N55" i="18"/>
  <c r="M55" i="18"/>
  <c r="F55" i="18"/>
  <c r="E55" i="18"/>
  <c r="D55" i="18"/>
  <c r="P53" i="18"/>
  <c r="S53" i="18" s="1"/>
  <c r="O53" i="18"/>
  <c r="N53" i="18"/>
  <c r="M53" i="18"/>
  <c r="G53" i="18"/>
  <c r="J53" i="18" s="1"/>
  <c r="F53" i="18"/>
  <c r="E53" i="18"/>
  <c r="D53" i="18"/>
  <c r="S52" i="18"/>
  <c r="R52" i="18"/>
  <c r="Q52" i="18"/>
  <c r="J52" i="18"/>
  <c r="I52" i="18"/>
  <c r="H52" i="18"/>
  <c r="S51" i="18"/>
  <c r="R51" i="18"/>
  <c r="Q51" i="18"/>
  <c r="J51" i="18"/>
  <c r="I51" i="18"/>
  <c r="H51" i="18"/>
  <c r="S50" i="18"/>
  <c r="R50" i="18"/>
  <c r="Q50" i="18"/>
  <c r="J50" i="18"/>
  <c r="I50" i="18"/>
  <c r="H50" i="18"/>
  <c r="S49" i="18"/>
  <c r="R49" i="18"/>
  <c r="Q49" i="18"/>
  <c r="J49" i="18"/>
  <c r="I49" i="18"/>
  <c r="H49" i="18"/>
  <c r="S48" i="18"/>
  <c r="R48" i="18"/>
  <c r="Q48" i="18"/>
  <c r="J48" i="18"/>
  <c r="I48" i="18"/>
  <c r="H48" i="18"/>
  <c r="S47" i="18"/>
  <c r="R47" i="18"/>
  <c r="Q47" i="18"/>
  <c r="J47" i="18"/>
  <c r="I47" i="18"/>
  <c r="H47" i="18"/>
  <c r="O46" i="18"/>
  <c r="O54" i="18" s="1"/>
  <c r="N46" i="18"/>
  <c r="N54" i="18" s="1"/>
  <c r="M46" i="18"/>
  <c r="M54" i="18" s="1"/>
  <c r="F46" i="18"/>
  <c r="E46" i="18"/>
  <c r="E54" i="18" s="1"/>
  <c r="D46" i="18"/>
  <c r="S45" i="18"/>
  <c r="R45" i="18"/>
  <c r="Q45" i="18"/>
  <c r="J45" i="18"/>
  <c r="I45" i="18"/>
  <c r="H45" i="18"/>
  <c r="S44" i="18"/>
  <c r="R44" i="18"/>
  <c r="Q44" i="18"/>
  <c r="J44" i="18"/>
  <c r="I44" i="18"/>
  <c r="H44" i="18"/>
  <c r="S43" i="18"/>
  <c r="R43" i="18"/>
  <c r="Q43" i="18"/>
  <c r="J43" i="18"/>
  <c r="I43" i="18"/>
  <c r="H43" i="18"/>
  <c r="C97" i="13"/>
  <c r="Q92" i="2"/>
  <c r="T92" i="2"/>
  <c r="U92" i="2"/>
  <c r="Y92" i="2"/>
  <c r="W93" i="2"/>
  <c r="Y93" i="2" s="1"/>
  <c r="X93" i="2"/>
  <c r="W94" i="2"/>
  <c r="X94" i="2"/>
  <c r="Y94" i="2"/>
  <c r="W95" i="2"/>
  <c r="Y95" i="2" s="1"/>
  <c r="X95" i="2"/>
  <c r="W96" i="2"/>
  <c r="X96" i="2"/>
  <c r="Y96" i="2"/>
  <c r="W97" i="2"/>
  <c r="X97" i="2"/>
  <c r="Y97" i="2"/>
  <c r="W98" i="2"/>
  <c r="Y98" i="2" s="1"/>
  <c r="X98" i="2"/>
  <c r="Q99" i="2"/>
  <c r="R99" i="2"/>
  <c r="S99" i="2"/>
  <c r="T99" i="2"/>
  <c r="W99" i="2" s="1"/>
  <c r="U99" i="2"/>
  <c r="V99" i="2"/>
  <c r="P100" i="2"/>
  <c r="Q21" i="17" l="1"/>
  <c r="Q22" i="17" s="1"/>
  <c r="Q23" i="17"/>
  <c r="Y70" i="5"/>
  <c r="K81" i="5"/>
  <c r="Y122" i="4"/>
  <c r="X122" i="4"/>
  <c r="X56" i="4"/>
  <c r="X45" i="4"/>
  <c r="K34" i="4"/>
  <c r="Y89" i="4"/>
  <c r="L145" i="4"/>
  <c r="M145" i="4" s="1"/>
  <c r="J145" i="4"/>
  <c r="K132" i="4"/>
  <c r="X78" i="4"/>
  <c r="J132" i="4"/>
  <c r="I137" i="4"/>
  <c r="L137" i="4" s="1"/>
  <c r="M137" i="4" s="1"/>
  <c r="I125" i="4"/>
  <c r="L125" i="4" s="1"/>
  <c r="M125" i="4" s="1"/>
  <c r="F146" i="4"/>
  <c r="Z145" i="4"/>
  <c r="AA145" i="4" s="1"/>
  <c r="K145" i="4"/>
  <c r="Y100" i="4"/>
  <c r="X100" i="4"/>
  <c r="C146" i="4"/>
  <c r="K124" i="4"/>
  <c r="J124" i="4"/>
  <c r="L124" i="4"/>
  <c r="M124" i="4" s="1"/>
  <c r="V146" i="4"/>
  <c r="K45" i="4"/>
  <c r="J45" i="4"/>
  <c r="Y34" i="4"/>
  <c r="X34" i="4"/>
  <c r="Y136" i="4"/>
  <c r="X136" i="4"/>
  <c r="Z136" i="4"/>
  <c r="AA136" i="4" s="1"/>
  <c r="Y12" i="4"/>
  <c r="X12" i="4"/>
  <c r="K37" i="4"/>
  <c r="K48" i="4" s="1"/>
  <c r="Y26" i="4"/>
  <c r="X23" i="4"/>
  <c r="Y23" i="4"/>
  <c r="J123" i="4"/>
  <c r="K123" i="4"/>
  <c r="L123" i="4"/>
  <c r="M123" i="4" s="1"/>
  <c r="K111" i="4"/>
  <c r="J111" i="4"/>
  <c r="J23" i="4"/>
  <c r="K23" i="4"/>
  <c r="W144" i="4"/>
  <c r="T146" i="4"/>
  <c r="J144" i="4"/>
  <c r="I146" i="4"/>
  <c r="K144" i="4"/>
  <c r="Y132" i="4"/>
  <c r="W137" i="4"/>
  <c r="X132" i="4"/>
  <c r="Z132" i="4"/>
  <c r="AA132" i="4" s="1"/>
  <c r="Y120" i="4"/>
  <c r="W125" i="4"/>
  <c r="Z120" i="4"/>
  <c r="AA120" i="4" s="1"/>
  <c r="X120" i="4"/>
  <c r="Y67" i="4"/>
  <c r="X67" i="4"/>
  <c r="K78" i="4"/>
  <c r="J78" i="4"/>
  <c r="K67" i="4"/>
  <c r="J67" i="4"/>
  <c r="H146" i="4"/>
  <c r="L144" i="4"/>
  <c r="M144" i="4" s="1"/>
  <c r="T118" i="4"/>
  <c r="T130" i="4"/>
  <c r="T142" i="4" s="1"/>
  <c r="J121" i="4"/>
  <c r="K121" i="4"/>
  <c r="L121" i="4"/>
  <c r="M121" i="4" s="1"/>
  <c r="Y121" i="4"/>
  <c r="X121" i="4"/>
  <c r="Z121" i="4"/>
  <c r="AA121" i="4" s="1"/>
  <c r="J12" i="4"/>
  <c r="K12" i="4"/>
  <c r="S40" i="18"/>
  <c r="D54" i="18"/>
  <c r="F54" i="18"/>
  <c r="D77" i="18"/>
  <c r="H53" i="18"/>
  <c r="Q53" i="18"/>
  <c r="J76" i="18"/>
  <c r="I53" i="18"/>
  <c r="R40" i="18"/>
  <c r="R53" i="18"/>
  <c r="I76" i="18"/>
  <c r="I18" i="18"/>
  <c r="H18" i="18"/>
  <c r="X99" i="2"/>
  <c r="Y99" i="2"/>
  <c r="W100" i="2"/>
  <c r="K92" i="5" l="1"/>
  <c r="Y81" i="5"/>
  <c r="J137" i="4"/>
  <c r="K137" i="4"/>
  <c r="J125" i="4"/>
  <c r="K125" i="4"/>
  <c r="L146" i="4"/>
  <c r="M146" i="4" s="1"/>
  <c r="Y37" i="4"/>
  <c r="X125" i="4"/>
  <c r="Y125" i="4"/>
  <c r="Y144" i="4" s="1"/>
  <c r="Z125" i="4"/>
  <c r="AA125" i="4" s="1"/>
  <c r="J146" i="4"/>
  <c r="K146" i="4"/>
  <c r="W146" i="4"/>
  <c r="Z146" i="4" s="1"/>
  <c r="AA146" i="4" s="1"/>
  <c r="X144" i="4"/>
  <c r="Z144" i="4"/>
  <c r="AA144" i="4" s="1"/>
  <c r="X137" i="4"/>
  <c r="Y137" i="4"/>
  <c r="Y145" i="4" s="1"/>
  <c r="Z137" i="4"/>
  <c r="AA137" i="4" s="1"/>
  <c r="J18" i="18"/>
  <c r="H11" i="18"/>
  <c r="D21" i="18"/>
  <c r="F12" i="18"/>
  <c r="E19" i="18"/>
  <c r="D19" i="18"/>
  <c r="D12" i="18"/>
  <c r="J14" i="18"/>
  <c r="F21" i="18"/>
  <c r="F19" i="18"/>
  <c r="E12" i="18"/>
  <c r="E21" i="18"/>
  <c r="Y100" i="2"/>
  <c r="X100" i="2"/>
  <c r="Y92" i="5" l="1"/>
  <c r="K103" i="5"/>
  <c r="Y103" i="5" s="1"/>
  <c r="K59" i="4"/>
  <c r="Y48" i="4"/>
  <c r="Y146" i="4"/>
  <c r="X146" i="4"/>
  <c r="I11" i="18"/>
  <c r="H14" i="18"/>
  <c r="J11" i="18"/>
  <c r="F20" i="18"/>
  <c r="E20" i="18"/>
  <c r="D20" i="18"/>
  <c r="I14" i="18"/>
  <c r="I16" i="18"/>
  <c r="J16" i="18"/>
  <c r="H16" i="18"/>
  <c r="I10" i="18"/>
  <c r="H10" i="18"/>
  <c r="J10" i="18"/>
  <c r="H17" i="18"/>
  <c r="I17" i="18"/>
  <c r="J17" i="18"/>
  <c r="I15" i="18"/>
  <c r="J15" i="18"/>
  <c r="H15" i="18"/>
  <c r="H9" i="18"/>
  <c r="J9" i="18"/>
  <c r="I9" i="18"/>
  <c r="J13" i="18"/>
  <c r="G19" i="18"/>
  <c r="I13" i="18"/>
  <c r="H13" i="18"/>
  <c r="M119" i="5" l="1"/>
  <c r="M131" i="5" s="1"/>
  <c r="M143" i="5" s="1"/>
  <c r="Y59" i="4"/>
  <c r="K70" i="4"/>
  <c r="C25" i="18"/>
  <c r="J19" i="18"/>
  <c r="I19" i="18"/>
  <c r="H19" i="18"/>
  <c r="K81" i="4" l="1"/>
  <c r="Y70" i="4"/>
  <c r="K92" i="4" l="1"/>
  <c r="Y81" i="4"/>
  <c r="F107" i="15"/>
  <c r="G65" i="18"/>
  <c r="C107" i="15"/>
  <c r="G106" i="15"/>
  <c r="G105" i="15"/>
  <c r="F100" i="15"/>
  <c r="E100" i="15"/>
  <c r="P42" i="18" s="1"/>
  <c r="D100" i="15"/>
  <c r="C100" i="15"/>
  <c r="G98" i="15"/>
  <c r="H98" i="15" s="1"/>
  <c r="C95" i="15"/>
  <c r="F93" i="15"/>
  <c r="E93" i="15"/>
  <c r="G42" i="18" s="1"/>
  <c r="D93" i="15"/>
  <c r="C93" i="15"/>
  <c r="G92" i="15"/>
  <c r="G91" i="15"/>
  <c r="G90" i="15"/>
  <c r="I90" i="15" s="1"/>
  <c r="G89" i="15"/>
  <c r="H89" i="15" s="1"/>
  <c r="G88" i="15"/>
  <c r="H88" i="15" s="1"/>
  <c r="G87" i="15"/>
  <c r="I87" i="15" s="1"/>
  <c r="G86" i="15"/>
  <c r="I86" i="15" s="1"/>
  <c r="G85" i="15"/>
  <c r="I85" i="15" s="1"/>
  <c r="G84" i="15"/>
  <c r="H84" i="15" s="1"/>
  <c r="G83" i="15"/>
  <c r="H80" i="15"/>
  <c r="H95" i="15" s="1"/>
  <c r="H102" i="15" s="1"/>
  <c r="Z106" i="3"/>
  <c r="L105" i="3"/>
  <c r="Z106" i="2"/>
  <c r="L105" i="2"/>
  <c r="G107" i="15" l="1"/>
  <c r="C112" i="15"/>
  <c r="H106" i="15"/>
  <c r="I106" i="15"/>
  <c r="H91" i="15"/>
  <c r="I91" i="15"/>
  <c r="G8" i="18"/>
  <c r="S42" i="18"/>
  <c r="R42" i="18"/>
  <c r="Q42" i="18"/>
  <c r="I42" i="18"/>
  <c r="J42" i="18"/>
  <c r="H42" i="18"/>
  <c r="J65" i="18"/>
  <c r="I65" i="18"/>
  <c r="H65" i="18"/>
  <c r="K103" i="4"/>
  <c r="Y92" i="4"/>
  <c r="F112" i="15"/>
  <c r="I98" i="15"/>
  <c r="G100" i="15"/>
  <c r="I100" i="15" s="1"/>
  <c r="H90" i="15"/>
  <c r="H86" i="15"/>
  <c r="G93" i="15"/>
  <c r="H93" i="15" s="1"/>
  <c r="I83" i="15"/>
  <c r="D112" i="15"/>
  <c r="E112" i="15"/>
  <c r="H83" i="15"/>
  <c r="I88" i="15"/>
  <c r="G108" i="15"/>
  <c r="I107" i="15"/>
  <c r="H107" i="15"/>
  <c r="I84" i="15"/>
  <c r="H87" i="15"/>
  <c r="H105" i="15"/>
  <c r="I89" i="15"/>
  <c r="I105" i="15"/>
  <c r="H85" i="15"/>
  <c r="Y142" i="3"/>
  <c r="P136" i="3"/>
  <c r="B136" i="3"/>
  <c r="P135" i="3"/>
  <c r="C135" i="3"/>
  <c r="B135" i="3"/>
  <c r="V134" i="3"/>
  <c r="P134" i="3"/>
  <c r="B134" i="3"/>
  <c r="P133" i="3"/>
  <c r="B133" i="3"/>
  <c r="P132" i="3"/>
  <c r="B132" i="3"/>
  <c r="U130" i="3"/>
  <c r="P124" i="3"/>
  <c r="B124" i="3"/>
  <c r="P123" i="3"/>
  <c r="B123" i="3"/>
  <c r="P122" i="3"/>
  <c r="C122" i="3"/>
  <c r="B122" i="3"/>
  <c r="P121" i="3"/>
  <c r="B121" i="3"/>
  <c r="P120" i="3"/>
  <c r="B120" i="3"/>
  <c r="U118" i="3"/>
  <c r="C112" i="3"/>
  <c r="P111" i="3"/>
  <c r="B111" i="3"/>
  <c r="V110" i="3"/>
  <c r="V136" i="3" s="1"/>
  <c r="U110" i="3"/>
  <c r="U136" i="3" s="1"/>
  <c r="T110" i="3"/>
  <c r="S110" i="3"/>
  <c r="S136" i="3" s="1"/>
  <c r="R110" i="3"/>
  <c r="R136" i="3" s="1"/>
  <c r="Q110" i="3"/>
  <c r="H110" i="3"/>
  <c r="H136" i="3" s="1"/>
  <c r="G110" i="3"/>
  <c r="G136" i="3" s="1"/>
  <c r="F110" i="3"/>
  <c r="E110" i="3"/>
  <c r="E136" i="3" s="1"/>
  <c r="D110" i="3"/>
  <c r="D136" i="3" s="1"/>
  <c r="C110" i="3"/>
  <c r="C136" i="3" s="1"/>
  <c r="X109" i="3"/>
  <c r="W109" i="3"/>
  <c r="Y109" i="3" s="1"/>
  <c r="Z109" i="3" s="1"/>
  <c r="I109" i="3"/>
  <c r="K109" i="3" s="1"/>
  <c r="L109" i="3" s="1"/>
  <c r="X108" i="3"/>
  <c r="W108" i="3"/>
  <c r="Y108" i="3" s="1"/>
  <c r="Z108" i="3" s="1"/>
  <c r="I108" i="3"/>
  <c r="K108" i="3" s="1"/>
  <c r="L108" i="3" s="1"/>
  <c r="X107" i="3"/>
  <c r="W107" i="3"/>
  <c r="Y107" i="3" s="1"/>
  <c r="Z107" i="3" s="1"/>
  <c r="I107" i="3"/>
  <c r="K107" i="3" s="1"/>
  <c r="L107" i="3" s="1"/>
  <c r="X106" i="3"/>
  <c r="W106" i="3"/>
  <c r="I106" i="3"/>
  <c r="K106" i="3" s="1"/>
  <c r="L106" i="3" s="1"/>
  <c r="X105" i="3"/>
  <c r="W105" i="3"/>
  <c r="Y105" i="3" s="1"/>
  <c r="Z105" i="3" s="1"/>
  <c r="I105" i="3"/>
  <c r="J105" i="3" s="1"/>
  <c r="X104" i="3"/>
  <c r="W104" i="3"/>
  <c r="Y104" i="3" s="1"/>
  <c r="Z104" i="3" s="1"/>
  <c r="I104" i="3"/>
  <c r="K104" i="3" s="1"/>
  <c r="L104" i="3" s="1"/>
  <c r="U103" i="3"/>
  <c r="G103" i="3"/>
  <c r="P100" i="3"/>
  <c r="B100" i="3"/>
  <c r="V99" i="3"/>
  <c r="V135" i="3" s="1"/>
  <c r="U99" i="3"/>
  <c r="U135" i="3" s="1"/>
  <c r="T99" i="3"/>
  <c r="T135" i="3" s="1"/>
  <c r="S99" i="3"/>
  <c r="S135" i="3" s="1"/>
  <c r="R99" i="3"/>
  <c r="R135" i="3" s="1"/>
  <c r="Q99" i="3"/>
  <c r="Q101" i="3" s="1"/>
  <c r="H99" i="3"/>
  <c r="H135" i="3" s="1"/>
  <c r="G99" i="3"/>
  <c r="G135" i="3" s="1"/>
  <c r="F99" i="3"/>
  <c r="E99" i="3"/>
  <c r="E135" i="3" s="1"/>
  <c r="D99" i="3"/>
  <c r="D135" i="3" s="1"/>
  <c r="C99" i="3"/>
  <c r="C101" i="3" s="1"/>
  <c r="X98" i="3"/>
  <c r="W98" i="3"/>
  <c r="Y98" i="3" s="1"/>
  <c r="Z98" i="3" s="1"/>
  <c r="I98" i="3"/>
  <c r="K98" i="3" s="1"/>
  <c r="L98" i="3" s="1"/>
  <c r="X97" i="3"/>
  <c r="W97" i="3"/>
  <c r="Y97" i="3" s="1"/>
  <c r="Z97" i="3" s="1"/>
  <c r="I97" i="3"/>
  <c r="K97" i="3" s="1"/>
  <c r="L97" i="3" s="1"/>
  <c r="X96" i="3"/>
  <c r="W96" i="3"/>
  <c r="Y96" i="3" s="1"/>
  <c r="Z96" i="3" s="1"/>
  <c r="I96" i="3"/>
  <c r="K96" i="3" s="1"/>
  <c r="L96" i="3" s="1"/>
  <c r="X95" i="3"/>
  <c r="W95" i="3"/>
  <c r="Y95" i="3" s="1"/>
  <c r="Z95" i="3" s="1"/>
  <c r="I95" i="3"/>
  <c r="X94" i="3"/>
  <c r="W94" i="3"/>
  <c r="Y94" i="3" s="1"/>
  <c r="Z94" i="3" s="1"/>
  <c r="I94" i="3"/>
  <c r="K94" i="3" s="1"/>
  <c r="L94" i="3" s="1"/>
  <c r="X93" i="3"/>
  <c r="W93" i="3"/>
  <c r="Y93" i="3" s="1"/>
  <c r="Z93" i="3" s="1"/>
  <c r="I93" i="3"/>
  <c r="J93" i="3" s="1"/>
  <c r="U92" i="3"/>
  <c r="G92" i="3"/>
  <c r="P89" i="3"/>
  <c r="B89" i="3"/>
  <c r="V88" i="3"/>
  <c r="U88" i="3"/>
  <c r="U134" i="3" s="1"/>
  <c r="T88" i="3"/>
  <c r="T134" i="3" s="1"/>
  <c r="AB134" i="3" s="1"/>
  <c r="AA59" i="14" s="1"/>
  <c r="S88" i="3"/>
  <c r="S134" i="3" s="1"/>
  <c r="R88" i="3"/>
  <c r="R134" i="3" s="1"/>
  <c r="Q88" i="3"/>
  <c r="H88" i="3"/>
  <c r="H134" i="3" s="1"/>
  <c r="G88" i="3"/>
  <c r="G134" i="3" s="1"/>
  <c r="F88" i="3"/>
  <c r="E88" i="3"/>
  <c r="E134" i="3" s="1"/>
  <c r="D88" i="3"/>
  <c r="D134" i="3" s="1"/>
  <c r="C88" i="3"/>
  <c r="X87" i="3"/>
  <c r="W87" i="3"/>
  <c r="Y87" i="3" s="1"/>
  <c r="Z87" i="3" s="1"/>
  <c r="I87" i="3"/>
  <c r="X86" i="3"/>
  <c r="W86" i="3"/>
  <c r="Y86" i="3" s="1"/>
  <c r="Z86" i="3" s="1"/>
  <c r="I86" i="3"/>
  <c r="K86" i="3" s="1"/>
  <c r="L86" i="3" s="1"/>
  <c r="X85" i="3"/>
  <c r="W85" i="3"/>
  <c r="Y85" i="3" s="1"/>
  <c r="Z85" i="3" s="1"/>
  <c r="I85" i="3"/>
  <c r="J85" i="3" s="1"/>
  <c r="X84" i="3"/>
  <c r="W84" i="3"/>
  <c r="Y84" i="3" s="1"/>
  <c r="Z84" i="3" s="1"/>
  <c r="I84" i="3"/>
  <c r="J84" i="3" s="1"/>
  <c r="X83" i="3"/>
  <c r="W83" i="3"/>
  <c r="Y83" i="3" s="1"/>
  <c r="Z83" i="3" s="1"/>
  <c r="I83" i="3"/>
  <c r="X82" i="3"/>
  <c r="W82" i="3"/>
  <c r="Y82" i="3" s="1"/>
  <c r="Z82" i="3" s="1"/>
  <c r="I82" i="3"/>
  <c r="K82" i="3" s="1"/>
  <c r="L82" i="3" s="1"/>
  <c r="U81" i="3"/>
  <c r="G81" i="3"/>
  <c r="P78" i="3"/>
  <c r="B78" i="3"/>
  <c r="V77" i="3"/>
  <c r="V133" i="3" s="1"/>
  <c r="U77" i="3"/>
  <c r="U133" i="3" s="1"/>
  <c r="T77" i="3"/>
  <c r="T133" i="3" s="1"/>
  <c r="S77" i="3"/>
  <c r="S133" i="3" s="1"/>
  <c r="R77" i="3"/>
  <c r="R133" i="3" s="1"/>
  <c r="Q77" i="3"/>
  <c r="Q133" i="3" s="1"/>
  <c r="H77" i="3"/>
  <c r="H133" i="3" s="1"/>
  <c r="G77" i="3"/>
  <c r="G133" i="3" s="1"/>
  <c r="F77" i="3"/>
  <c r="E77" i="3"/>
  <c r="E133" i="3" s="1"/>
  <c r="D77" i="3"/>
  <c r="D133" i="3" s="1"/>
  <c r="C77" i="3"/>
  <c r="W76" i="3"/>
  <c r="I76" i="3"/>
  <c r="K76" i="3" s="1"/>
  <c r="L76" i="3" s="1"/>
  <c r="W75" i="3"/>
  <c r="I75" i="3"/>
  <c r="J75" i="3" s="1"/>
  <c r="W74" i="3"/>
  <c r="I74" i="3"/>
  <c r="K74" i="3" s="1"/>
  <c r="L74" i="3" s="1"/>
  <c r="W73" i="3"/>
  <c r="I73" i="3"/>
  <c r="W72" i="3"/>
  <c r="I72" i="3"/>
  <c r="K72" i="3" s="1"/>
  <c r="L72" i="3" s="1"/>
  <c r="W71" i="3"/>
  <c r="I71" i="3"/>
  <c r="J71" i="3" s="1"/>
  <c r="U70" i="3"/>
  <c r="G70" i="3"/>
  <c r="P67" i="3"/>
  <c r="B67" i="3"/>
  <c r="V66" i="3"/>
  <c r="V132" i="3" s="1"/>
  <c r="U66" i="3"/>
  <c r="U132" i="3" s="1"/>
  <c r="T66" i="3"/>
  <c r="T132" i="3" s="1"/>
  <c r="S66" i="3"/>
  <c r="S132" i="3" s="1"/>
  <c r="R66" i="3"/>
  <c r="R132" i="3" s="1"/>
  <c r="Q66" i="3"/>
  <c r="H66" i="3"/>
  <c r="H132" i="3" s="1"/>
  <c r="G66" i="3"/>
  <c r="G132" i="3" s="1"/>
  <c r="F66" i="3"/>
  <c r="E66" i="3"/>
  <c r="E132" i="3" s="1"/>
  <c r="D66" i="3"/>
  <c r="D132" i="3" s="1"/>
  <c r="C66" i="3"/>
  <c r="W65" i="3"/>
  <c r="I65" i="3"/>
  <c r="J65" i="3" s="1"/>
  <c r="W64" i="3"/>
  <c r="I64" i="3"/>
  <c r="K64" i="3" s="1"/>
  <c r="L64" i="3" s="1"/>
  <c r="W63" i="3"/>
  <c r="I63" i="3"/>
  <c r="W62" i="3"/>
  <c r="I62" i="3"/>
  <c r="K62" i="3" s="1"/>
  <c r="L62" i="3" s="1"/>
  <c r="W61" i="3"/>
  <c r="I61" i="3"/>
  <c r="J61" i="3" s="1"/>
  <c r="W60" i="3"/>
  <c r="X60" i="3" s="1"/>
  <c r="I60" i="3"/>
  <c r="J60" i="3" s="1"/>
  <c r="U59" i="3"/>
  <c r="G59" i="3"/>
  <c r="C57" i="3"/>
  <c r="P56" i="3"/>
  <c r="B56" i="3"/>
  <c r="V55" i="3"/>
  <c r="V124" i="3" s="1"/>
  <c r="U55" i="3"/>
  <c r="U124" i="3" s="1"/>
  <c r="T55" i="3"/>
  <c r="T124" i="3" s="1"/>
  <c r="S55" i="3"/>
  <c r="S124" i="3" s="1"/>
  <c r="R55" i="3"/>
  <c r="R124" i="3" s="1"/>
  <c r="Q55" i="3"/>
  <c r="Q124" i="3" s="1"/>
  <c r="H55" i="3"/>
  <c r="H124" i="3" s="1"/>
  <c r="G55" i="3"/>
  <c r="G124" i="3" s="1"/>
  <c r="F55" i="3"/>
  <c r="F124" i="3" s="1"/>
  <c r="E55" i="3"/>
  <c r="E124" i="3" s="1"/>
  <c r="D55" i="3"/>
  <c r="D124" i="3" s="1"/>
  <c r="C55" i="3"/>
  <c r="C124" i="3" s="1"/>
  <c r="W54" i="3"/>
  <c r="X54" i="3" s="1"/>
  <c r="I54" i="3"/>
  <c r="J54" i="3" s="1"/>
  <c r="W53" i="3"/>
  <c r="X53" i="3" s="1"/>
  <c r="I53" i="3"/>
  <c r="K53" i="3" s="1"/>
  <c r="L53" i="3" s="1"/>
  <c r="W52" i="3"/>
  <c r="X52" i="3" s="1"/>
  <c r="I52" i="3"/>
  <c r="K52" i="3" s="1"/>
  <c r="L52" i="3" s="1"/>
  <c r="W51" i="3"/>
  <c r="X51" i="3" s="1"/>
  <c r="I51" i="3"/>
  <c r="J51" i="3" s="1"/>
  <c r="W50" i="3"/>
  <c r="X50" i="3" s="1"/>
  <c r="I50" i="3"/>
  <c r="K50" i="3" s="1"/>
  <c r="L50" i="3" s="1"/>
  <c r="W49" i="3"/>
  <c r="X49" i="3" s="1"/>
  <c r="I49" i="3"/>
  <c r="K49" i="3" s="1"/>
  <c r="L49" i="3" s="1"/>
  <c r="U48" i="3"/>
  <c r="G48" i="3"/>
  <c r="G130" i="3" s="1"/>
  <c r="C46" i="3"/>
  <c r="P45" i="3"/>
  <c r="B45" i="3"/>
  <c r="V44" i="3"/>
  <c r="V123" i="3" s="1"/>
  <c r="U44" i="3"/>
  <c r="U123" i="3" s="1"/>
  <c r="T44" i="3"/>
  <c r="T123" i="3" s="1"/>
  <c r="S44" i="3"/>
  <c r="S123" i="3" s="1"/>
  <c r="R44" i="3"/>
  <c r="R123" i="3" s="1"/>
  <c r="Q44" i="3"/>
  <c r="Q123" i="3" s="1"/>
  <c r="H44" i="3"/>
  <c r="H123" i="3" s="1"/>
  <c r="G44" i="3"/>
  <c r="G123" i="3" s="1"/>
  <c r="F44" i="3"/>
  <c r="F123" i="3" s="1"/>
  <c r="E44" i="3"/>
  <c r="E123" i="3" s="1"/>
  <c r="D44" i="3"/>
  <c r="D123" i="3" s="1"/>
  <c r="C44" i="3"/>
  <c r="C123" i="3" s="1"/>
  <c r="W43" i="3"/>
  <c r="X43" i="3" s="1"/>
  <c r="I43" i="3"/>
  <c r="K43" i="3" s="1"/>
  <c r="L43" i="3" s="1"/>
  <c r="W42" i="3"/>
  <c r="X42" i="3" s="1"/>
  <c r="I42" i="3"/>
  <c r="K42" i="3" s="1"/>
  <c r="L42" i="3" s="1"/>
  <c r="W41" i="3"/>
  <c r="X41" i="3" s="1"/>
  <c r="I41" i="3"/>
  <c r="K41" i="3" s="1"/>
  <c r="L41" i="3" s="1"/>
  <c r="W40" i="3"/>
  <c r="X40" i="3" s="1"/>
  <c r="I40" i="3"/>
  <c r="K40" i="3" s="1"/>
  <c r="L40" i="3" s="1"/>
  <c r="W39" i="3"/>
  <c r="X39" i="3" s="1"/>
  <c r="I39" i="3"/>
  <c r="K39" i="3" s="1"/>
  <c r="L39" i="3" s="1"/>
  <c r="W38" i="3"/>
  <c r="X38" i="3" s="1"/>
  <c r="I38" i="3"/>
  <c r="K38" i="3" s="1"/>
  <c r="L38" i="3" s="1"/>
  <c r="U37" i="3"/>
  <c r="G37" i="3"/>
  <c r="C35" i="3"/>
  <c r="P34" i="3"/>
  <c r="B34" i="3"/>
  <c r="V33" i="3"/>
  <c r="V122" i="3" s="1"/>
  <c r="U33" i="3"/>
  <c r="U122" i="3" s="1"/>
  <c r="T33" i="3"/>
  <c r="T122" i="3" s="1"/>
  <c r="S33" i="3"/>
  <c r="S122" i="3" s="1"/>
  <c r="R33" i="3"/>
  <c r="R122" i="3" s="1"/>
  <c r="Q33" i="3"/>
  <c r="Q122" i="3" s="1"/>
  <c r="H33" i="3"/>
  <c r="H122" i="3" s="1"/>
  <c r="G33" i="3"/>
  <c r="G122" i="3" s="1"/>
  <c r="F33" i="3"/>
  <c r="F122" i="3" s="1"/>
  <c r="E33" i="3"/>
  <c r="E122" i="3" s="1"/>
  <c r="D33" i="3"/>
  <c r="D122" i="3" s="1"/>
  <c r="C33" i="3"/>
  <c r="W32" i="3"/>
  <c r="X32" i="3" s="1"/>
  <c r="I32" i="3"/>
  <c r="K32" i="3" s="1"/>
  <c r="L32" i="3" s="1"/>
  <c r="W31" i="3"/>
  <c r="X31" i="3" s="1"/>
  <c r="I31" i="3"/>
  <c r="J31" i="3" s="1"/>
  <c r="W30" i="3"/>
  <c r="X30" i="3" s="1"/>
  <c r="I30" i="3"/>
  <c r="K30" i="3" s="1"/>
  <c r="L30" i="3" s="1"/>
  <c r="W29" i="3"/>
  <c r="X29" i="3" s="1"/>
  <c r="I29" i="3"/>
  <c r="J29" i="3" s="1"/>
  <c r="W28" i="3"/>
  <c r="X28" i="3" s="1"/>
  <c r="I28" i="3"/>
  <c r="K28" i="3" s="1"/>
  <c r="L28" i="3" s="1"/>
  <c r="W27" i="3"/>
  <c r="X27" i="3" s="1"/>
  <c r="I27" i="3"/>
  <c r="J27" i="3" s="1"/>
  <c r="U26" i="3"/>
  <c r="G26" i="3"/>
  <c r="C24" i="3"/>
  <c r="P23" i="3"/>
  <c r="B23" i="3"/>
  <c r="V22" i="3"/>
  <c r="V121" i="3" s="1"/>
  <c r="U22" i="3"/>
  <c r="U121" i="3" s="1"/>
  <c r="T22" i="3"/>
  <c r="T121" i="3" s="1"/>
  <c r="S22" i="3"/>
  <c r="S121" i="3" s="1"/>
  <c r="R22" i="3"/>
  <c r="R121" i="3" s="1"/>
  <c r="Q22" i="3"/>
  <c r="Q121" i="3" s="1"/>
  <c r="H22" i="3"/>
  <c r="H121" i="3" s="1"/>
  <c r="G22" i="3"/>
  <c r="G121" i="3" s="1"/>
  <c r="F22" i="3"/>
  <c r="F121" i="3" s="1"/>
  <c r="E22" i="3"/>
  <c r="E121" i="3" s="1"/>
  <c r="D22" i="3"/>
  <c r="D121" i="3" s="1"/>
  <c r="C22" i="3"/>
  <c r="C121" i="3" s="1"/>
  <c r="W21" i="3"/>
  <c r="X21" i="3" s="1"/>
  <c r="I21" i="3"/>
  <c r="K21" i="3" s="1"/>
  <c r="L21" i="3" s="1"/>
  <c r="W20" i="3"/>
  <c r="X20" i="3" s="1"/>
  <c r="I20" i="3"/>
  <c r="J20" i="3" s="1"/>
  <c r="W19" i="3"/>
  <c r="X19" i="3" s="1"/>
  <c r="I19" i="3"/>
  <c r="J19" i="3" s="1"/>
  <c r="W18" i="3"/>
  <c r="X18" i="3" s="1"/>
  <c r="I18" i="3"/>
  <c r="J18" i="3" s="1"/>
  <c r="W17" i="3"/>
  <c r="X17" i="3" s="1"/>
  <c r="I17" i="3"/>
  <c r="K17" i="3" s="1"/>
  <c r="L17" i="3" s="1"/>
  <c r="W16" i="3"/>
  <c r="X16" i="3" s="1"/>
  <c r="I16" i="3"/>
  <c r="J16" i="3" s="1"/>
  <c r="U15" i="3"/>
  <c r="Q15" i="3"/>
  <c r="Q26" i="3" s="1"/>
  <c r="Q37" i="3" s="1"/>
  <c r="Q48" i="3" s="1"/>
  <c r="Q59" i="3" s="1"/>
  <c r="Q70" i="3" s="1"/>
  <c r="Q81" i="3" s="1"/>
  <c r="Q92" i="3" s="1"/>
  <c r="Q103" i="3" s="1"/>
  <c r="G15" i="3"/>
  <c r="C15" i="3"/>
  <c r="C26" i="3" s="1"/>
  <c r="C37" i="3" s="1"/>
  <c r="C48" i="3" s="1"/>
  <c r="C59" i="3" s="1"/>
  <c r="C70" i="3" s="1"/>
  <c r="C81" i="3" s="1"/>
  <c r="C92" i="3" s="1"/>
  <c r="C103" i="3" s="1"/>
  <c r="C13" i="3"/>
  <c r="P12" i="3"/>
  <c r="V11" i="3"/>
  <c r="V120" i="3" s="1"/>
  <c r="U11" i="3"/>
  <c r="U120" i="3" s="1"/>
  <c r="T11" i="3"/>
  <c r="S11" i="3"/>
  <c r="S120" i="3" s="1"/>
  <c r="R11" i="3"/>
  <c r="R120" i="3" s="1"/>
  <c r="Q11" i="3"/>
  <c r="H11" i="3"/>
  <c r="H120" i="3" s="1"/>
  <c r="G11" i="3"/>
  <c r="G120" i="3" s="1"/>
  <c r="F11" i="3"/>
  <c r="F120" i="3" s="1"/>
  <c r="E11" i="3"/>
  <c r="E120" i="3" s="1"/>
  <c r="D11" i="3"/>
  <c r="D120" i="3" s="1"/>
  <c r="C11" i="3"/>
  <c r="C120" i="3" s="1"/>
  <c r="W10" i="3"/>
  <c r="Y10" i="3" s="1"/>
  <c r="Z10" i="3" s="1"/>
  <c r="I10" i="3"/>
  <c r="K10" i="3" s="1"/>
  <c r="L10" i="3" s="1"/>
  <c r="W9" i="3"/>
  <c r="Y9" i="3" s="1"/>
  <c r="Z9" i="3" s="1"/>
  <c r="I9" i="3"/>
  <c r="K9" i="3" s="1"/>
  <c r="L9" i="3" s="1"/>
  <c r="W8" i="3"/>
  <c r="Y8" i="3" s="1"/>
  <c r="Z8" i="3" s="1"/>
  <c r="I8" i="3"/>
  <c r="K8" i="3" s="1"/>
  <c r="L8" i="3" s="1"/>
  <c r="W7" i="3"/>
  <c r="Y7" i="3" s="1"/>
  <c r="Z7" i="3" s="1"/>
  <c r="I7" i="3"/>
  <c r="J7" i="3" s="1"/>
  <c r="W6" i="3"/>
  <c r="Y6" i="3" s="1"/>
  <c r="Z6" i="3" s="1"/>
  <c r="I6" i="3"/>
  <c r="J6" i="3" s="1"/>
  <c r="W5" i="3"/>
  <c r="Y5" i="3" s="1"/>
  <c r="Z5" i="3" s="1"/>
  <c r="I5" i="3"/>
  <c r="K5" i="3" s="1"/>
  <c r="L5" i="3" s="1"/>
  <c r="U4" i="3"/>
  <c r="F4" i="3"/>
  <c r="H8" i="18" l="1"/>
  <c r="I8" i="18"/>
  <c r="J8" i="18"/>
  <c r="M119" i="4"/>
  <c r="M131" i="4" s="1"/>
  <c r="M143" i="4" s="1"/>
  <c r="Y103" i="4"/>
  <c r="K84" i="3"/>
  <c r="L84" i="3" s="1"/>
  <c r="I121" i="3"/>
  <c r="L121" i="3" s="1"/>
  <c r="M121" i="3" s="1"/>
  <c r="H100" i="15"/>
  <c r="X10" i="3"/>
  <c r="K29" i="3"/>
  <c r="L29" i="3" s="1"/>
  <c r="Y51" i="3"/>
  <c r="Z51" i="3" s="1"/>
  <c r="J96" i="3"/>
  <c r="K51" i="3"/>
  <c r="L51" i="3" s="1"/>
  <c r="J50" i="3"/>
  <c r="K18" i="3"/>
  <c r="L18" i="3" s="1"/>
  <c r="Y52" i="3"/>
  <c r="Z52" i="3" s="1"/>
  <c r="Y50" i="3"/>
  <c r="Z50" i="3" s="1"/>
  <c r="Y40" i="3"/>
  <c r="Z40" i="3" s="1"/>
  <c r="X6" i="3"/>
  <c r="K71" i="3"/>
  <c r="L71" i="3" s="1"/>
  <c r="J62" i="3"/>
  <c r="K54" i="3"/>
  <c r="L54" i="3" s="1"/>
  <c r="J41" i="3"/>
  <c r="J17" i="3"/>
  <c r="K19" i="3"/>
  <c r="L19" i="3" s="1"/>
  <c r="J8" i="3"/>
  <c r="I93" i="15"/>
  <c r="W99" i="3"/>
  <c r="W100" i="3" s="1"/>
  <c r="Y49" i="3"/>
  <c r="Z49" i="3" s="1"/>
  <c r="Y38" i="3"/>
  <c r="Z38" i="3" s="1"/>
  <c r="K93" i="3"/>
  <c r="L93" i="3" s="1"/>
  <c r="J94" i="3"/>
  <c r="J82" i="3"/>
  <c r="J72" i="3"/>
  <c r="K60" i="3"/>
  <c r="L60" i="3" s="1"/>
  <c r="K27" i="3"/>
  <c r="L27" i="3" s="1"/>
  <c r="J28" i="3"/>
  <c r="K20" i="3"/>
  <c r="L20" i="3" s="1"/>
  <c r="K16" i="3"/>
  <c r="L16" i="3" s="1"/>
  <c r="G112" i="15"/>
  <c r="H112" i="15" s="1"/>
  <c r="W135" i="3"/>
  <c r="Z135" i="3" s="1"/>
  <c r="Y42" i="3"/>
  <c r="Z42" i="3" s="1"/>
  <c r="W77" i="3"/>
  <c r="W78" i="3" s="1"/>
  <c r="Y78" i="3" s="1"/>
  <c r="Y54" i="3"/>
  <c r="Z54" i="3" s="1"/>
  <c r="Y41" i="3"/>
  <c r="Z41" i="3" s="1"/>
  <c r="J109" i="3"/>
  <c r="K85" i="3"/>
  <c r="L85" i="3" s="1"/>
  <c r="K75" i="3"/>
  <c r="L75" i="3" s="1"/>
  <c r="J40" i="3"/>
  <c r="J32" i="3"/>
  <c r="K31" i="3"/>
  <c r="L31" i="3" s="1"/>
  <c r="J21" i="3"/>
  <c r="J10" i="3"/>
  <c r="K7" i="3"/>
  <c r="L7" i="3" s="1"/>
  <c r="F92" i="3"/>
  <c r="E81" i="15"/>
  <c r="K15" i="3"/>
  <c r="Y15" i="3" s="1"/>
  <c r="I82" i="15"/>
  <c r="I108" i="15"/>
  <c r="H108" i="15"/>
  <c r="Y30" i="3"/>
  <c r="Z30" i="3" s="1"/>
  <c r="I22" i="3"/>
  <c r="J22" i="3" s="1"/>
  <c r="E125" i="3"/>
  <c r="E144" i="3" s="1"/>
  <c r="U137" i="3"/>
  <c r="U145" i="3" s="1"/>
  <c r="W110" i="3"/>
  <c r="W111" i="3" s="1"/>
  <c r="Y111" i="3" s="1"/>
  <c r="R137" i="3"/>
  <c r="R145" i="3" s="1"/>
  <c r="W88" i="3"/>
  <c r="Y88" i="3" s="1"/>
  <c r="Z88" i="3" s="1"/>
  <c r="S137" i="3"/>
  <c r="S145" i="3" s="1"/>
  <c r="W66" i="3"/>
  <c r="Y66" i="3" s="1"/>
  <c r="Z66" i="3" s="1"/>
  <c r="Y53" i="3"/>
  <c r="Z53" i="3" s="1"/>
  <c r="Y39" i="3"/>
  <c r="Z39" i="3" s="1"/>
  <c r="Y43" i="3"/>
  <c r="Z43" i="3" s="1"/>
  <c r="Y28" i="3"/>
  <c r="Z28" i="3" s="1"/>
  <c r="Y32" i="3"/>
  <c r="Z32" i="3" s="1"/>
  <c r="Y27" i="3"/>
  <c r="Z27" i="3" s="1"/>
  <c r="Y31" i="3"/>
  <c r="Z31" i="3" s="1"/>
  <c r="Y29" i="3"/>
  <c r="Z29" i="3" s="1"/>
  <c r="Y19" i="3"/>
  <c r="Z19" i="3" s="1"/>
  <c r="Y18" i="3"/>
  <c r="Z18" i="3" s="1"/>
  <c r="Y17" i="3"/>
  <c r="Z17" i="3" s="1"/>
  <c r="Y21" i="3"/>
  <c r="Z21" i="3" s="1"/>
  <c r="Y16" i="3"/>
  <c r="Z16" i="3" s="1"/>
  <c r="Y20" i="3"/>
  <c r="Z20" i="3" s="1"/>
  <c r="X8" i="3"/>
  <c r="X7" i="3"/>
  <c r="X9" i="3"/>
  <c r="X5" i="3"/>
  <c r="J108" i="3"/>
  <c r="J107" i="3"/>
  <c r="J104" i="3"/>
  <c r="J106" i="3"/>
  <c r="J86" i="3"/>
  <c r="H137" i="3"/>
  <c r="H145" i="3" s="1"/>
  <c r="I88" i="3"/>
  <c r="K88" i="3" s="1"/>
  <c r="L88" i="3" s="1"/>
  <c r="D137" i="3"/>
  <c r="D145" i="3" s="1"/>
  <c r="J74" i="3"/>
  <c r="J76" i="3"/>
  <c r="K65" i="3"/>
  <c r="L65" i="3" s="1"/>
  <c r="K61" i="3"/>
  <c r="L61" i="3" s="1"/>
  <c r="J64" i="3"/>
  <c r="J49" i="3"/>
  <c r="J53" i="3"/>
  <c r="I55" i="3"/>
  <c r="K55" i="3" s="1"/>
  <c r="L55" i="3" s="1"/>
  <c r="J52" i="3"/>
  <c r="J39" i="3"/>
  <c r="J43" i="3"/>
  <c r="J38" i="3"/>
  <c r="J42" i="3"/>
  <c r="J30" i="3"/>
  <c r="G125" i="3"/>
  <c r="G144" i="3" s="1"/>
  <c r="K6" i="3"/>
  <c r="L6" i="3" s="1"/>
  <c r="J5" i="3"/>
  <c r="J9" i="3"/>
  <c r="T4" i="3"/>
  <c r="T103" i="3" s="1"/>
  <c r="H125" i="3"/>
  <c r="K95" i="3"/>
  <c r="L95" i="3" s="1"/>
  <c r="J95" i="3"/>
  <c r="Q120" i="3"/>
  <c r="Q125" i="3" s="1"/>
  <c r="Q144" i="3" s="1"/>
  <c r="Q13" i="3"/>
  <c r="W122" i="3"/>
  <c r="AB122" i="3"/>
  <c r="G78" i="14" s="1"/>
  <c r="Y65" i="3"/>
  <c r="Z65" i="3" s="1"/>
  <c r="X65" i="3"/>
  <c r="Q132" i="3"/>
  <c r="Q68" i="3"/>
  <c r="F133" i="3"/>
  <c r="I77" i="3"/>
  <c r="K87" i="3"/>
  <c r="L87" i="3" s="1"/>
  <c r="J87" i="3"/>
  <c r="R125" i="3"/>
  <c r="R144" i="3" s="1"/>
  <c r="I122" i="3"/>
  <c r="N122" i="3"/>
  <c r="G78" i="13" s="1"/>
  <c r="Y61" i="3"/>
  <c r="Z61" i="3" s="1"/>
  <c r="X61" i="3"/>
  <c r="Y75" i="3"/>
  <c r="Z75" i="3" s="1"/>
  <c r="X75" i="3"/>
  <c r="T120" i="3"/>
  <c r="W11" i="3"/>
  <c r="N123" i="3"/>
  <c r="G59" i="13" s="1"/>
  <c r="I123" i="3"/>
  <c r="L123" i="3" s="1"/>
  <c r="M123" i="3" s="1"/>
  <c r="Y71" i="3"/>
  <c r="Z71" i="3" s="1"/>
  <c r="X71" i="3"/>
  <c r="I33" i="3"/>
  <c r="N121" i="3"/>
  <c r="P78" i="13" s="1"/>
  <c r="N124" i="3"/>
  <c r="P59" i="13" s="1"/>
  <c r="I124" i="3"/>
  <c r="L124" i="3" s="1"/>
  <c r="M124" i="3" s="1"/>
  <c r="K63" i="3"/>
  <c r="L63" i="3" s="1"/>
  <c r="J63" i="3"/>
  <c r="V137" i="3"/>
  <c r="C79" i="3"/>
  <c r="C133" i="3"/>
  <c r="I44" i="3"/>
  <c r="K73" i="3"/>
  <c r="L73" i="3" s="1"/>
  <c r="J73" i="3"/>
  <c r="K83" i="3"/>
  <c r="L83" i="3" s="1"/>
  <c r="J83" i="3"/>
  <c r="N120" i="3"/>
  <c r="P40" i="13" s="1"/>
  <c r="I120" i="3"/>
  <c r="L120" i="3" s="1"/>
  <c r="M120" i="3" s="1"/>
  <c r="I99" i="3"/>
  <c r="F135" i="3"/>
  <c r="Q136" i="3"/>
  <c r="Q112" i="3"/>
  <c r="F134" i="3"/>
  <c r="AA143" i="3"/>
  <c r="AA119" i="3"/>
  <c r="S125" i="3"/>
  <c r="S144" i="3" s="1"/>
  <c r="AB121" i="3"/>
  <c r="P78" i="14" s="1"/>
  <c r="W123" i="3"/>
  <c r="Z123" i="3" s="1"/>
  <c r="AA123" i="3" s="1"/>
  <c r="AB123" i="3"/>
  <c r="G59" i="14" s="1"/>
  <c r="W124" i="3"/>
  <c r="Z124" i="3" s="1"/>
  <c r="AA124" i="3" s="1"/>
  <c r="AB124" i="3"/>
  <c r="P59" i="14" s="1"/>
  <c r="Y60" i="3"/>
  <c r="Z60" i="3" s="1"/>
  <c r="Y64" i="3"/>
  <c r="Z64" i="3" s="1"/>
  <c r="X64" i="3"/>
  <c r="C68" i="3"/>
  <c r="C132" i="3"/>
  <c r="Y74" i="3"/>
  <c r="Z74" i="3" s="1"/>
  <c r="X74" i="3"/>
  <c r="Q79" i="3"/>
  <c r="J98" i="3"/>
  <c r="I11" i="3"/>
  <c r="U125" i="3"/>
  <c r="U144" i="3" s="1"/>
  <c r="Q24" i="3"/>
  <c r="Q35" i="3"/>
  <c r="Q46" i="3"/>
  <c r="Q57" i="3"/>
  <c r="Y63" i="3"/>
  <c r="Z63" i="3" s="1"/>
  <c r="X63" i="3"/>
  <c r="E137" i="3"/>
  <c r="E145" i="3" s="1"/>
  <c r="Y73" i="3"/>
  <c r="Z73" i="3" s="1"/>
  <c r="X73" i="3"/>
  <c r="W133" i="3"/>
  <c r="Z133" i="3" s="1"/>
  <c r="AA133" i="3" s="1"/>
  <c r="AB133" i="3"/>
  <c r="AA78" i="14" s="1"/>
  <c r="F81" i="3"/>
  <c r="F103" i="3"/>
  <c r="Y4" i="3"/>
  <c r="V125" i="3"/>
  <c r="W22" i="3"/>
  <c r="W33" i="3"/>
  <c r="W44" i="3"/>
  <c r="W55" i="3"/>
  <c r="I66" i="3"/>
  <c r="F132" i="3"/>
  <c r="J97" i="3"/>
  <c r="C125" i="3"/>
  <c r="C144" i="3" s="1"/>
  <c r="F15" i="3"/>
  <c r="F26" i="3"/>
  <c r="F37" i="3"/>
  <c r="F48" i="3"/>
  <c r="F59" i="3"/>
  <c r="Y62" i="3"/>
  <c r="Z62" i="3" s="1"/>
  <c r="X62" i="3"/>
  <c r="G137" i="3"/>
  <c r="G145" i="3" s="1"/>
  <c r="W132" i="3"/>
  <c r="AB132" i="3"/>
  <c r="AJ40" i="14" s="1"/>
  <c r="F70" i="3"/>
  <c r="Y72" i="3"/>
  <c r="Z72" i="3" s="1"/>
  <c r="X72" i="3"/>
  <c r="Y76" i="3"/>
  <c r="Z76" i="3" s="1"/>
  <c r="X76" i="3"/>
  <c r="C134" i="3"/>
  <c r="C90" i="3"/>
  <c r="Q90" i="3"/>
  <c r="Q134" i="3"/>
  <c r="F136" i="3"/>
  <c r="I110" i="3"/>
  <c r="W121" i="3"/>
  <c r="Z121" i="3" s="1"/>
  <c r="AA121" i="3" s="1"/>
  <c r="W134" i="3"/>
  <c r="D125" i="3"/>
  <c r="D144" i="3" s="1"/>
  <c r="F125" i="3"/>
  <c r="F144" i="3" s="1"/>
  <c r="AA131" i="3"/>
  <c r="AB135" i="3"/>
  <c r="AJ78" i="14" s="1"/>
  <c r="T136" i="3"/>
  <c r="Q135" i="3"/>
  <c r="J121" i="3" l="1"/>
  <c r="K121" i="3"/>
  <c r="X99" i="3"/>
  <c r="Y99" i="3"/>
  <c r="Z99" i="3" s="1"/>
  <c r="U146" i="3"/>
  <c r="I112" i="15"/>
  <c r="Y110" i="3"/>
  <c r="Z110" i="3" s="1"/>
  <c r="Y135" i="3"/>
  <c r="I89" i="3"/>
  <c r="K89" i="3" s="1"/>
  <c r="J88" i="3"/>
  <c r="K26" i="3"/>
  <c r="Y26" i="3" s="1"/>
  <c r="X78" i="3"/>
  <c r="Y77" i="3"/>
  <c r="Z77" i="3" s="1"/>
  <c r="X77" i="3"/>
  <c r="I56" i="3"/>
  <c r="K56" i="3" s="1"/>
  <c r="J55" i="3"/>
  <c r="E146" i="3"/>
  <c r="T15" i="3"/>
  <c r="T92" i="3" s="1"/>
  <c r="I104" i="15"/>
  <c r="I97" i="15"/>
  <c r="I111" i="15"/>
  <c r="E96" i="15"/>
  <c r="E103" i="15"/>
  <c r="E110" i="15"/>
  <c r="X110" i="3"/>
  <c r="X111" i="3"/>
  <c r="K22" i="3"/>
  <c r="L22" i="3" s="1"/>
  <c r="I23" i="3"/>
  <c r="K23" i="3" s="1"/>
  <c r="R146" i="3"/>
  <c r="X88" i="3"/>
  <c r="W89" i="3"/>
  <c r="S146" i="3"/>
  <c r="X66" i="3"/>
  <c r="W67" i="3"/>
  <c r="X67" i="3" s="1"/>
  <c r="D146" i="3"/>
  <c r="G146" i="3"/>
  <c r="T37" i="3"/>
  <c r="T48" i="3"/>
  <c r="T26" i="3"/>
  <c r="T118" i="3" s="1"/>
  <c r="T59" i="3"/>
  <c r="T70" i="3"/>
  <c r="T81" i="3"/>
  <c r="W12" i="3"/>
  <c r="X11" i="3"/>
  <c r="Y11" i="3"/>
  <c r="Z11" i="3" s="1"/>
  <c r="W120" i="3"/>
  <c r="AB120" i="3"/>
  <c r="P40" i="14" s="1"/>
  <c r="T125" i="3"/>
  <c r="T144" i="3" s="1"/>
  <c r="J122" i="3"/>
  <c r="K122" i="3"/>
  <c r="L122" i="3"/>
  <c r="M122" i="3" s="1"/>
  <c r="Y122" i="3"/>
  <c r="X122" i="3"/>
  <c r="F137" i="3"/>
  <c r="F145" i="3" s="1"/>
  <c r="I145" i="3" s="1"/>
  <c r="L145" i="3" s="1"/>
  <c r="M145" i="3" s="1"/>
  <c r="N132" i="3"/>
  <c r="AJ40" i="13" s="1"/>
  <c r="I132" i="3"/>
  <c r="Y133" i="3"/>
  <c r="X133" i="3"/>
  <c r="K124" i="3"/>
  <c r="J124" i="3"/>
  <c r="AA135" i="3"/>
  <c r="Q137" i="3"/>
  <c r="Q145" i="3" s="1"/>
  <c r="Q146" i="3" s="1"/>
  <c r="N133" i="3"/>
  <c r="AA78" i="13" s="1"/>
  <c r="I133" i="3"/>
  <c r="Y134" i="3"/>
  <c r="X134" i="3"/>
  <c r="I134" i="3"/>
  <c r="N134" i="3"/>
  <c r="AA59" i="13" s="1"/>
  <c r="J99" i="3"/>
  <c r="I100" i="3"/>
  <c r="K99" i="3"/>
  <c r="L99" i="3" s="1"/>
  <c r="V144" i="3"/>
  <c r="K33" i="3"/>
  <c r="L33" i="3" s="1"/>
  <c r="J33" i="3"/>
  <c r="I34" i="3"/>
  <c r="Z122" i="3"/>
  <c r="AA122" i="3" s="1"/>
  <c r="K110" i="3"/>
  <c r="L110" i="3" s="1"/>
  <c r="J110" i="3"/>
  <c r="I111" i="3"/>
  <c r="X135" i="3"/>
  <c r="W45" i="3"/>
  <c r="Y44" i="3"/>
  <c r="Z44" i="3" s="1"/>
  <c r="X44" i="3"/>
  <c r="C137" i="3"/>
  <c r="C145" i="3" s="1"/>
  <c r="Y123" i="3"/>
  <c r="X123" i="3"/>
  <c r="K120" i="3"/>
  <c r="I125" i="3"/>
  <c r="J120" i="3"/>
  <c r="K44" i="3"/>
  <c r="L44" i="3" s="1"/>
  <c r="J44" i="3"/>
  <c r="I45" i="3"/>
  <c r="W136" i="3"/>
  <c r="AB136" i="3"/>
  <c r="AJ59" i="14" s="1"/>
  <c r="T137" i="3"/>
  <c r="T145" i="3" s="1"/>
  <c r="W145" i="3" s="1"/>
  <c r="Y132" i="3"/>
  <c r="X132" i="3"/>
  <c r="C146" i="3"/>
  <c r="N136" i="3"/>
  <c r="AJ59" i="13" s="1"/>
  <c r="I136" i="3"/>
  <c r="W34" i="3"/>
  <c r="Y33" i="3"/>
  <c r="Z33" i="3" s="1"/>
  <c r="X33" i="3"/>
  <c r="Y100" i="3"/>
  <c r="X100" i="3"/>
  <c r="Z132" i="3"/>
  <c r="AA132" i="3" s="1"/>
  <c r="K123" i="3"/>
  <c r="J123" i="3"/>
  <c r="F118" i="3"/>
  <c r="F130" i="3"/>
  <c r="F142" i="3" s="1"/>
  <c r="I67" i="3"/>
  <c r="K66" i="3"/>
  <c r="L66" i="3" s="1"/>
  <c r="J66" i="3"/>
  <c r="Y124" i="3"/>
  <c r="X124" i="3"/>
  <c r="H144" i="3"/>
  <c r="Y121" i="3"/>
  <c r="X121" i="3"/>
  <c r="W56" i="3"/>
  <c r="Y55" i="3"/>
  <c r="Z55" i="3" s="1"/>
  <c r="X55" i="3"/>
  <c r="I144" i="3"/>
  <c r="Z134" i="3"/>
  <c r="AA134" i="3" s="1"/>
  <c r="W23" i="3"/>
  <c r="Y22" i="3"/>
  <c r="Z22" i="3" s="1"/>
  <c r="X22" i="3"/>
  <c r="K11" i="3"/>
  <c r="L11" i="3" s="1"/>
  <c r="J11" i="3"/>
  <c r="I12" i="3"/>
  <c r="I135" i="3"/>
  <c r="N135" i="3"/>
  <c r="AJ78" i="13" s="1"/>
  <c r="V145" i="3"/>
  <c r="I78" i="3"/>
  <c r="K77" i="3"/>
  <c r="L77" i="3" s="1"/>
  <c r="J77" i="3"/>
  <c r="J89" i="3" l="1"/>
  <c r="J56" i="3"/>
  <c r="J23" i="3"/>
  <c r="K37" i="3"/>
  <c r="K48" i="3" s="1"/>
  <c r="T130" i="3"/>
  <c r="T142" i="3" s="1"/>
  <c r="Y67" i="3"/>
  <c r="Z145" i="3"/>
  <c r="AA145" i="3" s="1"/>
  <c r="Y89" i="3"/>
  <c r="X89" i="3"/>
  <c r="F146" i="3"/>
  <c r="K125" i="3"/>
  <c r="J125" i="3"/>
  <c r="K132" i="3"/>
  <c r="J132" i="3"/>
  <c r="I137" i="3"/>
  <c r="L132" i="3"/>
  <c r="M132" i="3" s="1"/>
  <c r="W144" i="3"/>
  <c r="Z144" i="3" s="1"/>
  <c r="AA144" i="3" s="1"/>
  <c r="T146" i="3"/>
  <c r="K111" i="3"/>
  <c r="J111" i="3"/>
  <c r="Y136" i="3"/>
  <c r="X136" i="3"/>
  <c r="Z136" i="3"/>
  <c r="AA136" i="3" s="1"/>
  <c r="Y45" i="3"/>
  <c r="X45" i="3"/>
  <c r="W137" i="3"/>
  <c r="W125" i="3"/>
  <c r="Y120" i="3"/>
  <c r="X120" i="3"/>
  <c r="Z120" i="3"/>
  <c r="AA120" i="3" s="1"/>
  <c r="J67" i="3"/>
  <c r="K67" i="3"/>
  <c r="K134" i="3"/>
  <c r="J134" i="3"/>
  <c r="L134" i="3"/>
  <c r="M134" i="3" s="1"/>
  <c r="Y23" i="3"/>
  <c r="X23" i="3"/>
  <c r="K45" i="3"/>
  <c r="J45" i="3"/>
  <c r="Y56" i="3"/>
  <c r="X56" i="3"/>
  <c r="V146" i="3"/>
  <c r="H146" i="3"/>
  <c r="L144" i="3"/>
  <c r="M144" i="3" s="1"/>
  <c r="X145" i="3"/>
  <c r="K34" i="3"/>
  <c r="J34" i="3"/>
  <c r="K100" i="3"/>
  <c r="J100" i="3"/>
  <c r="K12" i="3"/>
  <c r="J12" i="3"/>
  <c r="K136" i="3"/>
  <c r="J136" i="3"/>
  <c r="L136" i="3"/>
  <c r="M136" i="3" s="1"/>
  <c r="K145" i="3"/>
  <c r="J145" i="3"/>
  <c r="J78" i="3"/>
  <c r="K78" i="3"/>
  <c r="J135" i="3"/>
  <c r="K135" i="3"/>
  <c r="L135" i="3"/>
  <c r="M135" i="3" s="1"/>
  <c r="K144" i="3"/>
  <c r="J144" i="3"/>
  <c r="I146" i="3"/>
  <c r="L125" i="3"/>
  <c r="M125" i="3" s="1"/>
  <c r="Y34" i="3"/>
  <c r="X34" i="3"/>
  <c r="K133" i="3"/>
  <c r="J133" i="3"/>
  <c r="L133" i="3"/>
  <c r="M133" i="3" s="1"/>
  <c r="Y12" i="3"/>
  <c r="X12" i="3"/>
  <c r="Y37" i="3" l="1"/>
  <c r="L146" i="3"/>
  <c r="M146" i="3" s="1"/>
  <c r="K137" i="3"/>
  <c r="J137" i="3"/>
  <c r="L137" i="3"/>
  <c r="M137" i="3" s="1"/>
  <c r="Y48" i="3"/>
  <c r="K59" i="3"/>
  <c r="X125" i="3"/>
  <c r="Y125" i="3"/>
  <c r="Y144" i="3" s="1"/>
  <c r="Z125" i="3"/>
  <c r="AA125" i="3" s="1"/>
  <c r="K146" i="3"/>
  <c r="J146" i="3"/>
  <c r="Y137" i="3"/>
  <c r="Y145" i="3" s="1"/>
  <c r="X137" i="3"/>
  <c r="Z137" i="3"/>
  <c r="AA137" i="3" s="1"/>
  <c r="W146" i="3"/>
  <c r="Z146" i="3" s="1"/>
  <c r="AA146" i="3" s="1"/>
  <c r="X144" i="3"/>
  <c r="Y146" i="3" l="1"/>
  <c r="X146" i="3"/>
  <c r="Y59" i="3"/>
  <c r="K70" i="3"/>
  <c r="K81" i="3" l="1"/>
  <c r="Y70" i="3"/>
  <c r="K92" i="3" l="1"/>
  <c r="Y81" i="3"/>
  <c r="Y92" i="3" l="1"/>
  <c r="K103" i="3"/>
  <c r="Y103" i="3" l="1"/>
  <c r="M119" i="3"/>
  <c r="M131" i="3" s="1"/>
  <c r="M143" i="3" s="1"/>
  <c r="G68" i="15"/>
  <c r="Z50" i="13" l="1"/>
  <c r="Y50" i="13"/>
  <c r="X50" i="13"/>
  <c r="Z49" i="13"/>
  <c r="Y49" i="13"/>
  <c r="X49" i="13"/>
  <c r="Z48" i="13"/>
  <c r="Y48" i="13"/>
  <c r="X48" i="13"/>
  <c r="Z47" i="13"/>
  <c r="F15" i="13" s="1"/>
  <c r="Y47" i="13"/>
  <c r="X47" i="13"/>
  <c r="Z46" i="13"/>
  <c r="Y46" i="13"/>
  <c r="X46" i="13"/>
  <c r="Z45" i="13"/>
  <c r="F13" i="13" s="1"/>
  <c r="Y45" i="13"/>
  <c r="X45" i="13"/>
  <c r="Z43" i="13"/>
  <c r="Y43" i="13"/>
  <c r="X43" i="13"/>
  <c r="Z42" i="13"/>
  <c r="Y42" i="13"/>
  <c r="X42" i="13"/>
  <c r="Z41" i="13"/>
  <c r="Y41" i="13"/>
  <c r="X41" i="13"/>
  <c r="Z40" i="13"/>
  <c r="F8" i="13" s="1"/>
  <c r="Y40" i="13"/>
  <c r="X40" i="13"/>
  <c r="Z39" i="13"/>
  <c r="Y39" i="13"/>
  <c r="X39" i="13"/>
  <c r="X38" i="13"/>
  <c r="Y38" i="13"/>
  <c r="Z38" i="13"/>
  <c r="F38" i="13"/>
  <c r="F6" i="13" s="1"/>
  <c r="W97" i="14"/>
  <c r="Z50" i="14"/>
  <c r="Z49" i="14"/>
  <c r="Z48" i="14"/>
  <c r="F15" i="14" s="1"/>
  <c r="Z47" i="14"/>
  <c r="Z46" i="14"/>
  <c r="Z45" i="14"/>
  <c r="Z43" i="14"/>
  <c r="Z42" i="14"/>
  <c r="F9" i="14" s="1"/>
  <c r="Z41" i="14"/>
  <c r="Z40" i="14"/>
  <c r="Z39" i="14"/>
  <c r="Z38" i="14"/>
  <c r="F5" i="14" s="1"/>
  <c r="Y50" i="14"/>
  <c r="Y49" i="14"/>
  <c r="Y48" i="14"/>
  <c r="Y47" i="14"/>
  <c r="Y46" i="14"/>
  <c r="Y45" i="14"/>
  <c r="E12" i="14" s="1"/>
  <c r="Y43" i="14"/>
  <c r="Y42" i="14"/>
  <c r="Y41" i="14"/>
  <c r="Y40" i="14"/>
  <c r="Y39" i="14"/>
  <c r="Y38" i="14"/>
  <c r="E5" i="14" s="1"/>
  <c r="X50" i="14"/>
  <c r="X49" i="14"/>
  <c r="X48" i="14"/>
  <c r="X47" i="14"/>
  <c r="X46" i="14"/>
  <c r="X45" i="14"/>
  <c r="D12" i="14" s="1"/>
  <c r="X43" i="14"/>
  <c r="X42" i="14"/>
  <c r="D9" i="14" s="1"/>
  <c r="X41" i="14"/>
  <c r="X40" i="14"/>
  <c r="X39" i="14"/>
  <c r="X38" i="14"/>
  <c r="F50" i="14"/>
  <c r="F49" i="14"/>
  <c r="F48" i="14"/>
  <c r="F47" i="14"/>
  <c r="F46" i="14"/>
  <c r="F45" i="14"/>
  <c r="F43" i="14"/>
  <c r="F10" i="14" s="1"/>
  <c r="F42" i="14"/>
  <c r="F41" i="14"/>
  <c r="F40" i="14"/>
  <c r="F39" i="14"/>
  <c r="F38" i="14"/>
  <c r="E50" i="14"/>
  <c r="E17" i="14" s="1"/>
  <c r="E49" i="14"/>
  <c r="E48" i="14"/>
  <c r="E47" i="14"/>
  <c r="E46" i="14"/>
  <c r="E45" i="14"/>
  <c r="E43" i="14"/>
  <c r="E42" i="14"/>
  <c r="E41" i="14"/>
  <c r="E40" i="14"/>
  <c r="E39" i="14"/>
  <c r="E38" i="14"/>
  <c r="D50" i="14"/>
  <c r="D49" i="14"/>
  <c r="D48" i="14"/>
  <c r="D15" i="14" s="1"/>
  <c r="D47" i="14"/>
  <c r="D46" i="14"/>
  <c r="D45" i="14"/>
  <c r="D43" i="14"/>
  <c r="D42" i="14"/>
  <c r="D41" i="14"/>
  <c r="D8" i="14" s="1"/>
  <c r="D40" i="14"/>
  <c r="D39" i="14"/>
  <c r="D38" i="14"/>
  <c r="E13" i="14"/>
  <c r="E14" i="14"/>
  <c r="E15" i="14"/>
  <c r="E16" i="14"/>
  <c r="D13" i="14"/>
  <c r="D14" i="14"/>
  <c r="D16" i="14"/>
  <c r="D17" i="14"/>
  <c r="D7" i="14"/>
  <c r="D6" i="13"/>
  <c r="F68" i="17"/>
  <c r="E68" i="17"/>
  <c r="D68" i="17"/>
  <c r="C68" i="17"/>
  <c r="F66" i="17"/>
  <c r="E66" i="17"/>
  <c r="D66" i="17"/>
  <c r="C66" i="17"/>
  <c r="I65" i="17"/>
  <c r="H65" i="17"/>
  <c r="G65" i="17"/>
  <c r="I64" i="17"/>
  <c r="H64" i="17"/>
  <c r="G64" i="17"/>
  <c r="I63" i="17"/>
  <c r="H63" i="17"/>
  <c r="G63" i="17"/>
  <c r="I62" i="17"/>
  <c r="H62" i="17"/>
  <c r="G62" i="17"/>
  <c r="I61" i="17"/>
  <c r="H61" i="17"/>
  <c r="G61" i="17"/>
  <c r="I60" i="17"/>
  <c r="H60" i="17"/>
  <c r="G60" i="17"/>
  <c r="F59" i="17"/>
  <c r="E59" i="17"/>
  <c r="D59" i="17"/>
  <c r="C59" i="17"/>
  <c r="I58" i="17"/>
  <c r="H58" i="17"/>
  <c r="G58" i="17"/>
  <c r="I57" i="17"/>
  <c r="H57" i="17"/>
  <c r="G57" i="17"/>
  <c r="I56" i="17"/>
  <c r="H56" i="17"/>
  <c r="G56" i="17"/>
  <c r="I55" i="17"/>
  <c r="H55" i="17"/>
  <c r="G55" i="17"/>
  <c r="I54" i="17"/>
  <c r="H54" i="17"/>
  <c r="G54" i="17"/>
  <c r="I53" i="17"/>
  <c r="H53" i="17"/>
  <c r="G53" i="17"/>
  <c r="G18" i="13"/>
  <c r="G17" i="13"/>
  <c r="G16" i="13"/>
  <c r="G50" i="13"/>
  <c r="G49" i="13"/>
  <c r="G48" i="13"/>
  <c r="F17" i="13"/>
  <c r="F50" i="13"/>
  <c r="F49" i="13"/>
  <c r="F48" i="13"/>
  <c r="F47" i="13"/>
  <c r="F46" i="13"/>
  <c r="F45" i="13"/>
  <c r="F43" i="13"/>
  <c r="F42" i="13"/>
  <c r="F10" i="13" s="1"/>
  <c r="F41" i="13"/>
  <c r="F40" i="13"/>
  <c r="F39" i="13"/>
  <c r="F18" i="13"/>
  <c r="F16" i="13"/>
  <c r="F14" i="13"/>
  <c r="F11" i="13"/>
  <c r="F9" i="13"/>
  <c r="F7" i="13"/>
  <c r="E8" i="14"/>
  <c r="E6" i="14"/>
  <c r="E10" i="14"/>
  <c r="F17" i="14"/>
  <c r="F16" i="14"/>
  <c r="F14" i="14"/>
  <c r="F13" i="14"/>
  <c r="F12" i="14"/>
  <c r="F8" i="14"/>
  <c r="F7" i="14"/>
  <c r="F6" i="14"/>
  <c r="F70" i="15"/>
  <c r="E70" i="15"/>
  <c r="G64" i="18" s="1"/>
  <c r="D70" i="15"/>
  <c r="C70" i="15"/>
  <c r="G69" i="15"/>
  <c r="F63" i="15"/>
  <c r="E63" i="15"/>
  <c r="P41" i="18" s="1"/>
  <c r="D63" i="15"/>
  <c r="C63" i="15"/>
  <c r="G61" i="15"/>
  <c r="C58" i="15"/>
  <c r="F56" i="15"/>
  <c r="E56" i="15"/>
  <c r="G41" i="18" s="1"/>
  <c r="D56" i="15"/>
  <c r="C56" i="15"/>
  <c r="G55" i="15"/>
  <c r="G54" i="15"/>
  <c r="G53" i="15"/>
  <c r="G52" i="15"/>
  <c r="G51" i="15"/>
  <c r="G50" i="15"/>
  <c r="G49" i="15"/>
  <c r="G48" i="15"/>
  <c r="G47" i="15"/>
  <c r="G46" i="15"/>
  <c r="H43" i="15"/>
  <c r="H58" i="15" s="1"/>
  <c r="H65" i="15" s="1"/>
  <c r="M143" i="2"/>
  <c r="Y142" i="2"/>
  <c r="P136" i="2"/>
  <c r="B136" i="2"/>
  <c r="P135" i="2"/>
  <c r="B135" i="2"/>
  <c r="P134" i="2"/>
  <c r="B134" i="2"/>
  <c r="P133" i="2"/>
  <c r="B133" i="2"/>
  <c r="P132" i="2"/>
  <c r="B132" i="2"/>
  <c r="M131" i="2"/>
  <c r="U130" i="2"/>
  <c r="P124" i="2"/>
  <c r="B124" i="2"/>
  <c r="P123" i="2"/>
  <c r="B123" i="2"/>
  <c r="P122" i="2"/>
  <c r="B122" i="2"/>
  <c r="P121" i="2"/>
  <c r="B121" i="2"/>
  <c r="P120" i="2"/>
  <c r="B120" i="2"/>
  <c r="M119" i="2"/>
  <c r="U118" i="2"/>
  <c r="P111" i="2"/>
  <c r="B111" i="2"/>
  <c r="V110" i="2"/>
  <c r="V136" i="2" s="1"/>
  <c r="U110" i="2"/>
  <c r="U136" i="2" s="1"/>
  <c r="T110" i="2"/>
  <c r="S110" i="2"/>
  <c r="S136" i="2" s="1"/>
  <c r="R110" i="2"/>
  <c r="R136" i="2" s="1"/>
  <c r="Q110" i="2"/>
  <c r="H110" i="2"/>
  <c r="H136" i="2" s="1"/>
  <c r="G110" i="2"/>
  <c r="G136" i="2" s="1"/>
  <c r="F110" i="2"/>
  <c r="E110" i="2"/>
  <c r="E136" i="2" s="1"/>
  <c r="D110" i="2"/>
  <c r="D136" i="2" s="1"/>
  <c r="C110" i="2"/>
  <c r="X109" i="2"/>
  <c r="W109" i="2"/>
  <c r="Y109" i="2" s="1"/>
  <c r="Z109" i="2" s="1"/>
  <c r="I109" i="2"/>
  <c r="X108" i="2"/>
  <c r="W108" i="2"/>
  <c r="Y108" i="2" s="1"/>
  <c r="Z108" i="2" s="1"/>
  <c r="I108" i="2"/>
  <c r="X107" i="2"/>
  <c r="W107" i="2"/>
  <c r="Y107" i="2" s="1"/>
  <c r="Z107" i="2" s="1"/>
  <c r="I107" i="2"/>
  <c r="X106" i="2"/>
  <c r="W106" i="2"/>
  <c r="I106" i="2"/>
  <c r="X105" i="2"/>
  <c r="W105" i="2"/>
  <c r="Y105" i="2" s="1"/>
  <c r="Z105" i="2" s="1"/>
  <c r="I105" i="2"/>
  <c r="J105" i="2" s="1"/>
  <c r="X104" i="2"/>
  <c r="W104" i="2"/>
  <c r="Y104" i="2" s="1"/>
  <c r="Z104" i="2" s="1"/>
  <c r="I104" i="2"/>
  <c r="U103" i="2"/>
  <c r="G103" i="2"/>
  <c r="B100" i="2"/>
  <c r="V135" i="2"/>
  <c r="U135" i="2"/>
  <c r="S135" i="2"/>
  <c r="R135" i="2"/>
  <c r="H99" i="2"/>
  <c r="H135" i="2" s="1"/>
  <c r="G99" i="2"/>
  <c r="G135" i="2" s="1"/>
  <c r="F99" i="2"/>
  <c r="E99" i="2"/>
  <c r="E135" i="2" s="1"/>
  <c r="D99" i="2"/>
  <c r="D135" i="2" s="1"/>
  <c r="C99" i="2"/>
  <c r="Z98" i="2"/>
  <c r="I98" i="2"/>
  <c r="Z97" i="2"/>
  <c r="I97" i="2"/>
  <c r="Z96" i="2"/>
  <c r="I96" i="2"/>
  <c r="Z95" i="2"/>
  <c r="I95" i="2"/>
  <c r="Z94" i="2"/>
  <c r="I94" i="2"/>
  <c r="Z93" i="2"/>
  <c r="I93" i="2"/>
  <c r="G92" i="2"/>
  <c r="P89" i="2"/>
  <c r="B89" i="2"/>
  <c r="V88" i="2"/>
  <c r="V134" i="2" s="1"/>
  <c r="U88" i="2"/>
  <c r="U134" i="2" s="1"/>
  <c r="T88" i="2"/>
  <c r="S88" i="2"/>
  <c r="S134" i="2" s="1"/>
  <c r="R88" i="2"/>
  <c r="R134" i="2" s="1"/>
  <c r="Q88" i="2"/>
  <c r="H88" i="2"/>
  <c r="H134" i="2" s="1"/>
  <c r="G88" i="2"/>
  <c r="G134" i="2" s="1"/>
  <c r="F88" i="2"/>
  <c r="E88" i="2"/>
  <c r="E134" i="2" s="1"/>
  <c r="D88" i="2"/>
  <c r="D134" i="2" s="1"/>
  <c r="C88" i="2"/>
  <c r="X87" i="2"/>
  <c r="W87" i="2"/>
  <c r="Y87" i="2" s="1"/>
  <c r="Z87" i="2" s="1"/>
  <c r="I87" i="2"/>
  <c r="X86" i="2"/>
  <c r="W86" i="2"/>
  <c r="Y86" i="2" s="1"/>
  <c r="Z86" i="2" s="1"/>
  <c r="I86" i="2"/>
  <c r="X85" i="2"/>
  <c r="W85" i="2"/>
  <c r="Y85" i="2" s="1"/>
  <c r="Z85" i="2" s="1"/>
  <c r="I85" i="2"/>
  <c r="X84" i="2"/>
  <c r="W84" i="2"/>
  <c r="Y84" i="2" s="1"/>
  <c r="Z84" i="2" s="1"/>
  <c r="I84" i="2"/>
  <c r="X83" i="2"/>
  <c r="W83" i="2"/>
  <c r="Y83" i="2" s="1"/>
  <c r="Z83" i="2" s="1"/>
  <c r="I83" i="2"/>
  <c r="X82" i="2"/>
  <c r="W82" i="2"/>
  <c r="Y82" i="2" s="1"/>
  <c r="Z82" i="2" s="1"/>
  <c r="I82" i="2"/>
  <c r="U81" i="2"/>
  <c r="G81" i="2"/>
  <c r="P78" i="2"/>
  <c r="B78" i="2"/>
  <c r="V77" i="2"/>
  <c r="V133" i="2" s="1"/>
  <c r="U77" i="2"/>
  <c r="U133" i="2" s="1"/>
  <c r="T77" i="2"/>
  <c r="S77" i="2"/>
  <c r="S133" i="2" s="1"/>
  <c r="R77" i="2"/>
  <c r="R133" i="2" s="1"/>
  <c r="Q77" i="2"/>
  <c r="H77" i="2"/>
  <c r="H133" i="2" s="1"/>
  <c r="G77" i="2"/>
  <c r="G133" i="2" s="1"/>
  <c r="F77" i="2"/>
  <c r="E77" i="2"/>
  <c r="E133" i="2" s="1"/>
  <c r="D77" i="2"/>
  <c r="D133" i="2" s="1"/>
  <c r="C77" i="2"/>
  <c r="W76" i="2"/>
  <c r="I76" i="2"/>
  <c r="W75" i="2"/>
  <c r="I75" i="2"/>
  <c r="W74" i="2"/>
  <c r="I74" i="2"/>
  <c r="W73" i="2"/>
  <c r="I73" i="2"/>
  <c r="W72" i="2"/>
  <c r="I72" i="2"/>
  <c r="W71" i="2"/>
  <c r="I71" i="2"/>
  <c r="U70" i="2"/>
  <c r="G70" i="2"/>
  <c r="P67" i="2"/>
  <c r="B67" i="2"/>
  <c r="V66" i="2"/>
  <c r="V132" i="2" s="1"/>
  <c r="U66" i="2"/>
  <c r="U132" i="2" s="1"/>
  <c r="T66" i="2"/>
  <c r="S66" i="2"/>
  <c r="S132" i="2" s="1"/>
  <c r="R66" i="2"/>
  <c r="R132" i="2" s="1"/>
  <c r="Q66" i="2"/>
  <c r="H66" i="2"/>
  <c r="H132" i="2" s="1"/>
  <c r="G66" i="2"/>
  <c r="G132" i="2" s="1"/>
  <c r="F66" i="2"/>
  <c r="E66" i="2"/>
  <c r="E132" i="2" s="1"/>
  <c r="D66" i="2"/>
  <c r="D132" i="2" s="1"/>
  <c r="C66" i="2"/>
  <c r="W65" i="2"/>
  <c r="I65" i="2"/>
  <c r="W64" i="2"/>
  <c r="I64" i="2"/>
  <c r="W63" i="2"/>
  <c r="I63" i="2"/>
  <c r="W62" i="2"/>
  <c r="I62" i="2"/>
  <c r="W61" i="2"/>
  <c r="I61" i="2"/>
  <c r="W60" i="2"/>
  <c r="I60" i="2"/>
  <c r="U59" i="2"/>
  <c r="G59" i="2"/>
  <c r="P56" i="2"/>
  <c r="B56" i="2"/>
  <c r="V55" i="2"/>
  <c r="V124" i="2" s="1"/>
  <c r="U55" i="2"/>
  <c r="U124" i="2" s="1"/>
  <c r="T55" i="2"/>
  <c r="S55" i="2"/>
  <c r="S124" i="2" s="1"/>
  <c r="R55" i="2"/>
  <c r="R124" i="2" s="1"/>
  <c r="Q55" i="2"/>
  <c r="H55" i="2"/>
  <c r="H124" i="2" s="1"/>
  <c r="G55" i="2"/>
  <c r="G124" i="2" s="1"/>
  <c r="F55" i="2"/>
  <c r="E55" i="2"/>
  <c r="E124" i="2" s="1"/>
  <c r="D55" i="2"/>
  <c r="D124" i="2" s="1"/>
  <c r="C55" i="2"/>
  <c r="W54" i="2"/>
  <c r="I54" i="2"/>
  <c r="W53" i="2"/>
  <c r="I53" i="2"/>
  <c r="W52" i="2"/>
  <c r="I52" i="2"/>
  <c r="W51" i="2"/>
  <c r="I51" i="2"/>
  <c r="W50" i="2"/>
  <c r="I50" i="2"/>
  <c r="W49" i="2"/>
  <c r="I49" i="2"/>
  <c r="U48" i="2"/>
  <c r="G48" i="2"/>
  <c r="G130" i="2" s="1"/>
  <c r="P45" i="2"/>
  <c r="B45" i="2"/>
  <c r="V44" i="2"/>
  <c r="V123" i="2" s="1"/>
  <c r="U44" i="2"/>
  <c r="U123" i="2" s="1"/>
  <c r="T44" i="2"/>
  <c r="S44" i="2"/>
  <c r="S123" i="2" s="1"/>
  <c r="R44" i="2"/>
  <c r="R123" i="2" s="1"/>
  <c r="Q44" i="2"/>
  <c r="H44" i="2"/>
  <c r="H123" i="2" s="1"/>
  <c r="G44" i="2"/>
  <c r="G123" i="2" s="1"/>
  <c r="F44" i="2"/>
  <c r="E44" i="2"/>
  <c r="E123" i="2" s="1"/>
  <c r="D44" i="2"/>
  <c r="D123" i="2" s="1"/>
  <c r="C44" i="2"/>
  <c r="W43" i="2"/>
  <c r="I43" i="2"/>
  <c r="W42" i="2"/>
  <c r="I42" i="2"/>
  <c r="W41" i="2"/>
  <c r="I41" i="2"/>
  <c r="W40" i="2"/>
  <c r="I40" i="2"/>
  <c r="W39" i="2"/>
  <c r="I39" i="2"/>
  <c r="W38" i="2"/>
  <c r="I38" i="2"/>
  <c r="U37" i="2"/>
  <c r="G37" i="2"/>
  <c r="P34" i="2"/>
  <c r="B34" i="2"/>
  <c r="V33" i="2"/>
  <c r="V122" i="2" s="1"/>
  <c r="U33" i="2"/>
  <c r="U122" i="2" s="1"/>
  <c r="T33" i="2"/>
  <c r="S33" i="2"/>
  <c r="S122" i="2" s="1"/>
  <c r="R33" i="2"/>
  <c r="R122" i="2" s="1"/>
  <c r="Q33" i="2"/>
  <c r="H33" i="2"/>
  <c r="H122" i="2" s="1"/>
  <c r="G33" i="2"/>
  <c r="G122" i="2" s="1"/>
  <c r="F33" i="2"/>
  <c r="E33" i="2"/>
  <c r="E122" i="2" s="1"/>
  <c r="D33" i="2"/>
  <c r="D122" i="2" s="1"/>
  <c r="C33" i="2"/>
  <c r="W32" i="2"/>
  <c r="I32" i="2"/>
  <c r="W31" i="2"/>
  <c r="I31" i="2"/>
  <c r="W30" i="2"/>
  <c r="I30" i="2"/>
  <c r="W29" i="2"/>
  <c r="I29" i="2"/>
  <c r="W28" i="2"/>
  <c r="I28" i="2"/>
  <c r="W27" i="2"/>
  <c r="I27" i="2"/>
  <c r="U26" i="2"/>
  <c r="G26" i="2"/>
  <c r="P23" i="2"/>
  <c r="B23" i="2"/>
  <c r="V22" i="2"/>
  <c r="V121" i="2" s="1"/>
  <c r="U22" i="2"/>
  <c r="U121" i="2" s="1"/>
  <c r="T22" i="2"/>
  <c r="S22" i="2"/>
  <c r="S121" i="2" s="1"/>
  <c r="R22" i="2"/>
  <c r="R121" i="2" s="1"/>
  <c r="Q22" i="2"/>
  <c r="H22" i="2"/>
  <c r="H121" i="2" s="1"/>
  <c r="G22" i="2"/>
  <c r="G121" i="2" s="1"/>
  <c r="F22" i="2"/>
  <c r="E22" i="2"/>
  <c r="E121" i="2" s="1"/>
  <c r="D22" i="2"/>
  <c r="D121" i="2" s="1"/>
  <c r="C22" i="2"/>
  <c r="W21" i="2"/>
  <c r="I21" i="2"/>
  <c r="W20" i="2"/>
  <c r="I20" i="2"/>
  <c r="W19" i="2"/>
  <c r="I19" i="2"/>
  <c r="W18" i="2"/>
  <c r="I18" i="2"/>
  <c r="W17" i="2"/>
  <c r="I17" i="2"/>
  <c r="W16" i="2"/>
  <c r="I16" i="2"/>
  <c r="U15" i="2"/>
  <c r="Q15" i="2"/>
  <c r="Q26" i="2" s="1"/>
  <c r="Q37" i="2" s="1"/>
  <c r="Q48" i="2" s="1"/>
  <c r="Q59" i="2" s="1"/>
  <c r="Q70" i="2" s="1"/>
  <c r="Q81" i="2" s="1"/>
  <c r="Q103" i="2" s="1"/>
  <c r="G15" i="2"/>
  <c r="C15" i="2"/>
  <c r="C26" i="2" s="1"/>
  <c r="C37" i="2" s="1"/>
  <c r="C48" i="2" s="1"/>
  <c r="C59" i="2" s="1"/>
  <c r="C70" i="2" s="1"/>
  <c r="C81" i="2" s="1"/>
  <c r="C92" i="2" s="1"/>
  <c r="C103" i="2" s="1"/>
  <c r="P12" i="2"/>
  <c r="V11" i="2"/>
  <c r="V120" i="2" s="1"/>
  <c r="U11" i="2"/>
  <c r="U120" i="2" s="1"/>
  <c r="T11" i="2"/>
  <c r="S11" i="2"/>
  <c r="S120" i="2" s="1"/>
  <c r="R11" i="2"/>
  <c r="R120" i="2" s="1"/>
  <c r="Q11" i="2"/>
  <c r="H11" i="2"/>
  <c r="H120" i="2" s="1"/>
  <c r="G11" i="2"/>
  <c r="G120" i="2" s="1"/>
  <c r="F11" i="2"/>
  <c r="E11" i="2"/>
  <c r="E120" i="2" s="1"/>
  <c r="D11" i="2"/>
  <c r="D120" i="2" s="1"/>
  <c r="C11" i="2"/>
  <c r="W10" i="2"/>
  <c r="I10" i="2"/>
  <c r="W9" i="2"/>
  <c r="I9" i="2"/>
  <c r="W8" i="2"/>
  <c r="I8" i="2"/>
  <c r="W7" i="2"/>
  <c r="I7" i="2"/>
  <c r="W6" i="2"/>
  <c r="I6" i="2"/>
  <c r="W5" i="2"/>
  <c r="I5" i="2"/>
  <c r="U4" i="2"/>
  <c r="K4" i="2"/>
  <c r="I45" i="15" s="1"/>
  <c r="F4" i="2"/>
  <c r="E44" i="15" s="1"/>
  <c r="E19" i="15"/>
  <c r="G40" i="18" s="1"/>
  <c r="E17" i="13"/>
  <c r="E10" i="13"/>
  <c r="E9" i="13"/>
  <c r="E50" i="13"/>
  <c r="E49" i="13"/>
  <c r="E48" i="13"/>
  <c r="E47" i="13"/>
  <c r="E46" i="13"/>
  <c r="E45" i="13"/>
  <c r="E43" i="13"/>
  <c r="E42" i="13"/>
  <c r="E41" i="13"/>
  <c r="E40" i="13"/>
  <c r="E39" i="13"/>
  <c r="E38" i="13"/>
  <c r="E18" i="13"/>
  <c r="E11" i="13"/>
  <c r="D50" i="13"/>
  <c r="D49" i="13"/>
  <c r="D48" i="13"/>
  <c r="D47" i="13"/>
  <c r="D46" i="13"/>
  <c r="D45" i="13"/>
  <c r="D39" i="13"/>
  <c r="D7" i="13" s="1"/>
  <c r="D40" i="13"/>
  <c r="D8" i="13" s="1"/>
  <c r="D41" i="13"/>
  <c r="D42" i="13"/>
  <c r="D43" i="13"/>
  <c r="D38" i="13"/>
  <c r="F33" i="15"/>
  <c r="E33" i="15"/>
  <c r="G63" i="18" s="1"/>
  <c r="D33" i="15"/>
  <c r="D26" i="15"/>
  <c r="G9" i="15"/>
  <c r="F19" i="15"/>
  <c r="F26" i="15"/>
  <c r="F38" i="15"/>
  <c r="D19" i="15"/>
  <c r="G37" i="1"/>
  <c r="I38" i="1"/>
  <c r="J38" i="1" s="1"/>
  <c r="I39" i="1"/>
  <c r="J39" i="1" s="1"/>
  <c r="I40" i="1"/>
  <c r="K40" i="1" s="1"/>
  <c r="I41" i="1"/>
  <c r="I42" i="1"/>
  <c r="J42" i="1" s="1"/>
  <c r="I43" i="1"/>
  <c r="J43" i="1" s="1"/>
  <c r="C44" i="1"/>
  <c r="D44" i="1"/>
  <c r="E44" i="1"/>
  <c r="F44" i="1"/>
  <c r="G44" i="1"/>
  <c r="H44" i="1"/>
  <c r="B45" i="1"/>
  <c r="C33" i="15"/>
  <c r="I8" i="1"/>
  <c r="G18" i="15"/>
  <c r="H6" i="15"/>
  <c r="H21" i="15" s="1"/>
  <c r="H28" i="15" s="1"/>
  <c r="M145" i="12"/>
  <c r="C139" i="12"/>
  <c r="B139" i="12"/>
  <c r="H138" i="12"/>
  <c r="H147" i="12" s="1"/>
  <c r="F138" i="12"/>
  <c r="F147" i="12" s="1"/>
  <c r="D138" i="12"/>
  <c r="D147" i="12" s="1"/>
  <c r="I137" i="12"/>
  <c r="K137" i="12" s="1"/>
  <c r="H137" i="12"/>
  <c r="L137" i="12" s="1"/>
  <c r="M137" i="12" s="1"/>
  <c r="G137" i="12"/>
  <c r="F137" i="12"/>
  <c r="E137" i="12"/>
  <c r="D137" i="12"/>
  <c r="C137" i="12"/>
  <c r="B137" i="12"/>
  <c r="I136" i="12"/>
  <c r="K136" i="12" s="1"/>
  <c r="H136" i="12"/>
  <c r="L136" i="12" s="1"/>
  <c r="M136" i="12" s="1"/>
  <c r="G136" i="12"/>
  <c r="F136" i="12"/>
  <c r="E136" i="12"/>
  <c r="D136" i="12"/>
  <c r="C136" i="12"/>
  <c r="B136" i="12"/>
  <c r="I135" i="12"/>
  <c r="K135" i="12" s="1"/>
  <c r="H135" i="12"/>
  <c r="L135" i="12" s="1"/>
  <c r="M135" i="12" s="1"/>
  <c r="G135" i="12"/>
  <c r="F135" i="12"/>
  <c r="E135" i="12"/>
  <c r="D135" i="12"/>
  <c r="C135" i="12"/>
  <c r="B135" i="12"/>
  <c r="I134" i="12"/>
  <c r="K134" i="12" s="1"/>
  <c r="H134" i="12"/>
  <c r="L134" i="12" s="1"/>
  <c r="M134" i="12" s="1"/>
  <c r="G134" i="12"/>
  <c r="F134" i="12"/>
  <c r="E134" i="12"/>
  <c r="D134" i="12"/>
  <c r="C134" i="12"/>
  <c r="B134" i="12"/>
  <c r="I133" i="12"/>
  <c r="I138" i="12" s="1"/>
  <c r="H133" i="12"/>
  <c r="L133" i="12" s="1"/>
  <c r="M133" i="12" s="1"/>
  <c r="G133" i="12"/>
  <c r="G138" i="12" s="1"/>
  <c r="G147" i="12" s="1"/>
  <c r="F133" i="12"/>
  <c r="E133" i="12"/>
  <c r="E138" i="12" s="1"/>
  <c r="E147" i="12" s="1"/>
  <c r="D133" i="12"/>
  <c r="C133" i="12"/>
  <c r="C138" i="12" s="1"/>
  <c r="C147" i="12" s="1"/>
  <c r="B133" i="12"/>
  <c r="M132" i="12"/>
  <c r="G131" i="12"/>
  <c r="C126" i="12"/>
  <c r="B126" i="12"/>
  <c r="G125" i="12"/>
  <c r="G146" i="12" s="1"/>
  <c r="G148" i="12" s="1"/>
  <c r="E125" i="12"/>
  <c r="E146" i="12" s="1"/>
  <c r="E148" i="12" s="1"/>
  <c r="C125" i="12"/>
  <c r="C146" i="12" s="1"/>
  <c r="H124" i="12"/>
  <c r="G124" i="12"/>
  <c r="F124" i="12"/>
  <c r="I124" i="12" s="1"/>
  <c r="E124" i="12"/>
  <c r="D124" i="12"/>
  <c r="C124" i="12"/>
  <c r="B124" i="12"/>
  <c r="H123" i="12"/>
  <c r="G123" i="12"/>
  <c r="F123" i="12"/>
  <c r="I123" i="12" s="1"/>
  <c r="E123" i="12"/>
  <c r="D123" i="12"/>
  <c r="C123" i="12"/>
  <c r="B123" i="12"/>
  <c r="H122" i="12"/>
  <c r="L122" i="12" s="1"/>
  <c r="M122" i="12" s="1"/>
  <c r="G122" i="12"/>
  <c r="F122" i="12"/>
  <c r="I122" i="12" s="1"/>
  <c r="E122" i="12"/>
  <c r="D122" i="12"/>
  <c r="C122" i="12"/>
  <c r="B122" i="12"/>
  <c r="H121" i="12"/>
  <c r="L121" i="12" s="1"/>
  <c r="M121" i="12" s="1"/>
  <c r="G121" i="12"/>
  <c r="F121" i="12"/>
  <c r="I121" i="12" s="1"/>
  <c r="E121" i="12"/>
  <c r="D121" i="12"/>
  <c r="C121" i="12"/>
  <c r="B121" i="12"/>
  <c r="H120" i="12"/>
  <c r="H125" i="12" s="1"/>
  <c r="G120" i="12"/>
  <c r="F120" i="12"/>
  <c r="F125" i="12" s="1"/>
  <c r="F146" i="12" s="1"/>
  <c r="E120" i="12"/>
  <c r="D120" i="12"/>
  <c r="D125" i="12" s="1"/>
  <c r="D146" i="12" s="1"/>
  <c r="D148" i="12" s="1"/>
  <c r="C120" i="12"/>
  <c r="B120" i="12"/>
  <c r="M119" i="12"/>
  <c r="M145" i="11"/>
  <c r="C139" i="11"/>
  <c r="B139" i="11"/>
  <c r="H138" i="11"/>
  <c r="H147" i="11" s="1"/>
  <c r="G138" i="11"/>
  <c r="G147" i="11" s="1"/>
  <c r="F138" i="11"/>
  <c r="F147" i="11" s="1"/>
  <c r="I147" i="11" s="1"/>
  <c r="D138" i="11"/>
  <c r="D147" i="11" s="1"/>
  <c r="C138" i="11"/>
  <c r="C147" i="11" s="1"/>
  <c r="I137" i="11"/>
  <c r="K137" i="11" s="1"/>
  <c r="H137" i="11"/>
  <c r="L137" i="11" s="1"/>
  <c r="M137" i="11" s="1"/>
  <c r="G137" i="11"/>
  <c r="F137" i="11"/>
  <c r="E137" i="11"/>
  <c r="D137" i="11"/>
  <c r="C137" i="11"/>
  <c r="B137" i="11"/>
  <c r="I136" i="11"/>
  <c r="K136" i="11" s="1"/>
  <c r="H136" i="11"/>
  <c r="L136" i="11" s="1"/>
  <c r="M136" i="11" s="1"/>
  <c r="G136" i="11"/>
  <c r="F136" i="11"/>
  <c r="E136" i="11"/>
  <c r="D136" i="11"/>
  <c r="C136" i="11"/>
  <c r="B136" i="11"/>
  <c r="I135" i="11"/>
  <c r="J135" i="11" s="1"/>
  <c r="H135" i="11"/>
  <c r="L135" i="11" s="1"/>
  <c r="M135" i="11" s="1"/>
  <c r="G135" i="11"/>
  <c r="F135" i="11"/>
  <c r="E135" i="11"/>
  <c r="D135" i="11"/>
  <c r="C135" i="11"/>
  <c r="B135" i="11"/>
  <c r="I134" i="11"/>
  <c r="K134" i="11" s="1"/>
  <c r="H134" i="11"/>
  <c r="L134" i="11" s="1"/>
  <c r="M134" i="11" s="1"/>
  <c r="G134" i="11"/>
  <c r="F134" i="11"/>
  <c r="E134" i="11"/>
  <c r="D134" i="11"/>
  <c r="C134" i="11"/>
  <c r="B134" i="11"/>
  <c r="I133" i="11"/>
  <c r="I138" i="11" s="1"/>
  <c r="H133" i="11"/>
  <c r="L133" i="11" s="1"/>
  <c r="M133" i="11" s="1"/>
  <c r="G133" i="11"/>
  <c r="F133" i="11"/>
  <c r="E133" i="11"/>
  <c r="E138" i="11" s="1"/>
  <c r="E147" i="11" s="1"/>
  <c r="D133" i="11"/>
  <c r="C133" i="11"/>
  <c r="B133" i="11"/>
  <c r="M132" i="11"/>
  <c r="G131" i="11"/>
  <c r="C126" i="11"/>
  <c r="B126" i="11"/>
  <c r="I125" i="11"/>
  <c r="I126" i="11" s="1"/>
  <c r="G125" i="11"/>
  <c r="G146" i="11" s="1"/>
  <c r="G148" i="11" s="1"/>
  <c r="F125" i="11"/>
  <c r="F146" i="11" s="1"/>
  <c r="E125" i="11"/>
  <c r="E146" i="11" s="1"/>
  <c r="E148" i="11" s="1"/>
  <c r="C125" i="11"/>
  <c r="C146" i="11" s="1"/>
  <c r="C148" i="11" s="1"/>
  <c r="I124" i="11"/>
  <c r="K124" i="11" s="1"/>
  <c r="H124" i="11"/>
  <c r="L124" i="11" s="1"/>
  <c r="M124" i="11" s="1"/>
  <c r="G124" i="11"/>
  <c r="F124" i="11"/>
  <c r="E124" i="11"/>
  <c r="D124" i="11"/>
  <c r="C124" i="11"/>
  <c r="B124" i="11"/>
  <c r="I123" i="11"/>
  <c r="K123" i="11" s="1"/>
  <c r="H123" i="11"/>
  <c r="L123" i="11" s="1"/>
  <c r="M123" i="11" s="1"/>
  <c r="G123" i="11"/>
  <c r="F123" i="11"/>
  <c r="E123" i="11"/>
  <c r="D123" i="11"/>
  <c r="C123" i="11"/>
  <c r="B123" i="11"/>
  <c r="I122" i="11"/>
  <c r="K122" i="11" s="1"/>
  <c r="H122" i="11"/>
  <c r="L122" i="11" s="1"/>
  <c r="M122" i="11" s="1"/>
  <c r="G122" i="11"/>
  <c r="F122" i="11"/>
  <c r="E122" i="11"/>
  <c r="D122" i="11"/>
  <c r="C122" i="11"/>
  <c r="B122" i="11"/>
  <c r="I121" i="11"/>
  <c r="K121" i="11" s="1"/>
  <c r="H121" i="11"/>
  <c r="L121" i="11" s="1"/>
  <c r="M121" i="11" s="1"/>
  <c r="G121" i="11"/>
  <c r="F121" i="11"/>
  <c r="E121" i="11"/>
  <c r="D121" i="11"/>
  <c r="C121" i="11"/>
  <c r="B121" i="11"/>
  <c r="I120" i="11"/>
  <c r="K120" i="11" s="1"/>
  <c r="H120" i="11"/>
  <c r="H125" i="11" s="1"/>
  <c r="G120" i="11"/>
  <c r="F120" i="11"/>
  <c r="E120" i="11"/>
  <c r="D120" i="11"/>
  <c r="D125" i="11" s="1"/>
  <c r="D146" i="11" s="1"/>
  <c r="C120" i="11"/>
  <c r="B120" i="11"/>
  <c r="M119" i="11"/>
  <c r="M145" i="10"/>
  <c r="C139" i="10"/>
  <c r="B139" i="10"/>
  <c r="H138" i="10"/>
  <c r="H147" i="10" s="1"/>
  <c r="G138" i="10"/>
  <c r="G147" i="10" s="1"/>
  <c r="F138" i="10"/>
  <c r="F147" i="10" s="1"/>
  <c r="I147" i="10" s="1"/>
  <c r="D138" i="10"/>
  <c r="D147" i="10" s="1"/>
  <c r="C138" i="10"/>
  <c r="C147" i="10" s="1"/>
  <c r="I137" i="10"/>
  <c r="J137" i="10" s="1"/>
  <c r="H137" i="10"/>
  <c r="L137" i="10" s="1"/>
  <c r="M137" i="10" s="1"/>
  <c r="G137" i="10"/>
  <c r="F137" i="10"/>
  <c r="E137" i="10"/>
  <c r="D137" i="10"/>
  <c r="C137" i="10"/>
  <c r="B137" i="10"/>
  <c r="I136" i="10"/>
  <c r="K136" i="10" s="1"/>
  <c r="H136" i="10"/>
  <c r="L136" i="10" s="1"/>
  <c r="M136" i="10" s="1"/>
  <c r="G136" i="10"/>
  <c r="F136" i="10"/>
  <c r="E136" i="10"/>
  <c r="D136" i="10"/>
  <c r="C136" i="10"/>
  <c r="B136" i="10"/>
  <c r="I135" i="10"/>
  <c r="J135" i="10" s="1"/>
  <c r="H135" i="10"/>
  <c r="L135" i="10" s="1"/>
  <c r="M135" i="10" s="1"/>
  <c r="G135" i="10"/>
  <c r="F135" i="10"/>
  <c r="E135" i="10"/>
  <c r="D135" i="10"/>
  <c r="C135" i="10"/>
  <c r="B135" i="10"/>
  <c r="I134" i="10"/>
  <c r="K134" i="10" s="1"/>
  <c r="H134" i="10"/>
  <c r="L134" i="10" s="1"/>
  <c r="M134" i="10" s="1"/>
  <c r="G134" i="10"/>
  <c r="F134" i="10"/>
  <c r="E134" i="10"/>
  <c r="D134" i="10"/>
  <c r="C134" i="10"/>
  <c r="B134" i="10"/>
  <c r="I133" i="10"/>
  <c r="I138" i="10" s="1"/>
  <c r="H133" i="10"/>
  <c r="L133" i="10" s="1"/>
  <c r="M133" i="10" s="1"/>
  <c r="G133" i="10"/>
  <c r="F133" i="10"/>
  <c r="E133" i="10"/>
  <c r="E138" i="10" s="1"/>
  <c r="E147" i="10" s="1"/>
  <c r="D133" i="10"/>
  <c r="C133" i="10"/>
  <c r="B133" i="10"/>
  <c r="M132" i="10"/>
  <c r="G131" i="10"/>
  <c r="C126" i="10"/>
  <c r="B126" i="10"/>
  <c r="I125" i="10"/>
  <c r="I126" i="10" s="1"/>
  <c r="G125" i="10"/>
  <c r="G146" i="10" s="1"/>
  <c r="G148" i="10" s="1"/>
  <c r="F125" i="10"/>
  <c r="F146" i="10" s="1"/>
  <c r="E125" i="10"/>
  <c r="E146" i="10" s="1"/>
  <c r="E148" i="10" s="1"/>
  <c r="C125" i="10"/>
  <c r="C146" i="10" s="1"/>
  <c r="C148" i="10" s="1"/>
  <c r="I124" i="10"/>
  <c r="K124" i="10" s="1"/>
  <c r="H124" i="10"/>
  <c r="L124" i="10" s="1"/>
  <c r="M124" i="10" s="1"/>
  <c r="G124" i="10"/>
  <c r="F124" i="10"/>
  <c r="E124" i="10"/>
  <c r="D124" i="10"/>
  <c r="C124" i="10"/>
  <c r="B124" i="10"/>
  <c r="I123" i="10"/>
  <c r="K123" i="10" s="1"/>
  <c r="H123" i="10"/>
  <c r="L123" i="10" s="1"/>
  <c r="M123" i="10" s="1"/>
  <c r="G123" i="10"/>
  <c r="F123" i="10"/>
  <c r="E123" i="10"/>
  <c r="D123" i="10"/>
  <c r="C123" i="10"/>
  <c r="B123" i="10"/>
  <c r="I122" i="10"/>
  <c r="K122" i="10" s="1"/>
  <c r="H122" i="10"/>
  <c r="L122" i="10" s="1"/>
  <c r="M122" i="10" s="1"/>
  <c r="G122" i="10"/>
  <c r="F122" i="10"/>
  <c r="E122" i="10"/>
  <c r="D122" i="10"/>
  <c r="C122" i="10"/>
  <c r="B122" i="10"/>
  <c r="I121" i="10"/>
  <c r="K121" i="10" s="1"/>
  <c r="H121" i="10"/>
  <c r="L121" i="10" s="1"/>
  <c r="M121" i="10" s="1"/>
  <c r="G121" i="10"/>
  <c r="F121" i="10"/>
  <c r="E121" i="10"/>
  <c r="D121" i="10"/>
  <c r="C121" i="10"/>
  <c r="B121" i="10"/>
  <c r="I120" i="10"/>
  <c r="K120" i="10" s="1"/>
  <c r="H120" i="10"/>
  <c r="H125" i="10" s="1"/>
  <c r="G120" i="10"/>
  <c r="F120" i="10"/>
  <c r="E120" i="10"/>
  <c r="D120" i="10"/>
  <c r="D125" i="10" s="1"/>
  <c r="D146" i="10" s="1"/>
  <c r="C120" i="10"/>
  <c r="B120" i="10"/>
  <c r="M119" i="10"/>
  <c r="B126" i="7"/>
  <c r="B124" i="7"/>
  <c r="B123" i="7"/>
  <c r="B122" i="7"/>
  <c r="B121" i="7"/>
  <c r="B120" i="7"/>
  <c r="H119" i="7"/>
  <c r="Y144" i="12"/>
  <c r="Q139" i="12"/>
  <c r="P139" i="12"/>
  <c r="Q137" i="12"/>
  <c r="P137" i="12"/>
  <c r="S136" i="12"/>
  <c r="R136" i="12"/>
  <c r="P136" i="12"/>
  <c r="V135" i="12"/>
  <c r="Q135" i="12"/>
  <c r="P135" i="12"/>
  <c r="S134" i="12"/>
  <c r="R134" i="12"/>
  <c r="P134" i="12"/>
  <c r="V133" i="12"/>
  <c r="Q133" i="12"/>
  <c r="P133" i="12"/>
  <c r="U131" i="12"/>
  <c r="P126" i="12"/>
  <c r="V124" i="12"/>
  <c r="P124" i="12"/>
  <c r="P123" i="12"/>
  <c r="U122" i="12"/>
  <c r="Q122" i="12"/>
  <c r="P122" i="12"/>
  <c r="P121" i="12"/>
  <c r="P120" i="12"/>
  <c r="U118" i="12"/>
  <c r="Q112" i="12"/>
  <c r="C112" i="12"/>
  <c r="P111" i="12"/>
  <c r="B111" i="12"/>
  <c r="V110" i="12"/>
  <c r="V137" i="12" s="1"/>
  <c r="U110" i="12"/>
  <c r="U137" i="12" s="1"/>
  <c r="T110" i="12"/>
  <c r="S110" i="12"/>
  <c r="S137" i="12" s="1"/>
  <c r="R110" i="12"/>
  <c r="R137" i="12" s="1"/>
  <c r="Q110" i="12"/>
  <c r="H110" i="12"/>
  <c r="G110" i="12"/>
  <c r="F110" i="12"/>
  <c r="E110" i="12"/>
  <c r="D110" i="12"/>
  <c r="C110" i="12"/>
  <c r="Z109" i="12"/>
  <c r="Y109" i="12"/>
  <c r="X109" i="12"/>
  <c r="W109" i="12"/>
  <c r="L109" i="12"/>
  <c r="K109" i="12"/>
  <c r="J109" i="12"/>
  <c r="I109" i="12"/>
  <c r="Z108" i="12"/>
  <c r="Y108" i="12"/>
  <c r="X108" i="12"/>
  <c r="W108" i="12"/>
  <c r="L108" i="12"/>
  <c r="K108" i="12"/>
  <c r="J108" i="12"/>
  <c r="I108" i="12"/>
  <c r="Z107" i="12"/>
  <c r="Y107" i="12"/>
  <c r="X107" i="12"/>
  <c r="W107" i="12"/>
  <c r="L107" i="12"/>
  <c r="K107" i="12"/>
  <c r="J107" i="12"/>
  <c r="I107" i="12"/>
  <c r="Z106" i="12"/>
  <c r="Y106" i="12"/>
  <c r="X106" i="12"/>
  <c r="W106" i="12"/>
  <c r="L106" i="12"/>
  <c r="K106" i="12"/>
  <c r="J106" i="12"/>
  <c r="I106" i="12"/>
  <c r="Z105" i="12"/>
  <c r="Y105" i="12"/>
  <c r="X105" i="12"/>
  <c r="W105" i="12"/>
  <c r="L105" i="12"/>
  <c r="K105" i="12"/>
  <c r="J105" i="12"/>
  <c r="I105" i="12"/>
  <c r="Z104" i="12"/>
  <c r="Z110" i="12" s="1"/>
  <c r="Y104" i="12"/>
  <c r="X104" i="12"/>
  <c r="W104" i="12"/>
  <c r="L104" i="12"/>
  <c r="L110" i="12" s="1"/>
  <c r="K104" i="12"/>
  <c r="J104" i="12"/>
  <c r="I104" i="12"/>
  <c r="U103" i="12"/>
  <c r="G103" i="12"/>
  <c r="C101" i="12"/>
  <c r="P100" i="12"/>
  <c r="B100" i="12"/>
  <c r="Z99" i="12"/>
  <c r="V99" i="12"/>
  <c r="V136" i="12" s="1"/>
  <c r="U99" i="12"/>
  <c r="U136" i="12" s="1"/>
  <c r="T99" i="12"/>
  <c r="S99" i="12"/>
  <c r="R99" i="12"/>
  <c r="Q99" i="12"/>
  <c r="L99" i="12"/>
  <c r="H99" i="12"/>
  <c r="G99" i="12"/>
  <c r="F99" i="12"/>
  <c r="E99" i="12"/>
  <c r="D99" i="12"/>
  <c r="C99" i="12"/>
  <c r="Z98" i="12"/>
  <c r="Y98" i="12"/>
  <c r="X98" i="12"/>
  <c r="W98" i="12"/>
  <c r="L98" i="12"/>
  <c r="K98" i="12"/>
  <c r="J98" i="12"/>
  <c r="I98" i="12"/>
  <c r="Z97" i="12"/>
  <c r="Y97" i="12"/>
  <c r="X97" i="12"/>
  <c r="W97" i="12"/>
  <c r="L97" i="12"/>
  <c r="K97" i="12"/>
  <c r="J97" i="12"/>
  <c r="I97" i="12"/>
  <c r="Z96" i="12"/>
  <c r="Y96" i="12"/>
  <c r="X96" i="12"/>
  <c r="W96" i="12"/>
  <c r="L96" i="12"/>
  <c r="K96" i="12"/>
  <c r="J96" i="12"/>
  <c r="I96" i="12"/>
  <c r="Z95" i="12"/>
  <c r="Y95" i="12"/>
  <c r="X95" i="12"/>
  <c r="W95" i="12"/>
  <c r="L95" i="12"/>
  <c r="K95" i="12"/>
  <c r="J95" i="12"/>
  <c r="I95" i="12"/>
  <c r="Z94" i="12"/>
  <c r="Y94" i="12"/>
  <c r="X94" i="12"/>
  <c r="W94" i="12"/>
  <c r="L94" i="12"/>
  <c r="K94" i="12"/>
  <c r="J94" i="12"/>
  <c r="I94" i="12"/>
  <c r="Z93" i="12"/>
  <c r="Y93" i="12"/>
  <c r="X93" i="12"/>
  <c r="W93" i="12"/>
  <c r="L93" i="12"/>
  <c r="K93" i="12"/>
  <c r="J93" i="12"/>
  <c r="I93" i="12"/>
  <c r="U92" i="12"/>
  <c r="G92" i="12"/>
  <c r="Q90" i="12"/>
  <c r="C90" i="12"/>
  <c r="P89" i="12"/>
  <c r="B89" i="12"/>
  <c r="V88" i="12"/>
  <c r="U88" i="12"/>
  <c r="U135" i="12" s="1"/>
  <c r="T88" i="12"/>
  <c r="S88" i="12"/>
  <c r="S135" i="12" s="1"/>
  <c r="R88" i="12"/>
  <c r="R135" i="12" s="1"/>
  <c r="Q88" i="12"/>
  <c r="H88" i="12"/>
  <c r="G88" i="12"/>
  <c r="F88" i="12"/>
  <c r="E88" i="12"/>
  <c r="D88" i="12"/>
  <c r="C88" i="12"/>
  <c r="Z87" i="12"/>
  <c r="Y87" i="12"/>
  <c r="X87" i="12"/>
  <c r="W87" i="12"/>
  <c r="L87" i="12"/>
  <c r="K87" i="12"/>
  <c r="J87" i="12"/>
  <c r="I87" i="12"/>
  <c r="Z86" i="12"/>
  <c r="Y86" i="12"/>
  <c r="X86" i="12"/>
  <c r="W86" i="12"/>
  <c r="L86" i="12"/>
  <c r="K86" i="12"/>
  <c r="J86" i="12"/>
  <c r="I86" i="12"/>
  <c r="Z85" i="12"/>
  <c r="Y85" i="12"/>
  <c r="X85" i="12"/>
  <c r="W85" i="12"/>
  <c r="L85" i="12"/>
  <c r="K85" i="12"/>
  <c r="J85" i="12"/>
  <c r="I85" i="12"/>
  <c r="Z84" i="12"/>
  <c r="Y84" i="12"/>
  <c r="X84" i="12"/>
  <c r="W84" i="12"/>
  <c r="L84" i="12"/>
  <c r="K84" i="12"/>
  <c r="J84" i="12"/>
  <c r="I84" i="12"/>
  <c r="Z83" i="12"/>
  <c r="Y83" i="12"/>
  <c r="X83" i="12"/>
  <c r="W83" i="12"/>
  <c r="L83" i="12"/>
  <c r="K83" i="12"/>
  <c r="J83" i="12"/>
  <c r="I83" i="12"/>
  <c r="Z82" i="12"/>
  <c r="Z88" i="12" s="1"/>
  <c r="Y82" i="12"/>
  <c r="X82" i="12"/>
  <c r="W82" i="12"/>
  <c r="L82" i="12"/>
  <c r="L88" i="12" s="1"/>
  <c r="K82" i="12"/>
  <c r="J82" i="12"/>
  <c r="I82" i="12"/>
  <c r="U81" i="12"/>
  <c r="G81" i="12"/>
  <c r="F81" i="12"/>
  <c r="C79" i="12"/>
  <c r="P78" i="12"/>
  <c r="B78" i="12"/>
  <c r="Z77" i="12"/>
  <c r="V77" i="12"/>
  <c r="V134" i="12" s="1"/>
  <c r="U77" i="12"/>
  <c r="U134" i="12" s="1"/>
  <c r="T77" i="12"/>
  <c r="S77" i="12"/>
  <c r="R77" i="12"/>
  <c r="Q77" i="12"/>
  <c r="L77" i="12"/>
  <c r="H77" i="12"/>
  <c r="G77" i="12"/>
  <c r="F77" i="12"/>
  <c r="E77" i="12"/>
  <c r="D77" i="12"/>
  <c r="C77" i="12"/>
  <c r="Z76" i="12"/>
  <c r="Y76" i="12"/>
  <c r="X76" i="12"/>
  <c r="W76" i="12"/>
  <c r="L76" i="12"/>
  <c r="K76" i="12"/>
  <c r="J76" i="12"/>
  <c r="I76" i="12"/>
  <c r="Z75" i="12"/>
  <c r="Y75" i="12"/>
  <c r="X75" i="12"/>
  <c r="W75" i="12"/>
  <c r="L75" i="12"/>
  <c r="K75" i="12"/>
  <c r="J75" i="12"/>
  <c r="I75" i="12"/>
  <c r="Z74" i="12"/>
  <c r="Y74" i="12"/>
  <c r="X74" i="12"/>
  <c r="W74" i="12"/>
  <c r="L74" i="12"/>
  <c r="K74" i="12"/>
  <c r="J74" i="12"/>
  <c r="I74" i="12"/>
  <c r="Z73" i="12"/>
  <c r="Y73" i="12"/>
  <c r="X73" i="12"/>
  <c r="W73" i="12"/>
  <c r="L73" i="12"/>
  <c r="K73" i="12"/>
  <c r="J73" i="12"/>
  <c r="I73" i="12"/>
  <c r="Z72" i="12"/>
  <c r="Y72" i="12"/>
  <c r="X72" i="12"/>
  <c r="W72" i="12"/>
  <c r="L72" i="12"/>
  <c r="K72" i="12"/>
  <c r="J72" i="12"/>
  <c r="I72" i="12"/>
  <c r="Z71" i="12"/>
  <c r="Y71" i="12"/>
  <c r="X71" i="12"/>
  <c r="W71" i="12"/>
  <c r="L71" i="12"/>
  <c r="K71" i="12"/>
  <c r="J71" i="12"/>
  <c r="I71" i="12"/>
  <c r="U70" i="12"/>
  <c r="G70" i="12"/>
  <c r="F70" i="12"/>
  <c r="Q68" i="12"/>
  <c r="C68" i="12"/>
  <c r="P67" i="12"/>
  <c r="B67" i="12"/>
  <c r="V66" i="12"/>
  <c r="U66" i="12"/>
  <c r="U133" i="12" s="1"/>
  <c r="U138" i="12" s="1"/>
  <c r="U147" i="12" s="1"/>
  <c r="T66" i="12"/>
  <c r="S66" i="12"/>
  <c r="S133" i="12" s="1"/>
  <c r="S138" i="12" s="1"/>
  <c r="S147" i="12" s="1"/>
  <c r="R66" i="12"/>
  <c r="R133" i="12" s="1"/>
  <c r="Q66" i="12"/>
  <c r="H66" i="12"/>
  <c r="G66" i="12"/>
  <c r="F66" i="12"/>
  <c r="E66" i="12"/>
  <c r="D66" i="12"/>
  <c r="C66" i="12"/>
  <c r="Z65" i="12"/>
  <c r="Y65" i="12"/>
  <c r="X65" i="12"/>
  <c r="W65" i="12"/>
  <c r="L65" i="12"/>
  <c r="K65" i="12"/>
  <c r="J65" i="12"/>
  <c r="I65" i="12"/>
  <c r="Z64" i="12"/>
  <c r="Y64" i="12"/>
  <c r="X64" i="12"/>
  <c r="W64" i="12"/>
  <c r="L64" i="12"/>
  <c r="K64" i="12"/>
  <c r="J64" i="12"/>
  <c r="I64" i="12"/>
  <c r="Z63" i="12"/>
  <c r="Y63" i="12"/>
  <c r="X63" i="12"/>
  <c r="W63" i="12"/>
  <c r="L63" i="12"/>
  <c r="K63" i="12"/>
  <c r="J63" i="12"/>
  <c r="I63" i="12"/>
  <c r="Z62" i="12"/>
  <c r="Y62" i="12"/>
  <c r="X62" i="12"/>
  <c r="W62" i="12"/>
  <c r="L62" i="12"/>
  <c r="K62" i="12"/>
  <c r="J62" i="12"/>
  <c r="I62" i="12"/>
  <c r="Z61" i="12"/>
  <c r="Y61" i="12"/>
  <c r="X61" i="12"/>
  <c r="W61" i="12"/>
  <c r="L61" i="12"/>
  <c r="K61" i="12"/>
  <c r="J61" i="12"/>
  <c r="I61" i="12"/>
  <c r="Z60" i="12"/>
  <c r="Z66" i="12" s="1"/>
  <c r="Y60" i="12"/>
  <c r="X60" i="12"/>
  <c r="W60" i="12"/>
  <c r="L60" i="12"/>
  <c r="L66" i="12" s="1"/>
  <c r="K60" i="12"/>
  <c r="J60" i="12"/>
  <c r="I60" i="12"/>
  <c r="U59" i="12"/>
  <c r="G59" i="12"/>
  <c r="C57" i="12"/>
  <c r="P56" i="12"/>
  <c r="B56" i="12"/>
  <c r="Z55" i="12"/>
  <c r="V55" i="12"/>
  <c r="U55" i="12"/>
  <c r="U124" i="12" s="1"/>
  <c r="T55" i="12"/>
  <c r="S55" i="12"/>
  <c r="S124" i="12" s="1"/>
  <c r="R55" i="12"/>
  <c r="R124" i="12" s="1"/>
  <c r="Q55" i="12"/>
  <c r="L55" i="12"/>
  <c r="H55" i="12"/>
  <c r="G55" i="12"/>
  <c r="F55" i="12"/>
  <c r="E55" i="12"/>
  <c r="D55" i="12"/>
  <c r="C55" i="12"/>
  <c r="Z54" i="12"/>
  <c r="Y54" i="12"/>
  <c r="X54" i="12"/>
  <c r="W54" i="12"/>
  <c r="L54" i="12"/>
  <c r="K54" i="12"/>
  <c r="J54" i="12"/>
  <c r="I54" i="12"/>
  <c r="Z53" i="12"/>
  <c r="Y53" i="12"/>
  <c r="X53" i="12"/>
  <c r="W53" i="12"/>
  <c r="L53" i="12"/>
  <c r="K53" i="12"/>
  <c r="J53" i="12"/>
  <c r="I53" i="12"/>
  <c r="Z52" i="12"/>
  <c r="Y52" i="12"/>
  <c r="X52" i="12"/>
  <c r="W52" i="12"/>
  <c r="L52" i="12"/>
  <c r="K52" i="12"/>
  <c r="J52" i="12"/>
  <c r="I52" i="12"/>
  <c r="Z51" i="12"/>
  <c r="Y51" i="12"/>
  <c r="X51" i="12"/>
  <c r="W51" i="12"/>
  <c r="L51" i="12"/>
  <c r="K51" i="12"/>
  <c r="J51" i="12"/>
  <c r="I51" i="12"/>
  <c r="Z50" i="12"/>
  <c r="Y50" i="12"/>
  <c r="X50" i="12"/>
  <c r="W50" i="12"/>
  <c r="L50" i="12"/>
  <c r="K50" i="12"/>
  <c r="J50" i="12"/>
  <c r="I50" i="12"/>
  <c r="Z49" i="12"/>
  <c r="Y49" i="12"/>
  <c r="X49" i="12"/>
  <c r="W49" i="12"/>
  <c r="L49" i="12"/>
  <c r="K49" i="12"/>
  <c r="J49" i="12"/>
  <c r="I49" i="12"/>
  <c r="U48" i="12"/>
  <c r="G48" i="12"/>
  <c r="Q46" i="12"/>
  <c r="C46" i="12"/>
  <c r="P45" i="12"/>
  <c r="B45" i="12"/>
  <c r="V44" i="12"/>
  <c r="V123" i="12" s="1"/>
  <c r="U44" i="12"/>
  <c r="U123" i="12" s="1"/>
  <c r="T44" i="12"/>
  <c r="S44" i="12"/>
  <c r="S123" i="12" s="1"/>
  <c r="R44" i="12"/>
  <c r="R123" i="12" s="1"/>
  <c r="Q44" i="12"/>
  <c r="Q123" i="12" s="1"/>
  <c r="H44" i="12"/>
  <c r="G44" i="12"/>
  <c r="F44" i="12"/>
  <c r="I44" i="12" s="1"/>
  <c r="E44" i="12"/>
  <c r="D44" i="12"/>
  <c r="C44" i="12"/>
  <c r="Z43" i="12"/>
  <c r="Y43" i="12"/>
  <c r="X43" i="12"/>
  <c r="W43" i="12"/>
  <c r="L43" i="12"/>
  <c r="K43" i="12"/>
  <c r="J43" i="12"/>
  <c r="I43" i="12"/>
  <c r="Z42" i="12"/>
  <c r="Y42" i="12"/>
  <c r="X42" i="12"/>
  <c r="W42" i="12"/>
  <c r="L42" i="12"/>
  <c r="K42" i="12"/>
  <c r="J42" i="12"/>
  <c r="I42" i="12"/>
  <c r="Z41" i="12"/>
  <c r="Y41" i="12"/>
  <c r="X41" i="12"/>
  <c r="W41" i="12"/>
  <c r="L41" i="12"/>
  <c r="K41" i="12"/>
  <c r="J41" i="12"/>
  <c r="I41" i="12"/>
  <c r="Z40" i="12"/>
  <c r="Y40" i="12"/>
  <c r="X40" i="12"/>
  <c r="W40" i="12"/>
  <c r="L40" i="12"/>
  <c r="K40" i="12"/>
  <c r="J40" i="12"/>
  <c r="I40" i="12"/>
  <c r="Z39" i="12"/>
  <c r="Y39" i="12"/>
  <c r="X39" i="12"/>
  <c r="W39" i="12"/>
  <c r="L39" i="12"/>
  <c r="K39" i="12"/>
  <c r="J39" i="12"/>
  <c r="I39" i="12"/>
  <c r="Z38" i="12"/>
  <c r="Z44" i="12" s="1"/>
  <c r="Y38" i="12"/>
  <c r="X38" i="12"/>
  <c r="W38" i="12"/>
  <c r="L38" i="12"/>
  <c r="L44" i="12" s="1"/>
  <c r="K38" i="12"/>
  <c r="J38" i="12"/>
  <c r="I38" i="12"/>
  <c r="U37" i="12"/>
  <c r="G37" i="12"/>
  <c r="Q35" i="12"/>
  <c r="B35" i="12"/>
  <c r="P34" i="12"/>
  <c r="C34" i="12"/>
  <c r="B34" i="12"/>
  <c r="W33" i="12"/>
  <c r="V33" i="12"/>
  <c r="V122" i="12" s="1"/>
  <c r="U33" i="12"/>
  <c r="T33" i="12"/>
  <c r="T122" i="12" s="1"/>
  <c r="S33" i="12"/>
  <c r="S122" i="12" s="1"/>
  <c r="R33" i="12"/>
  <c r="R122" i="12" s="1"/>
  <c r="Q33" i="12"/>
  <c r="H33" i="12"/>
  <c r="G33" i="12"/>
  <c r="F33" i="12"/>
  <c r="E33" i="12"/>
  <c r="D33" i="12"/>
  <c r="C33" i="12"/>
  <c r="W32" i="12"/>
  <c r="Y32" i="12" s="1"/>
  <c r="Z32" i="12" s="1"/>
  <c r="J32" i="12"/>
  <c r="I32" i="12"/>
  <c r="K32" i="12" s="1"/>
  <c r="L32" i="12" s="1"/>
  <c r="W31" i="12"/>
  <c r="L31" i="12"/>
  <c r="J31" i="12"/>
  <c r="I31" i="12"/>
  <c r="K31" i="12" s="1"/>
  <c r="Z30" i="12"/>
  <c r="X30" i="12"/>
  <c r="W30" i="12"/>
  <c r="Y30" i="12" s="1"/>
  <c r="I30" i="12"/>
  <c r="K30" i="12" s="1"/>
  <c r="L30" i="12" s="1"/>
  <c r="W29" i="12"/>
  <c r="L29" i="12"/>
  <c r="J29" i="12"/>
  <c r="I29" i="12"/>
  <c r="K29" i="12" s="1"/>
  <c r="W28" i="12"/>
  <c r="Y28" i="12" s="1"/>
  <c r="Z28" i="12" s="1"/>
  <c r="J28" i="12"/>
  <c r="I28" i="12"/>
  <c r="K28" i="12" s="1"/>
  <c r="L28" i="12" s="1"/>
  <c r="Z27" i="12"/>
  <c r="Z33" i="12" s="1"/>
  <c r="X27" i="12"/>
  <c r="W27" i="12"/>
  <c r="Y27" i="12" s="1"/>
  <c r="I27" i="12"/>
  <c r="K27" i="12" s="1"/>
  <c r="L27" i="12" s="1"/>
  <c r="L33" i="12" s="1"/>
  <c r="U26" i="12"/>
  <c r="Q26" i="12"/>
  <c r="Q37" i="12" s="1"/>
  <c r="Q48" i="12" s="1"/>
  <c r="Q59" i="12" s="1"/>
  <c r="Q70" i="12" s="1"/>
  <c r="Q81" i="12" s="1"/>
  <c r="Q92" i="12" s="1"/>
  <c r="Q103" i="12" s="1"/>
  <c r="G26" i="12"/>
  <c r="C26" i="12"/>
  <c r="C37" i="12" s="1"/>
  <c r="C48" i="12" s="1"/>
  <c r="C59" i="12" s="1"/>
  <c r="C70" i="12" s="1"/>
  <c r="C81" i="12" s="1"/>
  <c r="C92" i="12" s="1"/>
  <c r="C103" i="12" s="1"/>
  <c r="P24" i="12"/>
  <c r="C24" i="12"/>
  <c r="Q23" i="12"/>
  <c r="Q24" i="12" s="1"/>
  <c r="P23" i="12"/>
  <c r="B23" i="12"/>
  <c r="V22" i="12"/>
  <c r="V121" i="12" s="1"/>
  <c r="U22" i="12"/>
  <c r="U121" i="12" s="1"/>
  <c r="T22" i="12"/>
  <c r="S22" i="12"/>
  <c r="S121" i="12" s="1"/>
  <c r="R22" i="12"/>
  <c r="R121" i="12" s="1"/>
  <c r="Q22" i="12"/>
  <c r="Q121" i="12" s="1"/>
  <c r="I22" i="12"/>
  <c r="K22" i="12" s="1"/>
  <c r="H22" i="12"/>
  <c r="G22" i="12"/>
  <c r="F22" i="12"/>
  <c r="E22" i="12"/>
  <c r="D22" i="12"/>
  <c r="C22" i="12"/>
  <c r="Y21" i="12"/>
  <c r="Z21" i="12" s="1"/>
  <c r="X21" i="12"/>
  <c r="W21" i="12"/>
  <c r="K21" i="12"/>
  <c r="L21" i="12" s="1"/>
  <c r="J21" i="12"/>
  <c r="I21" i="12"/>
  <c r="Y20" i="12"/>
  <c r="Z20" i="12" s="1"/>
  <c r="X20" i="12"/>
  <c r="W20" i="12"/>
  <c r="K20" i="12"/>
  <c r="L20" i="12" s="1"/>
  <c r="J20" i="12"/>
  <c r="I20" i="12"/>
  <c r="Y19" i="12"/>
  <c r="Z19" i="12" s="1"/>
  <c r="X19" i="12"/>
  <c r="W19" i="12"/>
  <c r="K19" i="12"/>
  <c r="L19" i="12" s="1"/>
  <c r="J19" i="12"/>
  <c r="I19" i="12"/>
  <c r="Y18" i="12"/>
  <c r="Z18" i="12" s="1"/>
  <c r="X18" i="12"/>
  <c r="W18" i="12"/>
  <c r="K18" i="12"/>
  <c r="L18" i="12" s="1"/>
  <c r="J18" i="12"/>
  <c r="I18" i="12"/>
  <c r="Y17" i="12"/>
  <c r="Z17" i="12" s="1"/>
  <c r="X17" i="12"/>
  <c r="W17" i="12"/>
  <c r="K17" i="12"/>
  <c r="L17" i="12" s="1"/>
  <c r="J17" i="12"/>
  <c r="I17" i="12"/>
  <c r="Y16" i="12"/>
  <c r="Z16" i="12" s="1"/>
  <c r="Z22" i="12" s="1"/>
  <c r="X16" i="12"/>
  <c r="W16" i="12"/>
  <c r="K16" i="12"/>
  <c r="L16" i="12" s="1"/>
  <c r="L22" i="12" s="1"/>
  <c r="J16" i="12"/>
  <c r="I16" i="12"/>
  <c r="U15" i="12"/>
  <c r="Q15" i="12"/>
  <c r="G15" i="12"/>
  <c r="C15" i="12"/>
  <c r="P13" i="12"/>
  <c r="Q12" i="12" s="1"/>
  <c r="Q13" i="12" s="1"/>
  <c r="B13" i="12"/>
  <c r="P12" i="12"/>
  <c r="C12" i="12"/>
  <c r="C13" i="12" s="1"/>
  <c r="V11" i="12"/>
  <c r="V120" i="12" s="1"/>
  <c r="U11" i="12"/>
  <c r="U120" i="12" s="1"/>
  <c r="W120" i="12" s="1"/>
  <c r="T11" i="12"/>
  <c r="T120" i="12" s="1"/>
  <c r="AB120" i="12" s="1"/>
  <c r="S11" i="12"/>
  <c r="S120" i="12" s="1"/>
  <c r="S125" i="12" s="1"/>
  <c r="S146" i="12" s="1"/>
  <c r="R11" i="12"/>
  <c r="R120" i="12" s="1"/>
  <c r="Q11" i="12"/>
  <c r="Q120" i="12" s="1"/>
  <c r="I11" i="12"/>
  <c r="J11" i="12" s="1"/>
  <c r="H11" i="12"/>
  <c r="G11" i="12"/>
  <c r="F11" i="12"/>
  <c r="E11" i="12"/>
  <c r="D11" i="12"/>
  <c r="C11" i="12"/>
  <c r="W10" i="12"/>
  <c r="Y10" i="12" s="1"/>
  <c r="Z10" i="12" s="1"/>
  <c r="I10" i="12"/>
  <c r="K10" i="12" s="1"/>
  <c r="L10" i="12" s="1"/>
  <c r="Y9" i="12"/>
  <c r="Z9" i="12" s="1"/>
  <c r="X9" i="12"/>
  <c r="W9" i="12"/>
  <c r="K9" i="12"/>
  <c r="L9" i="12" s="1"/>
  <c r="J9" i="12"/>
  <c r="I9" i="12"/>
  <c r="W8" i="12"/>
  <c r="Y8" i="12" s="1"/>
  <c r="Z8" i="12" s="1"/>
  <c r="I8" i="12"/>
  <c r="K8" i="12" s="1"/>
  <c r="L8" i="12" s="1"/>
  <c r="Y7" i="12"/>
  <c r="Z7" i="12" s="1"/>
  <c r="X7" i="12"/>
  <c r="W7" i="12"/>
  <c r="K7" i="12"/>
  <c r="L7" i="12" s="1"/>
  <c r="J7" i="12"/>
  <c r="I7" i="12"/>
  <c r="W6" i="12"/>
  <c r="X6" i="12" s="1"/>
  <c r="I6" i="12"/>
  <c r="K6" i="12" s="1"/>
  <c r="L6" i="12" s="1"/>
  <c r="Y5" i="12"/>
  <c r="Z5" i="12" s="1"/>
  <c r="Z11" i="12" s="1"/>
  <c r="X5" i="12"/>
  <c r="W5" i="12"/>
  <c r="K5" i="12"/>
  <c r="L5" i="12" s="1"/>
  <c r="L11" i="12" s="1"/>
  <c r="J5" i="12"/>
  <c r="I5" i="12"/>
  <c r="U4" i="12"/>
  <c r="K4" i="12"/>
  <c r="F4" i="12"/>
  <c r="F103" i="12" s="1"/>
  <c r="Y144" i="11"/>
  <c r="Q139" i="11"/>
  <c r="P139" i="11"/>
  <c r="P137" i="11"/>
  <c r="V136" i="11"/>
  <c r="S136" i="11"/>
  <c r="P136" i="11"/>
  <c r="P135" i="11"/>
  <c r="V134" i="11"/>
  <c r="S134" i="11"/>
  <c r="P134" i="11"/>
  <c r="P133" i="11"/>
  <c r="U131" i="11"/>
  <c r="P126" i="11"/>
  <c r="U124" i="11"/>
  <c r="T124" i="11"/>
  <c r="P124" i="11"/>
  <c r="P123" i="11"/>
  <c r="U122" i="11"/>
  <c r="T122" i="11"/>
  <c r="P122" i="11"/>
  <c r="P121" i="11"/>
  <c r="P120" i="11"/>
  <c r="U118" i="11"/>
  <c r="C112" i="11"/>
  <c r="P111" i="11"/>
  <c r="I111" i="11"/>
  <c r="K111" i="11" s="1"/>
  <c r="L111" i="11" s="1"/>
  <c r="B111" i="11"/>
  <c r="V110" i="11"/>
  <c r="V137" i="11" s="1"/>
  <c r="U110" i="11"/>
  <c r="U137" i="11" s="1"/>
  <c r="T110" i="11"/>
  <c r="S110" i="11"/>
  <c r="S137" i="11" s="1"/>
  <c r="R110" i="11"/>
  <c r="R137" i="11" s="1"/>
  <c r="Q110" i="11"/>
  <c r="I110" i="11"/>
  <c r="H110" i="11"/>
  <c r="G110" i="11"/>
  <c r="F110" i="11"/>
  <c r="E110" i="11"/>
  <c r="D110" i="11"/>
  <c r="C110" i="11"/>
  <c r="Y109" i="11"/>
  <c r="Z109" i="11" s="1"/>
  <c r="X109" i="11"/>
  <c r="W109" i="11"/>
  <c r="K109" i="11"/>
  <c r="L109" i="11" s="1"/>
  <c r="J109" i="11"/>
  <c r="I109" i="11"/>
  <c r="Y108" i="11"/>
  <c r="Z108" i="11" s="1"/>
  <c r="X108" i="11"/>
  <c r="W108" i="11"/>
  <c r="K108" i="11"/>
  <c r="L108" i="11" s="1"/>
  <c r="J108" i="11"/>
  <c r="I108" i="11"/>
  <c r="Y107" i="11"/>
  <c r="Z107" i="11" s="1"/>
  <c r="X107" i="11"/>
  <c r="W107" i="11"/>
  <c r="K107" i="11"/>
  <c r="L107" i="11" s="1"/>
  <c r="J107" i="11"/>
  <c r="I107" i="11"/>
  <c r="Y106" i="11"/>
  <c r="Z106" i="11" s="1"/>
  <c r="X106" i="11"/>
  <c r="W106" i="11"/>
  <c r="K106" i="11"/>
  <c r="L106" i="11" s="1"/>
  <c r="J106" i="11"/>
  <c r="I106" i="11"/>
  <c r="Y105" i="11"/>
  <c r="Z105" i="11" s="1"/>
  <c r="X105" i="11"/>
  <c r="W105" i="11"/>
  <c r="K105" i="11"/>
  <c r="L105" i="11" s="1"/>
  <c r="J105" i="11"/>
  <c r="I105" i="11"/>
  <c r="Y104" i="11"/>
  <c r="Z104" i="11" s="1"/>
  <c r="Z110" i="11" s="1"/>
  <c r="X104" i="11"/>
  <c r="W104" i="11"/>
  <c r="K104" i="11"/>
  <c r="L104" i="11" s="1"/>
  <c r="L110" i="11" s="1"/>
  <c r="J104" i="11"/>
  <c r="I104" i="11"/>
  <c r="U103" i="11"/>
  <c r="G103" i="11"/>
  <c r="C101" i="11"/>
  <c r="P100" i="11"/>
  <c r="I100" i="11"/>
  <c r="K100" i="11" s="1"/>
  <c r="L100" i="11" s="1"/>
  <c r="B100" i="11"/>
  <c r="V99" i="11"/>
  <c r="U99" i="11"/>
  <c r="U136" i="11" s="1"/>
  <c r="T99" i="11"/>
  <c r="S99" i="11"/>
  <c r="R99" i="11"/>
  <c r="R136" i="11" s="1"/>
  <c r="Q99" i="11"/>
  <c r="L99" i="11"/>
  <c r="I99" i="11"/>
  <c r="H99" i="11"/>
  <c r="G99" i="11"/>
  <c r="F99" i="11"/>
  <c r="E99" i="11"/>
  <c r="D99" i="11"/>
  <c r="C99" i="11"/>
  <c r="Y98" i="11"/>
  <c r="Z98" i="11" s="1"/>
  <c r="X98" i="11"/>
  <c r="W98" i="11"/>
  <c r="K98" i="11"/>
  <c r="L98" i="11" s="1"/>
  <c r="J98" i="11"/>
  <c r="I98" i="11"/>
  <c r="Y97" i="11"/>
  <c r="Z97" i="11" s="1"/>
  <c r="X97" i="11"/>
  <c r="W97" i="11"/>
  <c r="K97" i="11"/>
  <c r="L97" i="11" s="1"/>
  <c r="J97" i="11"/>
  <c r="I97" i="11"/>
  <c r="Y96" i="11"/>
  <c r="Z96" i="11" s="1"/>
  <c r="X96" i="11"/>
  <c r="W96" i="11"/>
  <c r="K96" i="11"/>
  <c r="L96" i="11" s="1"/>
  <c r="J96" i="11"/>
  <c r="I96" i="11"/>
  <c r="Y95" i="11"/>
  <c r="Z95" i="11" s="1"/>
  <c r="X95" i="11"/>
  <c r="W95" i="11"/>
  <c r="K95" i="11"/>
  <c r="L95" i="11" s="1"/>
  <c r="J95" i="11"/>
  <c r="I95" i="11"/>
  <c r="Y94" i="11"/>
  <c r="Z94" i="11" s="1"/>
  <c r="X94" i="11"/>
  <c r="W94" i="11"/>
  <c r="K94" i="11"/>
  <c r="L94" i="11" s="1"/>
  <c r="J94" i="11"/>
  <c r="I94" i="11"/>
  <c r="Y93" i="11"/>
  <c r="Z93" i="11" s="1"/>
  <c r="Z99" i="11" s="1"/>
  <c r="X93" i="11"/>
  <c r="W93" i="11"/>
  <c r="K93" i="11"/>
  <c r="L93" i="11" s="1"/>
  <c r="J93" i="11"/>
  <c r="I93" i="11"/>
  <c r="U92" i="11"/>
  <c r="G92" i="11"/>
  <c r="F92" i="11"/>
  <c r="C90" i="11"/>
  <c r="P89" i="11"/>
  <c r="B89" i="11"/>
  <c r="V88" i="11"/>
  <c r="V135" i="11" s="1"/>
  <c r="U88" i="11"/>
  <c r="U135" i="11" s="1"/>
  <c r="T88" i="11"/>
  <c r="S88" i="11"/>
  <c r="S135" i="11" s="1"/>
  <c r="R88" i="11"/>
  <c r="R135" i="11" s="1"/>
  <c r="Q88" i="11"/>
  <c r="Q90" i="11" s="1"/>
  <c r="I88" i="11"/>
  <c r="H88" i="11"/>
  <c r="G88" i="11"/>
  <c r="F88" i="11"/>
  <c r="E88" i="11"/>
  <c r="D88" i="11"/>
  <c r="C88" i="11"/>
  <c r="Y87" i="11"/>
  <c r="Z87" i="11" s="1"/>
  <c r="X87" i="11"/>
  <c r="W87" i="11"/>
  <c r="K87" i="11"/>
  <c r="L87" i="11" s="1"/>
  <c r="J87" i="11"/>
  <c r="I87" i="11"/>
  <c r="Y86" i="11"/>
  <c r="Z86" i="11" s="1"/>
  <c r="X86" i="11"/>
  <c r="W86" i="11"/>
  <c r="K86" i="11"/>
  <c r="L86" i="11" s="1"/>
  <c r="J86" i="11"/>
  <c r="I86" i="11"/>
  <c r="Y85" i="11"/>
  <c r="Z85" i="11" s="1"/>
  <c r="X85" i="11"/>
  <c r="W85" i="11"/>
  <c r="K85" i="11"/>
  <c r="L85" i="11" s="1"/>
  <c r="J85" i="11"/>
  <c r="I85" i="11"/>
  <c r="Y84" i="11"/>
  <c r="Z84" i="11" s="1"/>
  <c r="X84" i="11"/>
  <c r="W84" i="11"/>
  <c r="K84" i="11"/>
  <c r="L84" i="11" s="1"/>
  <c r="J84" i="11"/>
  <c r="I84" i="11"/>
  <c r="Y83" i="11"/>
  <c r="Z83" i="11" s="1"/>
  <c r="X83" i="11"/>
  <c r="W83" i="11"/>
  <c r="K83" i="11"/>
  <c r="L83" i="11" s="1"/>
  <c r="J83" i="11"/>
  <c r="I83" i="11"/>
  <c r="Y82" i="11"/>
  <c r="Z82" i="11" s="1"/>
  <c r="Z88" i="11" s="1"/>
  <c r="X82" i="11"/>
  <c r="W82" i="11"/>
  <c r="K82" i="11"/>
  <c r="L82" i="11" s="1"/>
  <c r="L88" i="11" s="1"/>
  <c r="J82" i="11"/>
  <c r="I82" i="11"/>
  <c r="U81" i="11"/>
  <c r="G81" i="11"/>
  <c r="C79" i="11"/>
  <c r="P78" i="11"/>
  <c r="I78" i="11"/>
  <c r="B78" i="11"/>
  <c r="V77" i="11"/>
  <c r="U77" i="11"/>
  <c r="U134" i="11" s="1"/>
  <c r="T77" i="11"/>
  <c r="S77" i="11"/>
  <c r="R77" i="11"/>
  <c r="R134" i="11" s="1"/>
  <c r="R138" i="11" s="1"/>
  <c r="R147" i="11" s="1"/>
  <c r="Q77" i="11"/>
  <c r="I77" i="11"/>
  <c r="H77" i="11"/>
  <c r="G77" i="11"/>
  <c r="F77" i="11"/>
  <c r="E77" i="11"/>
  <c r="D77" i="11"/>
  <c r="C77" i="11"/>
  <c r="Y76" i="11"/>
  <c r="Z76" i="11" s="1"/>
  <c r="X76" i="11"/>
  <c r="W76" i="11"/>
  <c r="K76" i="11"/>
  <c r="L76" i="11" s="1"/>
  <c r="J76" i="11"/>
  <c r="I76" i="11"/>
  <c r="Y75" i="11"/>
  <c r="Z75" i="11" s="1"/>
  <c r="X75" i="11"/>
  <c r="W75" i="11"/>
  <c r="K75" i="11"/>
  <c r="L75" i="11" s="1"/>
  <c r="J75" i="11"/>
  <c r="I75" i="11"/>
  <c r="Y74" i="11"/>
  <c r="Z74" i="11" s="1"/>
  <c r="X74" i="11"/>
  <c r="W74" i="11"/>
  <c r="K74" i="11"/>
  <c r="L74" i="11" s="1"/>
  <c r="J74" i="11"/>
  <c r="I74" i="11"/>
  <c r="Y73" i="11"/>
  <c r="Z73" i="11" s="1"/>
  <c r="X73" i="11"/>
  <c r="W73" i="11"/>
  <c r="K73" i="11"/>
  <c r="L73" i="11" s="1"/>
  <c r="J73" i="11"/>
  <c r="I73" i="11"/>
  <c r="Y72" i="11"/>
  <c r="Z72" i="11" s="1"/>
  <c r="X72" i="11"/>
  <c r="W72" i="11"/>
  <c r="K72" i="11"/>
  <c r="L72" i="11" s="1"/>
  <c r="J72" i="11"/>
  <c r="I72" i="11"/>
  <c r="Y71" i="11"/>
  <c r="Z71" i="11" s="1"/>
  <c r="Z77" i="11" s="1"/>
  <c r="X71" i="11"/>
  <c r="W71" i="11"/>
  <c r="K71" i="11"/>
  <c r="L71" i="11" s="1"/>
  <c r="L77" i="11" s="1"/>
  <c r="J71" i="11"/>
  <c r="I71" i="11"/>
  <c r="U70" i="11"/>
  <c r="G70" i="11"/>
  <c r="C68" i="11"/>
  <c r="P67" i="11"/>
  <c r="I67" i="11"/>
  <c r="K67" i="11" s="1"/>
  <c r="L67" i="11" s="1"/>
  <c r="B67" i="11"/>
  <c r="V66" i="11"/>
  <c r="V133" i="11" s="1"/>
  <c r="U66" i="11"/>
  <c r="U133" i="11" s="1"/>
  <c r="U138" i="11" s="1"/>
  <c r="U147" i="11" s="1"/>
  <c r="T66" i="11"/>
  <c r="S66" i="11"/>
  <c r="S133" i="11" s="1"/>
  <c r="R66" i="11"/>
  <c r="R133" i="11" s="1"/>
  <c r="Q66" i="11"/>
  <c r="I66" i="11"/>
  <c r="H66" i="11"/>
  <c r="G66" i="11"/>
  <c r="F66" i="11"/>
  <c r="E66" i="11"/>
  <c r="D66" i="11"/>
  <c r="C66" i="11"/>
  <c r="Y65" i="11"/>
  <c r="Z65" i="11" s="1"/>
  <c r="X65" i="11"/>
  <c r="W65" i="11"/>
  <c r="K65" i="11"/>
  <c r="L65" i="11" s="1"/>
  <c r="J65" i="11"/>
  <c r="I65" i="11"/>
  <c r="Y64" i="11"/>
  <c r="Z64" i="11" s="1"/>
  <c r="X64" i="11"/>
  <c r="W64" i="11"/>
  <c r="K64" i="11"/>
  <c r="L64" i="11" s="1"/>
  <c r="J64" i="11"/>
  <c r="I64" i="11"/>
  <c r="Y63" i="11"/>
  <c r="Z63" i="11" s="1"/>
  <c r="X63" i="11"/>
  <c r="W63" i="11"/>
  <c r="K63" i="11"/>
  <c r="L63" i="11" s="1"/>
  <c r="J63" i="11"/>
  <c r="I63" i="11"/>
  <c r="Y62" i="11"/>
  <c r="Z62" i="11" s="1"/>
  <c r="X62" i="11"/>
  <c r="W62" i="11"/>
  <c r="K62" i="11"/>
  <c r="L62" i="11" s="1"/>
  <c r="J62" i="11"/>
  <c r="I62" i="11"/>
  <c r="Y61" i="11"/>
  <c r="Z61" i="11" s="1"/>
  <c r="X61" i="11"/>
  <c r="W61" i="11"/>
  <c r="K61" i="11"/>
  <c r="L61" i="11" s="1"/>
  <c r="J61" i="11"/>
  <c r="I61" i="11"/>
  <c r="Y60" i="11"/>
  <c r="Z60" i="11" s="1"/>
  <c r="Z66" i="11" s="1"/>
  <c r="X60" i="11"/>
  <c r="W60" i="11"/>
  <c r="K60" i="11"/>
  <c r="L60" i="11" s="1"/>
  <c r="L66" i="11" s="1"/>
  <c r="J60" i="11"/>
  <c r="I60" i="11"/>
  <c r="U59" i="11"/>
  <c r="G59" i="11"/>
  <c r="P56" i="11"/>
  <c r="B56" i="11"/>
  <c r="W55" i="11"/>
  <c r="Y55" i="11" s="1"/>
  <c r="V55" i="11"/>
  <c r="V124" i="11" s="1"/>
  <c r="U55" i="11"/>
  <c r="T55" i="11"/>
  <c r="S55" i="11"/>
  <c r="S124" i="11" s="1"/>
  <c r="R55" i="11"/>
  <c r="R124" i="11" s="1"/>
  <c r="Q55" i="11"/>
  <c r="I55" i="11"/>
  <c r="H55" i="11"/>
  <c r="G55" i="11"/>
  <c r="F55" i="11"/>
  <c r="E55" i="11"/>
  <c r="D55" i="11"/>
  <c r="C55" i="11"/>
  <c r="Y54" i="11"/>
  <c r="Z54" i="11" s="1"/>
  <c r="W54" i="11"/>
  <c r="X54" i="11" s="1"/>
  <c r="K54" i="11"/>
  <c r="L54" i="11" s="1"/>
  <c r="I54" i="11"/>
  <c r="J54" i="11" s="1"/>
  <c r="Y53" i="11"/>
  <c r="Z53" i="11" s="1"/>
  <c r="W53" i="11"/>
  <c r="X53" i="11" s="1"/>
  <c r="K53" i="11"/>
  <c r="L53" i="11" s="1"/>
  <c r="I53" i="11"/>
  <c r="J53" i="11" s="1"/>
  <c r="Y52" i="11"/>
  <c r="Z52" i="11" s="1"/>
  <c r="W52" i="11"/>
  <c r="X52" i="11" s="1"/>
  <c r="K52" i="11"/>
  <c r="L52" i="11" s="1"/>
  <c r="I52" i="11"/>
  <c r="J52" i="11" s="1"/>
  <c r="Y51" i="11"/>
  <c r="Z51" i="11" s="1"/>
  <c r="W51" i="11"/>
  <c r="X51" i="11" s="1"/>
  <c r="K51" i="11"/>
  <c r="L51" i="11" s="1"/>
  <c r="I51" i="11"/>
  <c r="J51" i="11" s="1"/>
  <c r="Y50" i="11"/>
  <c r="Z50" i="11" s="1"/>
  <c r="W50" i="11"/>
  <c r="X50" i="11" s="1"/>
  <c r="K50" i="11"/>
  <c r="L50" i="11" s="1"/>
  <c r="I50" i="11"/>
  <c r="J50" i="11" s="1"/>
  <c r="Y49" i="11"/>
  <c r="Z49" i="11" s="1"/>
  <c r="Z55" i="11" s="1"/>
  <c r="W49" i="11"/>
  <c r="X49" i="11" s="1"/>
  <c r="K49" i="11"/>
  <c r="L49" i="11" s="1"/>
  <c r="L55" i="11" s="1"/>
  <c r="I49" i="11"/>
  <c r="J49" i="11" s="1"/>
  <c r="U48" i="11"/>
  <c r="G48" i="11"/>
  <c r="Q46" i="11"/>
  <c r="C46" i="11"/>
  <c r="P45" i="11"/>
  <c r="B45" i="11"/>
  <c r="Z44" i="11"/>
  <c r="V44" i="11"/>
  <c r="V123" i="11" s="1"/>
  <c r="U44" i="11"/>
  <c r="T44" i="11"/>
  <c r="T123" i="11" s="1"/>
  <c r="S44" i="11"/>
  <c r="S123" i="11" s="1"/>
  <c r="R44" i="11"/>
  <c r="R123" i="11" s="1"/>
  <c r="Q44" i="11"/>
  <c r="Q123" i="11" s="1"/>
  <c r="I44" i="11"/>
  <c r="H44" i="11"/>
  <c r="G44" i="11"/>
  <c r="F44" i="11"/>
  <c r="E44" i="11"/>
  <c r="D44" i="11"/>
  <c r="C44" i="11"/>
  <c r="Y43" i="11"/>
  <c r="Z43" i="11" s="1"/>
  <c r="W43" i="11"/>
  <c r="X43" i="11" s="1"/>
  <c r="K43" i="11"/>
  <c r="L43" i="11" s="1"/>
  <c r="I43" i="11"/>
  <c r="J43" i="11" s="1"/>
  <c r="Z42" i="11"/>
  <c r="Y42" i="11"/>
  <c r="W42" i="11"/>
  <c r="X42" i="11" s="1"/>
  <c r="L42" i="11"/>
  <c r="K42" i="11"/>
  <c r="I42" i="11"/>
  <c r="J42" i="11" s="1"/>
  <c r="Y41" i="11"/>
  <c r="Z41" i="11" s="1"/>
  <c r="W41" i="11"/>
  <c r="X41" i="11" s="1"/>
  <c r="K41" i="11"/>
  <c r="L41" i="11" s="1"/>
  <c r="I41" i="11"/>
  <c r="J41" i="11" s="1"/>
  <c r="Z40" i="11"/>
  <c r="Y40" i="11"/>
  <c r="W40" i="11"/>
  <c r="X40" i="11" s="1"/>
  <c r="L40" i="11"/>
  <c r="K40" i="11"/>
  <c r="I40" i="11"/>
  <c r="J40" i="11" s="1"/>
  <c r="Y39" i="11"/>
  <c r="Z39" i="11" s="1"/>
  <c r="W39" i="11"/>
  <c r="X39" i="11" s="1"/>
  <c r="K39" i="11"/>
  <c r="L39" i="11" s="1"/>
  <c r="I39" i="11"/>
  <c r="J39" i="11" s="1"/>
  <c r="Z38" i="11"/>
  <c r="Y38" i="11"/>
  <c r="W38" i="11"/>
  <c r="X38" i="11" s="1"/>
  <c r="L38" i="11"/>
  <c r="L44" i="11" s="1"/>
  <c r="K38" i="11"/>
  <c r="I38" i="11"/>
  <c r="J38" i="11" s="1"/>
  <c r="U37" i="11"/>
  <c r="G37" i="11"/>
  <c r="Q35" i="11"/>
  <c r="B35" i="11"/>
  <c r="P34" i="11"/>
  <c r="B34" i="11"/>
  <c r="V33" i="11"/>
  <c r="V122" i="11" s="1"/>
  <c r="U33" i="11"/>
  <c r="T33" i="11"/>
  <c r="W33" i="11" s="1"/>
  <c r="S33" i="11"/>
  <c r="S122" i="11" s="1"/>
  <c r="R33" i="11"/>
  <c r="R122" i="11" s="1"/>
  <c r="Q33" i="11"/>
  <c r="Q122" i="11" s="1"/>
  <c r="H33" i="11"/>
  <c r="G33" i="11"/>
  <c r="F33" i="11"/>
  <c r="E33" i="11"/>
  <c r="D33" i="11"/>
  <c r="C33" i="11"/>
  <c r="X32" i="11"/>
  <c r="W32" i="11"/>
  <c r="Y32" i="11" s="1"/>
  <c r="Z32" i="11" s="1"/>
  <c r="I32" i="11"/>
  <c r="K32" i="11" s="1"/>
  <c r="L32" i="11" s="1"/>
  <c r="X31" i="11"/>
  <c r="W31" i="11"/>
  <c r="Y31" i="11" s="1"/>
  <c r="Z31" i="11" s="1"/>
  <c r="I31" i="11"/>
  <c r="K31" i="11" s="1"/>
  <c r="L31" i="11" s="1"/>
  <c r="X30" i="11"/>
  <c r="W30" i="11"/>
  <c r="Y30" i="11" s="1"/>
  <c r="Z30" i="11" s="1"/>
  <c r="I30" i="11"/>
  <c r="K30" i="11" s="1"/>
  <c r="L30" i="11" s="1"/>
  <c r="X29" i="11"/>
  <c r="W29" i="11"/>
  <c r="Y29" i="11" s="1"/>
  <c r="Z29" i="11" s="1"/>
  <c r="I29" i="11"/>
  <c r="K29" i="11" s="1"/>
  <c r="L29" i="11" s="1"/>
  <c r="X28" i="11"/>
  <c r="W28" i="11"/>
  <c r="Y28" i="11" s="1"/>
  <c r="Z28" i="11" s="1"/>
  <c r="I28" i="11"/>
  <c r="K28" i="11" s="1"/>
  <c r="L28" i="11" s="1"/>
  <c r="X27" i="11"/>
  <c r="W27" i="11"/>
  <c r="Y27" i="11" s="1"/>
  <c r="Z27" i="11" s="1"/>
  <c r="Z33" i="11" s="1"/>
  <c r="I27" i="11"/>
  <c r="K27" i="11" s="1"/>
  <c r="L27" i="11" s="1"/>
  <c r="L33" i="11" s="1"/>
  <c r="U26" i="11"/>
  <c r="Q26" i="11"/>
  <c r="Q37" i="11" s="1"/>
  <c r="Q48" i="11" s="1"/>
  <c r="Q59" i="11" s="1"/>
  <c r="Q70" i="11" s="1"/>
  <c r="Q81" i="11" s="1"/>
  <c r="Q92" i="11" s="1"/>
  <c r="Q103" i="11" s="1"/>
  <c r="G26" i="11"/>
  <c r="F26" i="11"/>
  <c r="C26" i="11"/>
  <c r="C37" i="11" s="1"/>
  <c r="C48" i="11" s="1"/>
  <c r="C59" i="11" s="1"/>
  <c r="C70" i="11" s="1"/>
  <c r="C81" i="11" s="1"/>
  <c r="C92" i="11" s="1"/>
  <c r="C103" i="11" s="1"/>
  <c r="P24" i="11"/>
  <c r="C24" i="11"/>
  <c r="P23" i="11"/>
  <c r="B23" i="11"/>
  <c r="V22" i="11"/>
  <c r="V121" i="11" s="1"/>
  <c r="U22" i="11"/>
  <c r="T22" i="11"/>
  <c r="T121" i="11" s="1"/>
  <c r="S22" i="11"/>
  <c r="S121" i="11" s="1"/>
  <c r="R22" i="11"/>
  <c r="R121" i="11" s="1"/>
  <c r="Q22" i="11"/>
  <c r="Q121" i="11" s="1"/>
  <c r="H22" i="11"/>
  <c r="G22" i="11"/>
  <c r="F22" i="11"/>
  <c r="E22" i="11"/>
  <c r="D22" i="11"/>
  <c r="C22" i="11"/>
  <c r="Z21" i="11"/>
  <c r="Y21" i="11"/>
  <c r="W21" i="11"/>
  <c r="X21" i="11" s="1"/>
  <c r="K21" i="11"/>
  <c r="L21" i="11" s="1"/>
  <c r="I21" i="11"/>
  <c r="J21" i="11" s="1"/>
  <c r="Y20" i="11"/>
  <c r="Z20" i="11" s="1"/>
  <c r="W20" i="11"/>
  <c r="X20" i="11" s="1"/>
  <c r="L20" i="11"/>
  <c r="K20" i="11"/>
  <c r="I20" i="11"/>
  <c r="J20" i="11" s="1"/>
  <c r="Z19" i="11"/>
  <c r="Y19" i="11"/>
  <c r="W19" i="11"/>
  <c r="X19" i="11" s="1"/>
  <c r="K19" i="11"/>
  <c r="L19" i="11" s="1"/>
  <c r="I19" i="11"/>
  <c r="J19" i="11" s="1"/>
  <c r="Y18" i="11"/>
  <c r="Z18" i="11" s="1"/>
  <c r="W18" i="11"/>
  <c r="X18" i="11" s="1"/>
  <c r="L18" i="11"/>
  <c r="K18" i="11"/>
  <c r="I18" i="11"/>
  <c r="J18" i="11" s="1"/>
  <c r="Z17" i="11"/>
  <c r="Y17" i="11"/>
  <c r="W17" i="11"/>
  <c r="X17" i="11" s="1"/>
  <c r="K17" i="11"/>
  <c r="L17" i="11" s="1"/>
  <c r="I17" i="11"/>
  <c r="J17" i="11" s="1"/>
  <c r="Y16" i="11"/>
  <c r="Z16" i="11" s="1"/>
  <c r="Z22" i="11" s="1"/>
  <c r="W16" i="11"/>
  <c r="X16" i="11" s="1"/>
  <c r="L16" i="11"/>
  <c r="L22" i="11" s="1"/>
  <c r="K16" i="11"/>
  <c r="I16" i="11"/>
  <c r="J16" i="11" s="1"/>
  <c r="U15" i="11"/>
  <c r="Q15" i="11"/>
  <c r="G15" i="11"/>
  <c r="C15" i="11"/>
  <c r="P13" i="11"/>
  <c r="B13" i="11"/>
  <c r="Q12" i="11"/>
  <c r="Q13" i="11" s="1"/>
  <c r="P12" i="11"/>
  <c r="V11" i="11"/>
  <c r="V120" i="11" s="1"/>
  <c r="U11" i="11"/>
  <c r="U120" i="11" s="1"/>
  <c r="T11" i="11"/>
  <c r="S11" i="11"/>
  <c r="S120" i="11" s="1"/>
  <c r="S125" i="11" s="1"/>
  <c r="S146" i="11" s="1"/>
  <c r="R11" i="11"/>
  <c r="R120" i="11" s="1"/>
  <c r="Q11" i="11"/>
  <c r="Q120" i="11" s="1"/>
  <c r="I11" i="11"/>
  <c r="I12" i="11" s="1"/>
  <c r="H11" i="11"/>
  <c r="G11" i="11"/>
  <c r="F11" i="11"/>
  <c r="E11" i="11"/>
  <c r="D11" i="11"/>
  <c r="C11" i="11"/>
  <c r="Y10" i="11"/>
  <c r="Z10" i="11" s="1"/>
  <c r="X10" i="11"/>
  <c r="W10" i="11"/>
  <c r="K10" i="11"/>
  <c r="L10" i="11" s="1"/>
  <c r="J10" i="11"/>
  <c r="I10" i="11"/>
  <c r="Y9" i="11"/>
  <c r="Z9" i="11" s="1"/>
  <c r="X9" i="11"/>
  <c r="W9" i="11"/>
  <c r="K9" i="11"/>
  <c r="L9" i="11" s="1"/>
  <c r="J9" i="11"/>
  <c r="I9" i="11"/>
  <c r="Y8" i="11"/>
  <c r="Z8" i="11" s="1"/>
  <c r="X8" i="11"/>
  <c r="W8" i="11"/>
  <c r="K8" i="11"/>
  <c r="L8" i="11" s="1"/>
  <c r="J8" i="11"/>
  <c r="I8" i="11"/>
  <c r="Y7" i="11"/>
  <c r="Z7" i="11" s="1"/>
  <c r="X7" i="11"/>
  <c r="W7" i="11"/>
  <c r="K7" i="11"/>
  <c r="L7" i="11" s="1"/>
  <c r="J7" i="11"/>
  <c r="I7" i="11"/>
  <c r="Y6" i="11"/>
  <c r="Z6" i="11" s="1"/>
  <c r="X6" i="11"/>
  <c r="W6" i="11"/>
  <c r="K6" i="11"/>
  <c r="L6" i="11" s="1"/>
  <c r="J6" i="11"/>
  <c r="I6" i="11"/>
  <c r="Y5" i="11"/>
  <c r="Z5" i="11" s="1"/>
  <c r="Z11" i="11" s="1"/>
  <c r="X5" i="11"/>
  <c r="W5" i="11"/>
  <c r="K5" i="11"/>
  <c r="L5" i="11" s="1"/>
  <c r="L11" i="11" s="1"/>
  <c r="J5" i="11"/>
  <c r="I5" i="11"/>
  <c r="U4" i="11"/>
  <c r="T4" i="11"/>
  <c r="T26" i="11" s="1"/>
  <c r="K4" i="11"/>
  <c r="K15" i="11" s="1"/>
  <c r="F4" i="11"/>
  <c r="F70" i="11" s="1"/>
  <c r="Y144" i="10"/>
  <c r="Q139" i="10"/>
  <c r="P139" i="10"/>
  <c r="V137" i="10"/>
  <c r="R137" i="10"/>
  <c r="Q137" i="10"/>
  <c r="P137" i="10"/>
  <c r="S136" i="10"/>
  <c r="R136" i="10"/>
  <c r="P136" i="10"/>
  <c r="R135" i="10"/>
  <c r="Q135" i="10"/>
  <c r="P135" i="10"/>
  <c r="S134" i="10"/>
  <c r="P134" i="10"/>
  <c r="V133" i="10"/>
  <c r="P133" i="10"/>
  <c r="U131" i="10"/>
  <c r="P126" i="10"/>
  <c r="U124" i="10"/>
  <c r="P124" i="10"/>
  <c r="T123" i="10"/>
  <c r="P123" i="10"/>
  <c r="P122" i="10"/>
  <c r="P121" i="10"/>
  <c r="P120" i="10"/>
  <c r="U118" i="10"/>
  <c r="C112" i="10"/>
  <c r="P111" i="10"/>
  <c r="I111" i="10"/>
  <c r="B111" i="10"/>
  <c r="V110" i="10"/>
  <c r="U110" i="10"/>
  <c r="U137" i="10" s="1"/>
  <c r="T110" i="10"/>
  <c r="S110" i="10"/>
  <c r="S137" i="10" s="1"/>
  <c r="R110" i="10"/>
  <c r="Q110" i="10"/>
  <c r="Q112" i="10" s="1"/>
  <c r="I110" i="10"/>
  <c r="H110" i="10"/>
  <c r="G110" i="10"/>
  <c r="F110" i="10"/>
  <c r="E110" i="10"/>
  <c r="D110" i="10"/>
  <c r="C110" i="10"/>
  <c r="Y109" i="10"/>
  <c r="Z109" i="10" s="1"/>
  <c r="X109" i="10"/>
  <c r="W109" i="10"/>
  <c r="K109" i="10"/>
  <c r="L109" i="10" s="1"/>
  <c r="J109" i="10"/>
  <c r="I109" i="10"/>
  <c r="Y108" i="10"/>
  <c r="Z108" i="10" s="1"/>
  <c r="X108" i="10"/>
  <c r="W108" i="10"/>
  <c r="K108" i="10"/>
  <c r="L108" i="10" s="1"/>
  <c r="J108" i="10"/>
  <c r="I108" i="10"/>
  <c r="Y107" i="10"/>
  <c r="Z107" i="10" s="1"/>
  <c r="X107" i="10"/>
  <c r="W107" i="10"/>
  <c r="K107" i="10"/>
  <c r="L107" i="10" s="1"/>
  <c r="J107" i="10"/>
  <c r="I107" i="10"/>
  <c r="Z106" i="10"/>
  <c r="Y106" i="10"/>
  <c r="X106" i="10"/>
  <c r="W106" i="10"/>
  <c r="L106" i="10"/>
  <c r="K106" i="10"/>
  <c r="J106" i="10"/>
  <c r="I106" i="10"/>
  <c r="Z105" i="10"/>
  <c r="Y105" i="10"/>
  <c r="X105" i="10"/>
  <c r="W105" i="10"/>
  <c r="L105" i="10"/>
  <c r="K105" i="10"/>
  <c r="J105" i="10"/>
  <c r="I105" i="10"/>
  <c r="Z104" i="10"/>
  <c r="Z110" i="10" s="1"/>
  <c r="Y104" i="10"/>
  <c r="X104" i="10"/>
  <c r="W104" i="10"/>
  <c r="L104" i="10"/>
  <c r="L110" i="10" s="1"/>
  <c r="K104" i="10"/>
  <c r="J104" i="10"/>
  <c r="I104" i="10"/>
  <c r="U103" i="10"/>
  <c r="G103" i="10"/>
  <c r="C101" i="10"/>
  <c r="P100" i="10"/>
  <c r="B100" i="10"/>
  <c r="V99" i="10"/>
  <c r="V136" i="10" s="1"/>
  <c r="U99" i="10"/>
  <c r="U136" i="10" s="1"/>
  <c r="T99" i="10"/>
  <c r="S99" i="10"/>
  <c r="R99" i="10"/>
  <c r="Q99" i="10"/>
  <c r="I99" i="10"/>
  <c r="K99" i="10" s="1"/>
  <c r="H99" i="10"/>
  <c r="G99" i="10"/>
  <c r="F99" i="10"/>
  <c r="E99" i="10"/>
  <c r="D99" i="10"/>
  <c r="C99" i="10"/>
  <c r="Y98" i="10"/>
  <c r="Z98" i="10" s="1"/>
  <c r="X98" i="10"/>
  <c r="W98" i="10"/>
  <c r="K98" i="10"/>
  <c r="L98" i="10" s="1"/>
  <c r="J98" i="10"/>
  <c r="I98" i="10"/>
  <c r="Y97" i="10"/>
  <c r="Z97" i="10" s="1"/>
  <c r="X97" i="10"/>
  <c r="W97" i="10"/>
  <c r="K97" i="10"/>
  <c r="L97" i="10" s="1"/>
  <c r="J97" i="10"/>
  <c r="I97" i="10"/>
  <c r="Y96" i="10"/>
  <c r="Z96" i="10" s="1"/>
  <c r="X96" i="10"/>
  <c r="W96" i="10"/>
  <c r="K96" i="10"/>
  <c r="L96" i="10" s="1"/>
  <c r="J96" i="10"/>
  <c r="I96" i="10"/>
  <c r="Y95" i="10"/>
  <c r="Z95" i="10" s="1"/>
  <c r="X95" i="10"/>
  <c r="W95" i="10"/>
  <c r="K95" i="10"/>
  <c r="L95" i="10" s="1"/>
  <c r="J95" i="10"/>
  <c r="I95" i="10"/>
  <c r="Y94" i="10"/>
  <c r="Z94" i="10" s="1"/>
  <c r="X94" i="10"/>
  <c r="W94" i="10"/>
  <c r="K94" i="10"/>
  <c r="L94" i="10" s="1"/>
  <c r="J94" i="10"/>
  <c r="I94" i="10"/>
  <c r="Y93" i="10"/>
  <c r="Z93" i="10" s="1"/>
  <c r="Z99" i="10" s="1"/>
  <c r="X93" i="10"/>
  <c r="W93" i="10"/>
  <c r="K93" i="10"/>
  <c r="L93" i="10" s="1"/>
  <c r="L99" i="10" s="1"/>
  <c r="J93" i="10"/>
  <c r="I93" i="10"/>
  <c r="U92" i="10"/>
  <c r="G92" i="10"/>
  <c r="Q90" i="10"/>
  <c r="C90" i="10"/>
  <c r="P89" i="10"/>
  <c r="B89" i="10"/>
  <c r="V88" i="10"/>
  <c r="V135" i="10" s="1"/>
  <c r="U88" i="10"/>
  <c r="U135" i="10" s="1"/>
  <c r="T88" i="10"/>
  <c r="S88" i="10"/>
  <c r="S135" i="10" s="1"/>
  <c r="R88" i="10"/>
  <c r="Q88" i="10"/>
  <c r="H88" i="10"/>
  <c r="G88" i="10"/>
  <c r="F88" i="10"/>
  <c r="E88" i="10"/>
  <c r="D88" i="10"/>
  <c r="C88" i="10"/>
  <c r="Z87" i="10"/>
  <c r="Y87" i="10"/>
  <c r="X87" i="10"/>
  <c r="W87" i="10"/>
  <c r="L87" i="10"/>
  <c r="K87" i="10"/>
  <c r="J87" i="10"/>
  <c r="I87" i="10"/>
  <c r="Z86" i="10"/>
  <c r="Y86" i="10"/>
  <c r="X86" i="10"/>
  <c r="W86" i="10"/>
  <c r="L86" i="10"/>
  <c r="K86" i="10"/>
  <c r="J86" i="10"/>
  <c r="I86" i="10"/>
  <c r="Z85" i="10"/>
  <c r="Y85" i="10"/>
  <c r="X85" i="10"/>
  <c r="W85" i="10"/>
  <c r="L85" i="10"/>
  <c r="K85" i="10"/>
  <c r="J85" i="10"/>
  <c r="I85" i="10"/>
  <c r="Z84" i="10"/>
  <c r="Y84" i="10"/>
  <c r="X84" i="10"/>
  <c r="W84" i="10"/>
  <c r="L84" i="10"/>
  <c r="K84" i="10"/>
  <c r="J84" i="10"/>
  <c r="I84" i="10"/>
  <c r="Z83" i="10"/>
  <c r="Y83" i="10"/>
  <c r="X83" i="10"/>
  <c r="W83" i="10"/>
  <c r="L83" i="10"/>
  <c r="K83" i="10"/>
  <c r="J83" i="10"/>
  <c r="I83" i="10"/>
  <c r="Z82" i="10"/>
  <c r="Z88" i="10" s="1"/>
  <c r="Y82" i="10"/>
  <c r="X82" i="10"/>
  <c r="W82" i="10"/>
  <c r="L82" i="10"/>
  <c r="L88" i="10" s="1"/>
  <c r="K82" i="10"/>
  <c r="J82" i="10"/>
  <c r="I82" i="10"/>
  <c r="U81" i="10"/>
  <c r="G81" i="10"/>
  <c r="C79" i="10"/>
  <c r="P78" i="10"/>
  <c r="B78" i="10"/>
  <c r="V77" i="10"/>
  <c r="V134" i="10" s="1"/>
  <c r="U77" i="10"/>
  <c r="U134" i="10" s="1"/>
  <c r="T77" i="10"/>
  <c r="S77" i="10"/>
  <c r="R77" i="10"/>
  <c r="R134" i="10" s="1"/>
  <c r="Q77" i="10"/>
  <c r="I77" i="10"/>
  <c r="K77" i="10" s="1"/>
  <c r="H77" i="10"/>
  <c r="G77" i="10"/>
  <c r="F77" i="10"/>
  <c r="E77" i="10"/>
  <c r="D77" i="10"/>
  <c r="C77" i="10"/>
  <c r="Y76" i="10"/>
  <c r="Z76" i="10" s="1"/>
  <c r="X76" i="10"/>
  <c r="W76" i="10"/>
  <c r="K76" i="10"/>
  <c r="L76" i="10" s="1"/>
  <c r="J76" i="10"/>
  <c r="I76" i="10"/>
  <c r="Y75" i="10"/>
  <c r="Z75" i="10" s="1"/>
  <c r="X75" i="10"/>
  <c r="W75" i="10"/>
  <c r="K75" i="10"/>
  <c r="L75" i="10" s="1"/>
  <c r="J75" i="10"/>
  <c r="I75" i="10"/>
  <c r="Y74" i="10"/>
  <c r="Z74" i="10" s="1"/>
  <c r="X74" i="10"/>
  <c r="W74" i="10"/>
  <c r="K74" i="10"/>
  <c r="L74" i="10" s="1"/>
  <c r="J74" i="10"/>
  <c r="I74" i="10"/>
  <c r="Y73" i="10"/>
  <c r="Z73" i="10" s="1"/>
  <c r="X73" i="10"/>
  <c r="W73" i="10"/>
  <c r="K73" i="10"/>
  <c r="L73" i="10" s="1"/>
  <c r="J73" i="10"/>
  <c r="I73" i="10"/>
  <c r="Y72" i="10"/>
  <c r="Z72" i="10" s="1"/>
  <c r="X72" i="10"/>
  <c r="W72" i="10"/>
  <c r="K72" i="10"/>
  <c r="L72" i="10" s="1"/>
  <c r="J72" i="10"/>
  <c r="I72" i="10"/>
  <c r="Y71" i="10"/>
  <c r="Z71" i="10" s="1"/>
  <c r="Z77" i="10" s="1"/>
  <c r="X71" i="10"/>
  <c r="W71" i="10"/>
  <c r="K71" i="10"/>
  <c r="L71" i="10" s="1"/>
  <c r="L77" i="10" s="1"/>
  <c r="J71" i="10"/>
  <c r="I71" i="10"/>
  <c r="U70" i="10"/>
  <c r="G70" i="10"/>
  <c r="Q68" i="10"/>
  <c r="C68" i="10"/>
  <c r="P67" i="10"/>
  <c r="B67" i="10"/>
  <c r="V66" i="10"/>
  <c r="U66" i="10"/>
  <c r="U133" i="10" s="1"/>
  <c r="U138" i="10" s="1"/>
  <c r="U147" i="10" s="1"/>
  <c r="T66" i="10"/>
  <c r="S66" i="10"/>
  <c r="S133" i="10" s="1"/>
  <c r="S138" i="10" s="1"/>
  <c r="S147" i="10" s="1"/>
  <c r="R66" i="10"/>
  <c r="R133" i="10" s="1"/>
  <c r="R138" i="10" s="1"/>
  <c r="R147" i="10" s="1"/>
  <c r="Q66" i="10"/>
  <c r="Q133" i="10" s="1"/>
  <c r="H66" i="10"/>
  <c r="G66" i="10"/>
  <c r="F66" i="10"/>
  <c r="E66" i="10"/>
  <c r="D66" i="10"/>
  <c r="C66" i="10"/>
  <c r="Z65" i="10"/>
  <c r="Y65" i="10"/>
  <c r="X65" i="10"/>
  <c r="W65" i="10"/>
  <c r="L65" i="10"/>
  <c r="K65" i="10"/>
  <c r="J65" i="10"/>
  <c r="I65" i="10"/>
  <c r="Z64" i="10"/>
  <c r="Y64" i="10"/>
  <c r="X64" i="10"/>
  <c r="W64" i="10"/>
  <c r="L64" i="10"/>
  <c r="K64" i="10"/>
  <c r="J64" i="10"/>
  <c r="I64" i="10"/>
  <c r="Z63" i="10"/>
  <c r="Y63" i="10"/>
  <c r="X63" i="10"/>
  <c r="W63" i="10"/>
  <c r="L63" i="10"/>
  <c r="K63" i="10"/>
  <c r="J63" i="10"/>
  <c r="I63" i="10"/>
  <c r="Z62" i="10"/>
  <c r="Y62" i="10"/>
  <c r="X62" i="10"/>
  <c r="W62" i="10"/>
  <c r="L62" i="10"/>
  <c r="K62" i="10"/>
  <c r="J62" i="10"/>
  <c r="I62" i="10"/>
  <c r="Z61" i="10"/>
  <c r="Y61" i="10"/>
  <c r="X61" i="10"/>
  <c r="W61" i="10"/>
  <c r="L61" i="10"/>
  <c r="K61" i="10"/>
  <c r="J61" i="10"/>
  <c r="I61" i="10"/>
  <c r="Z60" i="10"/>
  <c r="Z66" i="10" s="1"/>
  <c r="Y60" i="10"/>
  <c r="X60" i="10"/>
  <c r="W60" i="10"/>
  <c r="L60" i="10"/>
  <c r="L66" i="10" s="1"/>
  <c r="K60" i="10"/>
  <c r="J60" i="10"/>
  <c r="I60" i="10"/>
  <c r="U59" i="10"/>
  <c r="G59" i="10"/>
  <c r="Q57" i="10"/>
  <c r="P56" i="10"/>
  <c r="B56" i="10"/>
  <c r="W55" i="10"/>
  <c r="W56" i="10" s="1"/>
  <c r="Y56" i="10" s="1"/>
  <c r="Z56" i="10" s="1"/>
  <c r="V55" i="10"/>
  <c r="V124" i="10" s="1"/>
  <c r="U55" i="10"/>
  <c r="T55" i="10"/>
  <c r="T124" i="10" s="1"/>
  <c r="S55" i="10"/>
  <c r="S124" i="10" s="1"/>
  <c r="R55" i="10"/>
  <c r="R124" i="10" s="1"/>
  <c r="Q55" i="10"/>
  <c r="Q124" i="10" s="1"/>
  <c r="H55" i="10"/>
  <c r="G55" i="10"/>
  <c r="F55" i="10"/>
  <c r="E55" i="10"/>
  <c r="D55" i="10"/>
  <c r="C55" i="10"/>
  <c r="C57" i="10" s="1"/>
  <c r="Z54" i="10"/>
  <c r="W54" i="10"/>
  <c r="Y54" i="10" s="1"/>
  <c r="L54" i="10"/>
  <c r="I54" i="10"/>
  <c r="K54" i="10" s="1"/>
  <c r="Z53" i="10"/>
  <c r="W53" i="10"/>
  <c r="Y53" i="10" s="1"/>
  <c r="L53" i="10"/>
  <c r="I53" i="10"/>
  <c r="K53" i="10" s="1"/>
  <c r="Z52" i="10"/>
  <c r="W52" i="10"/>
  <c r="Y52" i="10" s="1"/>
  <c r="L52" i="10"/>
  <c r="I52" i="10"/>
  <c r="K52" i="10" s="1"/>
  <c r="Z51" i="10"/>
  <c r="W51" i="10"/>
  <c r="Y51" i="10" s="1"/>
  <c r="L51" i="10"/>
  <c r="I51" i="10"/>
  <c r="K51" i="10" s="1"/>
  <c r="Z50" i="10"/>
  <c r="W50" i="10"/>
  <c r="Y50" i="10" s="1"/>
  <c r="L50" i="10"/>
  <c r="I50" i="10"/>
  <c r="K50" i="10" s="1"/>
  <c r="Z49" i="10"/>
  <c r="Z55" i="10" s="1"/>
  <c r="W49" i="10"/>
  <c r="Y49" i="10" s="1"/>
  <c r="L49" i="10"/>
  <c r="L55" i="10" s="1"/>
  <c r="I49" i="10"/>
  <c r="K49" i="10" s="1"/>
  <c r="U48" i="10"/>
  <c r="G48" i="10"/>
  <c r="Q46" i="10"/>
  <c r="P45" i="10"/>
  <c r="B45" i="10"/>
  <c r="W44" i="10"/>
  <c r="W45" i="10" s="1"/>
  <c r="Y45" i="10" s="1"/>
  <c r="Z45" i="10" s="1"/>
  <c r="V44" i="10"/>
  <c r="V123" i="10" s="1"/>
  <c r="U44" i="10"/>
  <c r="U123" i="10" s="1"/>
  <c r="T44" i="10"/>
  <c r="S44" i="10"/>
  <c r="S123" i="10" s="1"/>
  <c r="R44" i="10"/>
  <c r="R123" i="10" s="1"/>
  <c r="Q44" i="10"/>
  <c r="Q123" i="10" s="1"/>
  <c r="H44" i="10"/>
  <c r="G44" i="10"/>
  <c r="F44" i="10"/>
  <c r="E44" i="10"/>
  <c r="D44" i="10"/>
  <c r="C44" i="10"/>
  <c r="C46" i="10" s="1"/>
  <c r="Z43" i="10"/>
  <c r="W43" i="10"/>
  <c r="Y43" i="10" s="1"/>
  <c r="L43" i="10"/>
  <c r="I43" i="10"/>
  <c r="K43" i="10" s="1"/>
  <c r="Z42" i="10"/>
  <c r="W42" i="10"/>
  <c r="Y42" i="10" s="1"/>
  <c r="L42" i="10"/>
  <c r="I42" i="10"/>
  <c r="K42" i="10" s="1"/>
  <c r="Z41" i="10"/>
  <c r="W41" i="10"/>
  <c r="Y41" i="10" s="1"/>
  <c r="L41" i="10"/>
  <c r="I41" i="10"/>
  <c r="K41" i="10" s="1"/>
  <c r="Z40" i="10"/>
  <c r="W40" i="10"/>
  <c r="Y40" i="10" s="1"/>
  <c r="L40" i="10"/>
  <c r="I40" i="10"/>
  <c r="K40" i="10" s="1"/>
  <c r="Z39" i="10"/>
  <c r="W39" i="10"/>
  <c r="Y39" i="10" s="1"/>
  <c r="L39" i="10"/>
  <c r="I39" i="10"/>
  <c r="K39" i="10" s="1"/>
  <c r="Z38" i="10"/>
  <c r="Z44" i="10" s="1"/>
  <c r="W38" i="10"/>
  <c r="Y38" i="10" s="1"/>
  <c r="L38" i="10"/>
  <c r="L44" i="10" s="1"/>
  <c r="I38" i="10"/>
  <c r="K38" i="10" s="1"/>
  <c r="U37" i="10"/>
  <c r="G37" i="10"/>
  <c r="Q35" i="10"/>
  <c r="B35" i="10"/>
  <c r="P34" i="10"/>
  <c r="C34" i="10"/>
  <c r="C35" i="10" s="1"/>
  <c r="B34" i="10"/>
  <c r="V33" i="10"/>
  <c r="V122" i="10" s="1"/>
  <c r="U33" i="10"/>
  <c r="U122" i="10" s="1"/>
  <c r="T33" i="10"/>
  <c r="S33" i="10"/>
  <c r="S122" i="10" s="1"/>
  <c r="R33" i="10"/>
  <c r="R122" i="10" s="1"/>
  <c r="Q33" i="10"/>
  <c r="Q122" i="10" s="1"/>
  <c r="L33" i="10"/>
  <c r="I33" i="10"/>
  <c r="K33" i="10" s="1"/>
  <c r="H33" i="10"/>
  <c r="G33" i="10"/>
  <c r="F33" i="10"/>
  <c r="E33" i="10"/>
  <c r="D33" i="10"/>
  <c r="C33" i="10"/>
  <c r="Y32" i="10"/>
  <c r="Z32" i="10" s="1"/>
  <c r="X32" i="10"/>
  <c r="W32" i="10"/>
  <c r="K32" i="10"/>
  <c r="L32" i="10" s="1"/>
  <c r="J32" i="10"/>
  <c r="I32" i="10"/>
  <c r="Y31" i="10"/>
  <c r="Z31" i="10" s="1"/>
  <c r="X31" i="10"/>
  <c r="W31" i="10"/>
  <c r="K31" i="10"/>
  <c r="L31" i="10" s="1"/>
  <c r="J31" i="10"/>
  <c r="I31" i="10"/>
  <c r="Y30" i="10"/>
  <c r="Z30" i="10" s="1"/>
  <c r="X30" i="10"/>
  <c r="W30" i="10"/>
  <c r="K30" i="10"/>
  <c r="L30" i="10" s="1"/>
  <c r="J30" i="10"/>
  <c r="I30" i="10"/>
  <c r="Y29" i="10"/>
  <c r="Z29" i="10" s="1"/>
  <c r="X29" i="10"/>
  <c r="W29" i="10"/>
  <c r="K29" i="10"/>
  <c r="L29" i="10" s="1"/>
  <c r="J29" i="10"/>
  <c r="I29" i="10"/>
  <c r="Y28" i="10"/>
  <c r="Z28" i="10" s="1"/>
  <c r="X28" i="10"/>
  <c r="W28" i="10"/>
  <c r="K28" i="10"/>
  <c r="L28" i="10" s="1"/>
  <c r="J28" i="10"/>
  <c r="I28" i="10"/>
  <c r="Y27" i="10"/>
  <c r="Z27" i="10" s="1"/>
  <c r="Z33" i="10" s="1"/>
  <c r="X27" i="10"/>
  <c r="W27" i="10"/>
  <c r="K27" i="10"/>
  <c r="L27" i="10" s="1"/>
  <c r="J27" i="10"/>
  <c r="I27" i="10"/>
  <c r="U26" i="10"/>
  <c r="G26" i="10"/>
  <c r="P24" i="10"/>
  <c r="C24" i="10"/>
  <c r="W23" i="10"/>
  <c r="P23" i="10"/>
  <c r="B23" i="10"/>
  <c r="W22" i="10"/>
  <c r="Y22" i="10" s="1"/>
  <c r="V22" i="10"/>
  <c r="V121" i="10" s="1"/>
  <c r="U22" i="10"/>
  <c r="U121" i="10" s="1"/>
  <c r="T22" i="10"/>
  <c r="T121" i="10" s="1"/>
  <c r="S22" i="10"/>
  <c r="S121" i="10" s="1"/>
  <c r="R22" i="10"/>
  <c r="R121" i="10" s="1"/>
  <c r="Q22" i="10"/>
  <c r="Q121" i="10" s="1"/>
  <c r="H22" i="10"/>
  <c r="G22" i="10"/>
  <c r="F22" i="10"/>
  <c r="E22" i="10"/>
  <c r="D22" i="10"/>
  <c r="C22" i="10"/>
  <c r="Z21" i="10"/>
  <c r="W21" i="10"/>
  <c r="Y21" i="10" s="1"/>
  <c r="I21" i="10"/>
  <c r="K21" i="10" s="1"/>
  <c r="L21" i="10" s="1"/>
  <c r="Z20" i="10"/>
  <c r="W20" i="10"/>
  <c r="Y20" i="10" s="1"/>
  <c r="I20" i="10"/>
  <c r="K20" i="10" s="1"/>
  <c r="L20" i="10" s="1"/>
  <c r="Z19" i="10"/>
  <c r="W19" i="10"/>
  <c r="Y19" i="10" s="1"/>
  <c r="I19" i="10"/>
  <c r="K19" i="10" s="1"/>
  <c r="L19" i="10" s="1"/>
  <c r="Z18" i="10"/>
  <c r="W18" i="10"/>
  <c r="Y18" i="10" s="1"/>
  <c r="I18" i="10"/>
  <c r="K18" i="10" s="1"/>
  <c r="L18" i="10" s="1"/>
  <c r="Z17" i="10"/>
  <c r="W17" i="10"/>
  <c r="Y17" i="10" s="1"/>
  <c r="I17" i="10"/>
  <c r="K17" i="10" s="1"/>
  <c r="L17" i="10" s="1"/>
  <c r="Z16" i="10"/>
  <c r="Z22" i="10" s="1"/>
  <c r="W16" i="10"/>
  <c r="Y16" i="10" s="1"/>
  <c r="I16" i="10"/>
  <c r="K16" i="10" s="1"/>
  <c r="L16" i="10" s="1"/>
  <c r="L22" i="10" s="1"/>
  <c r="U15" i="10"/>
  <c r="Q15" i="10"/>
  <c r="Q26" i="10" s="1"/>
  <c r="Q37" i="10" s="1"/>
  <c r="Q48" i="10" s="1"/>
  <c r="Q59" i="10" s="1"/>
  <c r="Q70" i="10" s="1"/>
  <c r="Q81" i="10" s="1"/>
  <c r="Q92" i="10" s="1"/>
  <c r="Q103" i="10" s="1"/>
  <c r="G15" i="10"/>
  <c r="C15" i="10"/>
  <c r="C26" i="10" s="1"/>
  <c r="C37" i="10" s="1"/>
  <c r="C48" i="10" s="1"/>
  <c r="C59" i="10" s="1"/>
  <c r="C70" i="10" s="1"/>
  <c r="C81" i="10" s="1"/>
  <c r="C92" i="10" s="1"/>
  <c r="C103" i="10" s="1"/>
  <c r="P13" i="10"/>
  <c r="B13" i="10"/>
  <c r="P12" i="10"/>
  <c r="V11" i="10"/>
  <c r="V120" i="10" s="1"/>
  <c r="U11" i="10"/>
  <c r="T11" i="10"/>
  <c r="T120" i="10" s="1"/>
  <c r="S11" i="10"/>
  <c r="S120" i="10" s="1"/>
  <c r="S125" i="10" s="1"/>
  <c r="S146" i="10" s="1"/>
  <c r="S148" i="10" s="1"/>
  <c r="R11" i="10"/>
  <c r="R120" i="10" s="1"/>
  <c r="Q11" i="10"/>
  <c r="Q120" i="10" s="1"/>
  <c r="Q125" i="10" s="1"/>
  <c r="Q146" i="10" s="1"/>
  <c r="I11" i="10"/>
  <c r="H11" i="10"/>
  <c r="G11" i="10"/>
  <c r="F11" i="10"/>
  <c r="E11" i="10"/>
  <c r="D11" i="10"/>
  <c r="C11" i="10"/>
  <c r="Y10" i="10"/>
  <c r="Z10" i="10" s="1"/>
  <c r="W10" i="10"/>
  <c r="X10" i="10" s="1"/>
  <c r="K10" i="10"/>
  <c r="L10" i="10" s="1"/>
  <c r="I10" i="10"/>
  <c r="J10" i="10" s="1"/>
  <c r="Y9" i="10"/>
  <c r="Z9" i="10" s="1"/>
  <c r="W9" i="10"/>
  <c r="X9" i="10" s="1"/>
  <c r="K9" i="10"/>
  <c r="L9" i="10" s="1"/>
  <c r="I9" i="10"/>
  <c r="J9" i="10" s="1"/>
  <c r="Y8" i="10"/>
  <c r="Z8" i="10" s="1"/>
  <c r="W8" i="10"/>
  <c r="X8" i="10" s="1"/>
  <c r="K8" i="10"/>
  <c r="L8" i="10" s="1"/>
  <c r="I8" i="10"/>
  <c r="J8" i="10" s="1"/>
  <c r="Y7" i="10"/>
  <c r="Z7" i="10" s="1"/>
  <c r="W7" i="10"/>
  <c r="X7" i="10" s="1"/>
  <c r="K7" i="10"/>
  <c r="L7" i="10" s="1"/>
  <c r="I7" i="10"/>
  <c r="J7" i="10" s="1"/>
  <c r="Y6" i="10"/>
  <c r="Z6" i="10" s="1"/>
  <c r="W6" i="10"/>
  <c r="X6" i="10" s="1"/>
  <c r="K6" i="10"/>
  <c r="L6" i="10" s="1"/>
  <c r="I6" i="10"/>
  <c r="J6" i="10" s="1"/>
  <c r="Y5" i="10"/>
  <c r="Z5" i="10" s="1"/>
  <c r="Z11" i="10" s="1"/>
  <c r="W5" i="10"/>
  <c r="X5" i="10" s="1"/>
  <c r="K5" i="10"/>
  <c r="L5" i="10" s="1"/>
  <c r="L11" i="10" s="1"/>
  <c r="I5" i="10"/>
  <c r="J5" i="10" s="1"/>
  <c r="U4" i="10"/>
  <c r="K4" i="10"/>
  <c r="Y4" i="10" s="1"/>
  <c r="F4" i="10"/>
  <c r="F103" i="10" s="1"/>
  <c r="E124" i="7"/>
  <c r="D124" i="7"/>
  <c r="C124" i="7"/>
  <c r="E123" i="7"/>
  <c r="D123" i="7"/>
  <c r="C123" i="7"/>
  <c r="B35" i="7"/>
  <c r="E122" i="7"/>
  <c r="D122" i="7"/>
  <c r="C122" i="7"/>
  <c r="B23" i="7"/>
  <c r="E121" i="7"/>
  <c r="D121" i="7"/>
  <c r="C22" i="7"/>
  <c r="M12" i="7"/>
  <c r="F11" i="7"/>
  <c r="E11" i="7"/>
  <c r="E120" i="7" s="1"/>
  <c r="D11" i="7"/>
  <c r="D120" i="7" s="1"/>
  <c r="C11" i="7"/>
  <c r="C120" i="7" s="1"/>
  <c r="H4" i="7"/>
  <c r="F4" i="7"/>
  <c r="G32" i="15"/>
  <c r="I32" i="15" s="1"/>
  <c r="C21" i="15"/>
  <c r="G31" i="15"/>
  <c r="I31" i="15" s="1"/>
  <c r="G17" i="15"/>
  <c r="G16" i="15"/>
  <c r="G15" i="15"/>
  <c r="G14" i="15"/>
  <c r="G13" i="15"/>
  <c r="G12" i="15"/>
  <c r="G11" i="15"/>
  <c r="G10" i="15"/>
  <c r="D67" i="17" l="1"/>
  <c r="G22" i="19"/>
  <c r="G230" i="15"/>
  <c r="E21" i="19"/>
  <c r="E229" i="15"/>
  <c r="G11" i="7"/>
  <c r="G120" i="7" s="1"/>
  <c r="S4" i="7"/>
  <c r="I34" i="7"/>
  <c r="C121" i="7"/>
  <c r="C125" i="7" s="1"/>
  <c r="C146" i="7" s="1"/>
  <c r="C24" i="7"/>
  <c r="G22" i="7"/>
  <c r="G121" i="7" s="1"/>
  <c r="H22" i="7"/>
  <c r="F12" i="7"/>
  <c r="H11" i="7"/>
  <c r="F120" i="7"/>
  <c r="P45" i="13" s="1"/>
  <c r="F121" i="7"/>
  <c r="P83" i="13" s="1"/>
  <c r="F123" i="7"/>
  <c r="F124" i="7"/>
  <c r="F122" i="7"/>
  <c r="E125" i="7"/>
  <c r="E146" i="7" s="1"/>
  <c r="E148" i="7" s="1"/>
  <c r="N57" i="7"/>
  <c r="N101" i="7"/>
  <c r="N46" i="7"/>
  <c r="I11" i="7"/>
  <c r="D125" i="7"/>
  <c r="D146" i="7" s="1"/>
  <c r="D148" i="7" s="1"/>
  <c r="N79" i="7"/>
  <c r="N90" i="7"/>
  <c r="N112" i="7"/>
  <c r="N68" i="7"/>
  <c r="J64" i="18"/>
  <c r="I64" i="18"/>
  <c r="H64" i="18"/>
  <c r="P55" i="18"/>
  <c r="P46" i="18"/>
  <c r="R41" i="18"/>
  <c r="S41" i="18"/>
  <c r="Q41" i="18"/>
  <c r="G7" i="18"/>
  <c r="I41" i="18"/>
  <c r="H41" i="18"/>
  <c r="J41" i="18"/>
  <c r="G55" i="18"/>
  <c r="G46" i="18"/>
  <c r="J40" i="18"/>
  <c r="I40" i="18"/>
  <c r="H40" i="18"/>
  <c r="G6" i="18"/>
  <c r="G69" i="18"/>
  <c r="G78" i="18"/>
  <c r="I63" i="18"/>
  <c r="H63" i="18"/>
  <c r="J63" i="18"/>
  <c r="C67" i="17"/>
  <c r="E16" i="13"/>
  <c r="E9" i="14"/>
  <c r="D10" i="14"/>
  <c r="D5" i="14"/>
  <c r="D6" i="14"/>
  <c r="E7" i="14"/>
  <c r="E67" i="17"/>
  <c r="D17" i="13"/>
  <c r="D18" i="13"/>
  <c r="D13" i="13"/>
  <c r="D15" i="13"/>
  <c r="D16" i="13"/>
  <c r="D11" i="13"/>
  <c r="D10" i="13"/>
  <c r="D9" i="13"/>
  <c r="H68" i="17"/>
  <c r="G68" i="17"/>
  <c r="I68" i="17"/>
  <c r="G66" i="17"/>
  <c r="I66" i="17"/>
  <c r="H66" i="17"/>
  <c r="G59" i="17"/>
  <c r="F67" i="17"/>
  <c r="H59" i="17"/>
  <c r="I59" i="17"/>
  <c r="G137" i="2"/>
  <c r="G145" i="2" s="1"/>
  <c r="G125" i="2"/>
  <c r="G144" i="2" s="1"/>
  <c r="E6" i="13"/>
  <c r="E15" i="13"/>
  <c r="E13" i="13"/>
  <c r="E8" i="13"/>
  <c r="E7" i="13"/>
  <c r="S137" i="2"/>
  <c r="S145" i="2" s="1"/>
  <c r="U137" i="2"/>
  <c r="U145" i="2" s="1"/>
  <c r="E137" i="2"/>
  <c r="E145" i="2" s="1"/>
  <c r="U125" i="2"/>
  <c r="U144" i="2" s="1"/>
  <c r="Y52" i="2"/>
  <c r="Z52" i="2" s="1"/>
  <c r="X52" i="2"/>
  <c r="S125" i="2"/>
  <c r="S144" i="2" s="1"/>
  <c r="E125" i="2"/>
  <c r="E144" i="2" s="1"/>
  <c r="R137" i="2"/>
  <c r="R145" i="2" s="1"/>
  <c r="R125" i="2"/>
  <c r="R144" i="2" s="1"/>
  <c r="R146" i="2" s="1"/>
  <c r="D137" i="2"/>
  <c r="D145" i="2" s="1"/>
  <c r="D125" i="2"/>
  <c r="D144" i="2" s="1"/>
  <c r="F75" i="15"/>
  <c r="E75" i="15"/>
  <c r="D75" i="15"/>
  <c r="C75" i="15"/>
  <c r="I69" i="15"/>
  <c r="H69" i="15"/>
  <c r="H68" i="15"/>
  <c r="G70" i="15"/>
  <c r="I68" i="15"/>
  <c r="H61" i="15"/>
  <c r="G63" i="15"/>
  <c r="I61" i="15"/>
  <c r="I54" i="15"/>
  <c r="H54" i="15"/>
  <c r="H53" i="15"/>
  <c r="I53" i="15"/>
  <c r="H52" i="15"/>
  <c r="I52" i="15"/>
  <c r="I51" i="15"/>
  <c r="H51" i="15"/>
  <c r="I50" i="15"/>
  <c r="H50" i="15"/>
  <c r="I49" i="15"/>
  <c r="H49" i="15"/>
  <c r="I48" i="15"/>
  <c r="H48" i="15"/>
  <c r="H47" i="15"/>
  <c r="I47" i="15"/>
  <c r="H46" i="15"/>
  <c r="I46" i="15"/>
  <c r="G56" i="15"/>
  <c r="I67" i="15"/>
  <c r="I74" i="15"/>
  <c r="I60" i="15"/>
  <c r="E73" i="15"/>
  <c r="E59" i="15"/>
  <c r="E66" i="15"/>
  <c r="Y73" i="2"/>
  <c r="Z73" i="2" s="1"/>
  <c r="X73" i="2"/>
  <c r="T136" i="2"/>
  <c r="W110" i="2"/>
  <c r="Q136" i="2"/>
  <c r="Q112" i="2"/>
  <c r="F136" i="2"/>
  <c r="I110" i="2"/>
  <c r="C136" i="2"/>
  <c r="C112" i="2"/>
  <c r="K109" i="2"/>
  <c r="L109" i="2" s="1"/>
  <c r="J109" i="2"/>
  <c r="K108" i="2"/>
  <c r="L108" i="2" s="1"/>
  <c r="J108" i="2"/>
  <c r="J107" i="2"/>
  <c r="K107" i="2"/>
  <c r="L107" i="2" s="1"/>
  <c r="J106" i="2"/>
  <c r="K106" i="2"/>
  <c r="L106" i="2" s="1"/>
  <c r="J104" i="2"/>
  <c r="K104" i="2"/>
  <c r="L104" i="2" s="1"/>
  <c r="T135" i="2"/>
  <c r="Q135" i="2"/>
  <c r="Q101" i="2"/>
  <c r="I99" i="2"/>
  <c r="F135" i="2"/>
  <c r="C101" i="2"/>
  <c r="C135" i="2"/>
  <c r="J98" i="2"/>
  <c r="K98" i="2"/>
  <c r="L98" i="2" s="1"/>
  <c r="J97" i="2"/>
  <c r="K97" i="2"/>
  <c r="L97" i="2" s="1"/>
  <c r="K96" i="2"/>
  <c r="L96" i="2" s="1"/>
  <c r="J96" i="2"/>
  <c r="K95" i="2"/>
  <c r="L95" i="2" s="1"/>
  <c r="J95" i="2"/>
  <c r="K94" i="2"/>
  <c r="L94" i="2" s="1"/>
  <c r="J94" i="2"/>
  <c r="K93" i="2"/>
  <c r="L93" i="2" s="1"/>
  <c r="J93" i="2"/>
  <c r="T134" i="2"/>
  <c r="W88" i="2"/>
  <c r="Q90" i="2"/>
  <c r="Q134" i="2"/>
  <c r="F134" i="2"/>
  <c r="I88" i="2"/>
  <c r="C134" i="2"/>
  <c r="C90" i="2"/>
  <c r="K87" i="2"/>
  <c r="L87" i="2" s="1"/>
  <c r="J87" i="2"/>
  <c r="J86" i="2"/>
  <c r="K86" i="2"/>
  <c r="L86" i="2" s="1"/>
  <c r="K85" i="2"/>
  <c r="L85" i="2" s="1"/>
  <c r="J85" i="2"/>
  <c r="J84" i="2"/>
  <c r="K84" i="2"/>
  <c r="L84" i="2" s="1"/>
  <c r="K83" i="2"/>
  <c r="L83" i="2" s="1"/>
  <c r="J83" i="2"/>
  <c r="K82" i="2"/>
  <c r="L82" i="2" s="1"/>
  <c r="J82" i="2"/>
  <c r="T133" i="2"/>
  <c r="W77" i="2"/>
  <c r="Q79" i="2"/>
  <c r="Q133" i="2"/>
  <c r="I77" i="2"/>
  <c r="F133" i="2"/>
  <c r="C133" i="2"/>
  <c r="C79" i="2"/>
  <c r="Y76" i="2"/>
  <c r="Z76" i="2" s="1"/>
  <c r="X76" i="2"/>
  <c r="J76" i="2"/>
  <c r="K76" i="2"/>
  <c r="L76" i="2" s="1"/>
  <c r="X75" i="2"/>
  <c r="Y75" i="2"/>
  <c r="Z75" i="2" s="1"/>
  <c r="J75" i="2"/>
  <c r="K75" i="2"/>
  <c r="L75" i="2" s="1"/>
  <c r="Y74" i="2"/>
  <c r="Z74" i="2" s="1"/>
  <c r="X74" i="2"/>
  <c r="J74" i="2"/>
  <c r="K74" i="2"/>
  <c r="L74" i="2" s="1"/>
  <c r="K73" i="2"/>
  <c r="L73" i="2" s="1"/>
  <c r="J73" i="2"/>
  <c r="Y72" i="2"/>
  <c r="Z72" i="2" s="1"/>
  <c r="X72" i="2"/>
  <c r="K72" i="2"/>
  <c r="L72" i="2" s="1"/>
  <c r="J72" i="2"/>
  <c r="Y71" i="2"/>
  <c r="Z71" i="2" s="1"/>
  <c r="X71" i="2"/>
  <c r="J71" i="2"/>
  <c r="K71" i="2"/>
  <c r="L71" i="2" s="1"/>
  <c r="V137" i="2"/>
  <c r="T132" i="2"/>
  <c r="W66" i="2"/>
  <c r="Q132" i="2"/>
  <c r="Q68" i="2"/>
  <c r="H137" i="2"/>
  <c r="F132" i="2"/>
  <c r="I66" i="2"/>
  <c r="C68" i="2"/>
  <c r="C132" i="2"/>
  <c r="C137" i="2" s="1"/>
  <c r="C145" i="2" s="1"/>
  <c r="X65" i="2"/>
  <c r="Y65" i="2"/>
  <c r="Z65" i="2" s="1"/>
  <c r="J65" i="2"/>
  <c r="K65" i="2"/>
  <c r="L65" i="2" s="1"/>
  <c r="X64" i="2"/>
  <c r="Y64" i="2"/>
  <c r="Z64" i="2" s="1"/>
  <c r="J64" i="2"/>
  <c r="K64" i="2"/>
  <c r="L64" i="2" s="1"/>
  <c r="Y63" i="2"/>
  <c r="Z63" i="2" s="1"/>
  <c r="X63" i="2"/>
  <c r="J63" i="2"/>
  <c r="K63" i="2"/>
  <c r="L63" i="2" s="1"/>
  <c r="X62" i="2"/>
  <c r="Y62" i="2"/>
  <c r="Z62" i="2" s="1"/>
  <c r="K62" i="2"/>
  <c r="L62" i="2" s="1"/>
  <c r="J62" i="2"/>
  <c r="X61" i="2"/>
  <c r="Y61" i="2"/>
  <c r="Z61" i="2" s="1"/>
  <c r="K61" i="2"/>
  <c r="L61" i="2" s="1"/>
  <c r="J61" i="2"/>
  <c r="X60" i="2"/>
  <c r="Y60" i="2"/>
  <c r="Z60" i="2" s="1"/>
  <c r="K60" i="2"/>
  <c r="L60" i="2" s="1"/>
  <c r="J60" i="2"/>
  <c r="W55" i="2"/>
  <c r="T124" i="2"/>
  <c r="Q124" i="2"/>
  <c r="Q57" i="2"/>
  <c r="I55" i="2"/>
  <c r="F124" i="2"/>
  <c r="C57" i="2"/>
  <c r="C124" i="2"/>
  <c r="X54" i="2"/>
  <c r="Y54" i="2"/>
  <c r="Z54" i="2" s="1"/>
  <c r="K54" i="2"/>
  <c r="L54" i="2" s="1"/>
  <c r="J54" i="2"/>
  <c r="Y53" i="2"/>
  <c r="Z53" i="2" s="1"/>
  <c r="X53" i="2"/>
  <c r="J53" i="2"/>
  <c r="K53" i="2"/>
  <c r="L53" i="2" s="1"/>
  <c r="K52" i="2"/>
  <c r="L52" i="2" s="1"/>
  <c r="J52" i="2"/>
  <c r="X51" i="2"/>
  <c r="Y51" i="2"/>
  <c r="Z51" i="2" s="1"/>
  <c r="K51" i="2"/>
  <c r="L51" i="2" s="1"/>
  <c r="J51" i="2"/>
  <c r="Y50" i="2"/>
  <c r="Z50" i="2" s="1"/>
  <c r="X50" i="2"/>
  <c r="J50" i="2"/>
  <c r="K50" i="2"/>
  <c r="L50" i="2" s="1"/>
  <c r="Y49" i="2"/>
  <c r="Z49" i="2" s="1"/>
  <c r="X49" i="2"/>
  <c r="J49" i="2"/>
  <c r="K49" i="2"/>
  <c r="L49" i="2" s="1"/>
  <c r="W44" i="2"/>
  <c r="T123" i="2"/>
  <c r="Q123" i="2"/>
  <c r="Q46" i="2"/>
  <c r="F123" i="2"/>
  <c r="I44" i="2"/>
  <c r="C123" i="2"/>
  <c r="C46" i="2"/>
  <c r="Y43" i="2"/>
  <c r="Z43" i="2" s="1"/>
  <c r="X43" i="2"/>
  <c r="K43" i="2"/>
  <c r="L43" i="2" s="1"/>
  <c r="J43" i="2"/>
  <c r="Y42" i="2"/>
  <c r="Z42" i="2" s="1"/>
  <c r="X42" i="2"/>
  <c r="J42" i="2"/>
  <c r="K42" i="2"/>
  <c r="L42" i="2" s="1"/>
  <c r="X41" i="2"/>
  <c r="Y41" i="2"/>
  <c r="Z41" i="2" s="1"/>
  <c r="J41" i="2"/>
  <c r="K41" i="2"/>
  <c r="L41" i="2" s="1"/>
  <c r="Y40" i="2"/>
  <c r="Z40" i="2" s="1"/>
  <c r="X40" i="2"/>
  <c r="J40" i="2"/>
  <c r="K40" i="2"/>
  <c r="L40" i="2" s="1"/>
  <c r="X39" i="2"/>
  <c r="Y39" i="2"/>
  <c r="Z39" i="2" s="1"/>
  <c r="K39" i="2"/>
  <c r="L39" i="2" s="1"/>
  <c r="J39" i="2"/>
  <c r="Y38" i="2"/>
  <c r="Z38" i="2" s="1"/>
  <c r="X38" i="2"/>
  <c r="K38" i="2"/>
  <c r="L38" i="2" s="1"/>
  <c r="J38" i="2"/>
  <c r="T122" i="2"/>
  <c r="W33" i="2"/>
  <c r="Q122" i="2"/>
  <c r="Q35" i="2"/>
  <c r="I33" i="2"/>
  <c r="F122" i="2"/>
  <c r="C35" i="2"/>
  <c r="C122" i="2"/>
  <c r="Y32" i="2"/>
  <c r="Z32" i="2" s="1"/>
  <c r="X32" i="2"/>
  <c r="K32" i="2"/>
  <c r="L32" i="2" s="1"/>
  <c r="J32" i="2"/>
  <c r="Y31" i="2"/>
  <c r="Z31" i="2" s="1"/>
  <c r="X31" i="2"/>
  <c r="K31" i="2"/>
  <c r="L31" i="2" s="1"/>
  <c r="J31" i="2"/>
  <c r="X30" i="2"/>
  <c r="Y30" i="2"/>
  <c r="Z30" i="2" s="1"/>
  <c r="J30" i="2"/>
  <c r="K30" i="2"/>
  <c r="L30" i="2" s="1"/>
  <c r="X29" i="2"/>
  <c r="Y29" i="2"/>
  <c r="Z29" i="2" s="1"/>
  <c r="J29" i="2"/>
  <c r="K29" i="2"/>
  <c r="L29" i="2" s="1"/>
  <c r="X28" i="2"/>
  <c r="Y28" i="2"/>
  <c r="Z28" i="2" s="1"/>
  <c r="K28" i="2"/>
  <c r="L28" i="2" s="1"/>
  <c r="J28" i="2"/>
  <c r="X27" i="2"/>
  <c r="Y27" i="2"/>
  <c r="Z27" i="2" s="1"/>
  <c r="K27" i="2"/>
  <c r="L27" i="2" s="1"/>
  <c r="J27" i="2"/>
  <c r="T121" i="2"/>
  <c r="W22" i="2"/>
  <c r="Q121" i="2"/>
  <c r="Q24" i="2"/>
  <c r="F121" i="2"/>
  <c r="I22" i="2"/>
  <c r="C121" i="2"/>
  <c r="C24" i="2"/>
  <c r="Y21" i="2"/>
  <c r="Z21" i="2" s="1"/>
  <c r="X21" i="2"/>
  <c r="J21" i="2"/>
  <c r="K21" i="2"/>
  <c r="L21" i="2" s="1"/>
  <c r="X20" i="2"/>
  <c r="Y20" i="2"/>
  <c r="Z20" i="2" s="1"/>
  <c r="J20" i="2"/>
  <c r="K20" i="2"/>
  <c r="L20" i="2" s="1"/>
  <c r="Y19" i="2"/>
  <c r="Z19" i="2" s="1"/>
  <c r="X19" i="2"/>
  <c r="J19" i="2"/>
  <c r="K19" i="2"/>
  <c r="L19" i="2" s="1"/>
  <c r="X18" i="2"/>
  <c r="Y18" i="2"/>
  <c r="Z18" i="2" s="1"/>
  <c r="J18" i="2"/>
  <c r="K18" i="2"/>
  <c r="L18" i="2" s="1"/>
  <c r="Y17" i="2"/>
  <c r="Z17" i="2" s="1"/>
  <c r="X17" i="2"/>
  <c r="K17" i="2"/>
  <c r="L17" i="2" s="1"/>
  <c r="J17" i="2"/>
  <c r="X16" i="2"/>
  <c r="Y16" i="2"/>
  <c r="Z16" i="2" s="1"/>
  <c r="J16" i="2"/>
  <c r="K16" i="2"/>
  <c r="L16" i="2" s="1"/>
  <c r="V125" i="2"/>
  <c r="W11" i="2"/>
  <c r="T120" i="2"/>
  <c r="Q13" i="2"/>
  <c r="Q120" i="2"/>
  <c r="Q125" i="2" s="1"/>
  <c r="Q144" i="2" s="1"/>
  <c r="H125" i="2"/>
  <c r="I11" i="2"/>
  <c r="F120" i="2"/>
  <c r="C13" i="2"/>
  <c r="C120" i="2"/>
  <c r="Y10" i="2"/>
  <c r="Z10" i="2" s="1"/>
  <c r="X10" i="2"/>
  <c r="J10" i="2"/>
  <c r="K10" i="2"/>
  <c r="L10" i="2" s="1"/>
  <c r="X9" i="2"/>
  <c r="Y9" i="2"/>
  <c r="Z9" i="2" s="1"/>
  <c r="K9" i="2"/>
  <c r="L9" i="2" s="1"/>
  <c r="J9" i="2"/>
  <c r="Y8" i="2"/>
  <c r="Z8" i="2" s="1"/>
  <c r="X8" i="2"/>
  <c r="J8" i="2"/>
  <c r="K8" i="2"/>
  <c r="L8" i="2" s="1"/>
  <c r="X7" i="2"/>
  <c r="Y7" i="2"/>
  <c r="Z7" i="2" s="1"/>
  <c r="J7" i="2"/>
  <c r="K7" i="2"/>
  <c r="L7" i="2" s="1"/>
  <c r="Y6" i="2"/>
  <c r="Z6" i="2" s="1"/>
  <c r="X6" i="2"/>
  <c r="J6" i="2"/>
  <c r="K6" i="2"/>
  <c r="L6" i="2" s="1"/>
  <c r="X5" i="2"/>
  <c r="Y5" i="2"/>
  <c r="Z5" i="2" s="1"/>
  <c r="J5" i="2"/>
  <c r="K5" i="2"/>
  <c r="L5" i="2" s="1"/>
  <c r="AA119" i="2"/>
  <c r="AA131" i="2"/>
  <c r="Y4" i="2"/>
  <c r="K15" i="2"/>
  <c r="AA143" i="2"/>
  <c r="F15" i="2"/>
  <c r="F92" i="2"/>
  <c r="T4" i="2"/>
  <c r="F70" i="2"/>
  <c r="F26" i="2"/>
  <c r="F59" i="2"/>
  <c r="F37" i="2"/>
  <c r="F103" i="2"/>
  <c r="F48" i="2"/>
  <c r="F81" i="2"/>
  <c r="D14" i="13"/>
  <c r="D38" i="15"/>
  <c r="A34" i="15"/>
  <c r="J41" i="1"/>
  <c r="K41" i="1"/>
  <c r="K42" i="1"/>
  <c r="J40" i="1"/>
  <c r="I44" i="1"/>
  <c r="K38" i="1"/>
  <c r="K43" i="1"/>
  <c r="K39" i="1"/>
  <c r="E26" i="15"/>
  <c r="G24" i="15"/>
  <c r="G19" i="15"/>
  <c r="F48" i="12"/>
  <c r="F59" i="12"/>
  <c r="F26" i="12"/>
  <c r="F37" i="12"/>
  <c r="T4" i="12"/>
  <c r="F15" i="12"/>
  <c r="F92" i="12"/>
  <c r="K26" i="11"/>
  <c r="Y26" i="11" s="1"/>
  <c r="Y15" i="11"/>
  <c r="Y4" i="11"/>
  <c r="F103" i="11"/>
  <c r="F59" i="11"/>
  <c r="T81" i="11"/>
  <c r="F26" i="10"/>
  <c r="K15" i="10"/>
  <c r="K26" i="10" s="1"/>
  <c r="Y26" i="10" s="1"/>
  <c r="K123" i="12"/>
  <c r="J123" i="12"/>
  <c r="H146" i="12"/>
  <c r="K122" i="12"/>
  <c r="J122" i="12"/>
  <c r="L124" i="12"/>
  <c r="M124" i="12" s="1"/>
  <c r="J138" i="12"/>
  <c r="I139" i="12"/>
  <c r="K138" i="12"/>
  <c r="K121" i="12"/>
  <c r="J121" i="12"/>
  <c r="L123" i="12"/>
  <c r="M123" i="12" s="1"/>
  <c r="C148" i="12"/>
  <c r="F148" i="12"/>
  <c r="I146" i="12"/>
  <c r="K124" i="12"/>
  <c r="J124" i="12"/>
  <c r="I147" i="12"/>
  <c r="L147" i="12" s="1"/>
  <c r="M147" i="12" s="1"/>
  <c r="I120" i="12"/>
  <c r="J133" i="12"/>
  <c r="J134" i="12"/>
  <c r="J135" i="12"/>
  <c r="J136" i="12"/>
  <c r="J137" i="12"/>
  <c r="K133" i="12"/>
  <c r="L138" i="12"/>
  <c r="M138" i="12" s="1"/>
  <c r="L120" i="12"/>
  <c r="M120" i="12" s="1"/>
  <c r="J126" i="11"/>
  <c r="M126" i="11"/>
  <c r="J147" i="11"/>
  <c r="K147" i="11"/>
  <c r="K138" i="11"/>
  <c r="I139" i="11"/>
  <c r="J138" i="11"/>
  <c r="D148" i="11"/>
  <c r="L125" i="11"/>
  <c r="M125" i="11" s="1"/>
  <c r="H146" i="11"/>
  <c r="I146" i="11"/>
  <c r="F148" i="11"/>
  <c r="L147" i="11"/>
  <c r="M147" i="11" s="1"/>
  <c r="J134" i="11"/>
  <c r="J136" i="11"/>
  <c r="J137" i="11"/>
  <c r="N123" i="11"/>
  <c r="J120" i="11"/>
  <c r="J121" i="11"/>
  <c r="J122" i="11"/>
  <c r="J123" i="11"/>
  <c r="J124" i="11"/>
  <c r="K125" i="11"/>
  <c r="K133" i="11"/>
  <c r="K135" i="11"/>
  <c r="L138" i="11"/>
  <c r="M138" i="11" s="1"/>
  <c r="L120" i="11"/>
  <c r="M120" i="11" s="1"/>
  <c r="J125" i="11"/>
  <c r="J133" i="11"/>
  <c r="N121" i="11"/>
  <c r="N120" i="11"/>
  <c r="M126" i="10"/>
  <c r="J126" i="10"/>
  <c r="J147" i="10"/>
  <c r="K147" i="10"/>
  <c r="K138" i="10"/>
  <c r="I139" i="10"/>
  <c r="J138" i="10"/>
  <c r="D148" i="10"/>
  <c r="L125" i="10"/>
  <c r="M125" i="10" s="1"/>
  <c r="H146" i="10"/>
  <c r="I146" i="10"/>
  <c r="F148" i="10"/>
  <c r="L147" i="10"/>
  <c r="M147" i="10" s="1"/>
  <c r="L120" i="10"/>
  <c r="M120" i="10" s="1"/>
  <c r="J133" i="10"/>
  <c r="J134" i="10"/>
  <c r="J136" i="10"/>
  <c r="J120" i="10"/>
  <c r="J121" i="10"/>
  <c r="J122" i="10"/>
  <c r="J123" i="10"/>
  <c r="J124" i="10"/>
  <c r="K125" i="10"/>
  <c r="K133" i="10"/>
  <c r="K135" i="10"/>
  <c r="K137" i="10"/>
  <c r="L138" i="10"/>
  <c r="M138" i="10" s="1"/>
  <c r="J125" i="10"/>
  <c r="S148" i="12"/>
  <c r="Y120" i="12"/>
  <c r="X120" i="12"/>
  <c r="K44" i="12"/>
  <c r="I45" i="12"/>
  <c r="J44" i="12"/>
  <c r="AA119" i="12"/>
  <c r="Y4" i="12"/>
  <c r="AA145" i="12"/>
  <c r="AA132" i="12"/>
  <c r="Y31" i="12"/>
  <c r="Z31" i="12" s="1"/>
  <c r="X31" i="12"/>
  <c r="N137" i="12"/>
  <c r="T103" i="12"/>
  <c r="T81" i="12"/>
  <c r="T59" i="12"/>
  <c r="X8" i="12"/>
  <c r="X10" i="12"/>
  <c r="V125" i="12"/>
  <c r="Z120" i="12"/>
  <c r="AA120" i="12" s="1"/>
  <c r="K15" i="12"/>
  <c r="J22" i="12"/>
  <c r="J27" i="12"/>
  <c r="W77" i="12"/>
  <c r="T134" i="12"/>
  <c r="J6" i="12"/>
  <c r="Y6" i="12"/>
  <c r="Z6" i="12" s="1"/>
  <c r="J8" i="12"/>
  <c r="J10" i="12"/>
  <c r="K11" i="12"/>
  <c r="W11" i="12"/>
  <c r="I12" i="12"/>
  <c r="W22" i="12"/>
  <c r="T121" i="12"/>
  <c r="Y29" i="12"/>
  <c r="Z29" i="12" s="1"/>
  <c r="X29" i="12"/>
  <c r="I33" i="12"/>
  <c r="W122" i="12"/>
  <c r="T37" i="12"/>
  <c r="Q57" i="12"/>
  <c r="Q124" i="12"/>
  <c r="Q125" i="12" s="1"/>
  <c r="Q146" i="12" s="1"/>
  <c r="Q148" i="12" s="1"/>
  <c r="R138" i="12"/>
  <c r="R147" i="12" s="1"/>
  <c r="N134" i="12"/>
  <c r="Q134" i="12"/>
  <c r="Q138" i="12" s="1"/>
  <c r="Q147" i="12" s="1"/>
  <c r="Q79" i="12"/>
  <c r="N136" i="12"/>
  <c r="Q136" i="12"/>
  <c r="Q101" i="12"/>
  <c r="N121" i="12"/>
  <c r="U125" i="12"/>
  <c r="U146" i="12" s="1"/>
  <c r="U148" i="12" s="1"/>
  <c r="Q126" i="12"/>
  <c r="C35" i="12"/>
  <c r="N133" i="12"/>
  <c r="N135" i="12"/>
  <c r="R125" i="12"/>
  <c r="R146" i="12" s="1"/>
  <c r="I23" i="12"/>
  <c r="T26" i="12"/>
  <c r="X28" i="12"/>
  <c r="J30" i="12"/>
  <c r="X32" i="12"/>
  <c r="Y33" i="12"/>
  <c r="W34" i="12"/>
  <c r="X33" i="12"/>
  <c r="T48" i="12"/>
  <c r="W55" i="12"/>
  <c r="T124" i="12"/>
  <c r="T70" i="12"/>
  <c r="W99" i="12"/>
  <c r="T136" i="12"/>
  <c r="N120" i="12"/>
  <c r="V138" i="12"/>
  <c r="T15" i="12"/>
  <c r="T92" i="12" s="1"/>
  <c r="I66" i="12"/>
  <c r="I88" i="12"/>
  <c r="I110" i="12"/>
  <c r="AB122" i="12"/>
  <c r="W44" i="12"/>
  <c r="I55" i="12"/>
  <c r="W66" i="12"/>
  <c r="I77" i="12"/>
  <c r="W88" i="12"/>
  <c r="I99" i="12"/>
  <c r="W110" i="12"/>
  <c r="T137" i="12"/>
  <c r="N124" i="12"/>
  <c r="T123" i="12"/>
  <c r="T133" i="12"/>
  <c r="T135" i="12"/>
  <c r="J12" i="11"/>
  <c r="T131" i="11"/>
  <c r="T144" i="11" s="1"/>
  <c r="T118" i="11"/>
  <c r="W34" i="11"/>
  <c r="Y33" i="11"/>
  <c r="X33" i="11"/>
  <c r="I33" i="11"/>
  <c r="I45" i="11"/>
  <c r="K44" i="11"/>
  <c r="J55" i="11"/>
  <c r="I56" i="11"/>
  <c r="K55" i="11"/>
  <c r="Q68" i="11"/>
  <c r="Q133" i="11"/>
  <c r="K88" i="11"/>
  <c r="J88" i="11"/>
  <c r="I89" i="11"/>
  <c r="Q112" i="11"/>
  <c r="Q137" i="11"/>
  <c r="W122" i="11"/>
  <c r="AB122" i="11"/>
  <c r="N136" i="11"/>
  <c r="U121" i="11"/>
  <c r="U125" i="11" s="1"/>
  <c r="U146" i="11" s="1"/>
  <c r="U148" i="11" s="1"/>
  <c r="W22" i="11"/>
  <c r="Q23" i="11"/>
  <c r="J27" i="11"/>
  <c r="J29" i="11"/>
  <c r="J31" i="11"/>
  <c r="J32" i="11"/>
  <c r="C34" i="11"/>
  <c r="J44" i="11"/>
  <c r="U123" i="11"/>
  <c r="W123" i="11" s="1"/>
  <c r="W44" i="11"/>
  <c r="T136" i="11"/>
  <c r="W99" i="11"/>
  <c r="N134" i="11"/>
  <c r="K11" i="11"/>
  <c r="J11" i="11"/>
  <c r="T120" i="11"/>
  <c r="W11" i="11"/>
  <c r="J28" i="11"/>
  <c r="J30" i="11"/>
  <c r="W124" i="11"/>
  <c r="AB124" i="11"/>
  <c r="T48" i="11"/>
  <c r="T37" i="11"/>
  <c r="T15" i="11"/>
  <c r="T92" i="11" s="1"/>
  <c r="T70" i="11"/>
  <c r="T103" i="11"/>
  <c r="T59" i="11"/>
  <c r="I22" i="11"/>
  <c r="K37" i="11"/>
  <c r="Z123" i="11"/>
  <c r="AA123" i="11" s="1"/>
  <c r="K78" i="11"/>
  <c r="L78" i="11" s="1"/>
  <c r="J78" i="11"/>
  <c r="R125" i="11"/>
  <c r="R146" i="11" s="1"/>
  <c r="R148" i="11" s="1"/>
  <c r="X55" i="11"/>
  <c r="K66" i="11"/>
  <c r="J66" i="11"/>
  <c r="J67" i="11"/>
  <c r="T134" i="11"/>
  <c r="W77" i="11"/>
  <c r="F81" i="11"/>
  <c r="K110" i="11"/>
  <c r="J110" i="11"/>
  <c r="J111" i="11"/>
  <c r="N124" i="11"/>
  <c r="W56" i="11"/>
  <c r="K77" i="11"/>
  <c r="J77" i="11"/>
  <c r="W88" i="11"/>
  <c r="T135" i="11"/>
  <c r="Q136" i="11"/>
  <c r="Q101" i="11"/>
  <c r="AA132" i="11"/>
  <c r="AA145" i="11"/>
  <c r="AA119" i="11"/>
  <c r="C12" i="11"/>
  <c r="C13" i="11" s="1"/>
  <c r="F15" i="11"/>
  <c r="AB121" i="11"/>
  <c r="W121" i="11"/>
  <c r="N122" i="11"/>
  <c r="F37" i="11"/>
  <c r="AB123" i="11"/>
  <c r="F48" i="11"/>
  <c r="Q124" i="11"/>
  <c r="Q125" i="11" s="1"/>
  <c r="Q146" i="11" s="1"/>
  <c r="Q57" i="11"/>
  <c r="C57" i="11"/>
  <c r="W66" i="11"/>
  <c r="T133" i="11"/>
  <c r="Q134" i="11"/>
  <c r="Q79" i="11"/>
  <c r="K99" i="11"/>
  <c r="J99" i="11"/>
  <c r="J100" i="11"/>
  <c r="W110" i="11"/>
  <c r="T137" i="11"/>
  <c r="V125" i="11"/>
  <c r="Q135" i="11"/>
  <c r="N133" i="11"/>
  <c r="N135" i="11"/>
  <c r="N137" i="11"/>
  <c r="S138" i="11"/>
  <c r="S147" i="11" s="1"/>
  <c r="S148" i="11" s="1"/>
  <c r="V138" i="11"/>
  <c r="N120" i="10"/>
  <c r="V138" i="10"/>
  <c r="R125" i="10"/>
  <c r="R146" i="10" s="1"/>
  <c r="R148" i="10" s="1"/>
  <c r="Q12" i="10"/>
  <c r="Q13" i="10" s="1"/>
  <c r="X45" i="10"/>
  <c r="W124" i="10"/>
  <c r="AB124" i="10"/>
  <c r="X56" i="10"/>
  <c r="Q134" i="10"/>
  <c r="Q79" i="10"/>
  <c r="K111" i="10"/>
  <c r="L111" i="10" s="1"/>
  <c r="J111" i="10"/>
  <c r="U120" i="10"/>
  <c r="U125" i="10" s="1"/>
  <c r="U146" i="10" s="1"/>
  <c r="U148" i="10" s="1"/>
  <c r="W11" i="10"/>
  <c r="W33" i="10"/>
  <c r="T122" i="10"/>
  <c r="K37" i="10"/>
  <c r="AB121" i="10"/>
  <c r="W121" i="10"/>
  <c r="Y23" i="10"/>
  <c r="Z23" i="10" s="1"/>
  <c r="I44" i="10"/>
  <c r="I55" i="10"/>
  <c r="I66" i="10"/>
  <c r="N136" i="10"/>
  <c r="Q136" i="10"/>
  <c r="Q138" i="10" s="1"/>
  <c r="Q147" i="10" s="1"/>
  <c r="Q148" i="10" s="1"/>
  <c r="Q101" i="10"/>
  <c r="N134" i="10"/>
  <c r="I12" i="10"/>
  <c r="K11" i="10"/>
  <c r="J11" i="10"/>
  <c r="T125" i="10"/>
  <c r="T146" i="10" s="1"/>
  <c r="W120" i="10"/>
  <c r="AB120" i="10"/>
  <c r="Y15" i="10"/>
  <c r="I22" i="10"/>
  <c r="Z124" i="10"/>
  <c r="AA124" i="10" s="1"/>
  <c r="I88" i="10"/>
  <c r="AB123" i="10"/>
  <c r="W123" i="10"/>
  <c r="V125" i="10"/>
  <c r="I34" i="10"/>
  <c r="W66" i="10"/>
  <c r="T133" i="10"/>
  <c r="F70" i="10"/>
  <c r="W88" i="10"/>
  <c r="T135" i="10"/>
  <c r="F92" i="10"/>
  <c r="K110" i="10"/>
  <c r="J110" i="10"/>
  <c r="AA119" i="10"/>
  <c r="AA145" i="10"/>
  <c r="C12" i="10"/>
  <c r="C13" i="10" s="1"/>
  <c r="F15" i="10"/>
  <c r="J16" i="10"/>
  <c r="X16" i="10"/>
  <c r="J17" i="10"/>
  <c r="X17" i="10"/>
  <c r="J18" i="10"/>
  <c r="X18" i="10"/>
  <c r="J19" i="10"/>
  <c r="X19" i="10"/>
  <c r="J20" i="10"/>
  <c r="X20" i="10"/>
  <c r="J21" i="10"/>
  <c r="X21" i="10"/>
  <c r="X22" i="10"/>
  <c r="N122" i="10"/>
  <c r="J33" i="10"/>
  <c r="F37" i="10"/>
  <c r="J38" i="10"/>
  <c r="X38" i="10"/>
  <c r="J39" i="10"/>
  <c r="X39" i="10"/>
  <c r="J40" i="10"/>
  <c r="X40" i="10"/>
  <c r="J41" i="10"/>
  <c r="X41" i="10"/>
  <c r="J42" i="10"/>
  <c r="X42" i="10"/>
  <c r="J43" i="10"/>
  <c r="X43" i="10"/>
  <c r="X44" i="10"/>
  <c r="F48" i="10"/>
  <c r="J49" i="10"/>
  <c r="X49" i="10"/>
  <c r="J50" i="10"/>
  <c r="X50" i="10"/>
  <c r="J51" i="10"/>
  <c r="X51" i="10"/>
  <c r="J52" i="10"/>
  <c r="X52" i="10"/>
  <c r="J53" i="10"/>
  <c r="X53" i="10"/>
  <c r="J54" i="10"/>
  <c r="X54" i="10"/>
  <c r="X55" i="10"/>
  <c r="F59" i="10"/>
  <c r="J77" i="10"/>
  <c r="I78" i="10"/>
  <c r="J99" i="10"/>
  <c r="I100" i="10"/>
  <c r="W110" i="10"/>
  <c r="T137" i="10"/>
  <c r="T4" i="10"/>
  <c r="Q23" i="10"/>
  <c r="Y44" i="10"/>
  <c r="Y55" i="10"/>
  <c r="W77" i="10"/>
  <c r="T134" i="10"/>
  <c r="F81" i="10"/>
  <c r="W99" i="10"/>
  <c r="T136" i="10"/>
  <c r="AA132" i="10"/>
  <c r="N137" i="10"/>
  <c r="Q4" i="7"/>
  <c r="C68" i="7"/>
  <c r="C46" i="7"/>
  <c r="C57" i="7"/>
  <c r="C79" i="7"/>
  <c r="C13" i="7"/>
  <c r="N13" i="7"/>
  <c r="C112" i="7"/>
  <c r="C101" i="7"/>
  <c r="C90" i="7"/>
  <c r="G33" i="15"/>
  <c r="H32" i="15"/>
  <c r="H31" i="15"/>
  <c r="H122" i="7" l="1"/>
  <c r="G83" i="13"/>
  <c r="H124" i="7"/>
  <c r="P64" i="13"/>
  <c r="H123" i="7"/>
  <c r="G64" i="13"/>
  <c r="H120" i="7"/>
  <c r="F125" i="7"/>
  <c r="E258" i="15"/>
  <c r="E244" i="15"/>
  <c r="E251" i="15"/>
  <c r="G245" i="15"/>
  <c r="G259" i="15"/>
  <c r="G252" i="15"/>
  <c r="C148" i="7"/>
  <c r="H121" i="7"/>
  <c r="G12" i="7"/>
  <c r="I23" i="7"/>
  <c r="C35" i="7"/>
  <c r="H12" i="7"/>
  <c r="I12" i="7" s="1"/>
  <c r="R55" i="18"/>
  <c r="Q55" i="18"/>
  <c r="S55" i="18"/>
  <c r="R46" i="18"/>
  <c r="P54" i="18"/>
  <c r="Q46" i="18"/>
  <c r="S46" i="18"/>
  <c r="I7" i="18"/>
  <c r="J7" i="18"/>
  <c r="H7" i="18"/>
  <c r="J55" i="18"/>
  <c r="H55" i="18"/>
  <c r="I55" i="18"/>
  <c r="J46" i="18"/>
  <c r="I46" i="18"/>
  <c r="G54" i="18"/>
  <c r="H46" i="18"/>
  <c r="G21" i="18"/>
  <c r="G12" i="18"/>
  <c r="I6" i="18"/>
  <c r="J6" i="18"/>
  <c r="H6" i="18"/>
  <c r="I69" i="18"/>
  <c r="G77" i="18"/>
  <c r="H69" i="18"/>
  <c r="J69" i="18"/>
  <c r="J78" i="18"/>
  <c r="H78" i="18"/>
  <c r="I78" i="18"/>
  <c r="Q137" i="2"/>
  <c r="Q145" i="2" s="1"/>
  <c r="H67" i="17"/>
  <c r="G67" i="17"/>
  <c r="I67" i="17"/>
  <c r="G146" i="2"/>
  <c r="S146" i="2"/>
  <c r="U146" i="2"/>
  <c r="E146" i="2"/>
  <c r="D146" i="2"/>
  <c r="I70" i="15"/>
  <c r="G75" i="15"/>
  <c r="H70" i="15"/>
  <c r="G71" i="15"/>
  <c r="I63" i="15"/>
  <c r="H63" i="15"/>
  <c r="I56" i="15"/>
  <c r="H56" i="15"/>
  <c r="Q146" i="2"/>
  <c r="AB136" i="2"/>
  <c r="AJ58" i="14" s="1"/>
  <c r="W136" i="2"/>
  <c r="X110" i="2"/>
  <c r="W111" i="2"/>
  <c r="Y110" i="2"/>
  <c r="Z110" i="2" s="1"/>
  <c r="I136" i="2"/>
  <c r="N136" i="2"/>
  <c r="AJ58" i="13" s="1"/>
  <c r="K110" i="2"/>
  <c r="L110" i="2" s="1"/>
  <c r="J110" i="2"/>
  <c r="I111" i="2"/>
  <c r="AB135" i="2"/>
  <c r="AJ77" i="14" s="1"/>
  <c r="W135" i="2"/>
  <c r="Z99" i="2"/>
  <c r="K99" i="2"/>
  <c r="L99" i="2" s="1"/>
  <c r="J99" i="2"/>
  <c r="I100" i="2"/>
  <c r="I135" i="2"/>
  <c r="N135" i="2"/>
  <c r="AJ77" i="13" s="1"/>
  <c r="AB134" i="2"/>
  <c r="AA58" i="14" s="1"/>
  <c r="W134" i="2"/>
  <c r="W89" i="2"/>
  <c r="X88" i="2"/>
  <c r="Y88" i="2"/>
  <c r="Z88" i="2" s="1"/>
  <c r="N134" i="2"/>
  <c r="AA58" i="13" s="1"/>
  <c r="I134" i="2"/>
  <c r="J88" i="2"/>
  <c r="K88" i="2"/>
  <c r="L88" i="2" s="1"/>
  <c r="I89" i="2"/>
  <c r="W133" i="2"/>
  <c r="AB133" i="2"/>
  <c r="AA77" i="14" s="1"/>
  <c r="W78" i="2"/>
  <c r="X77" i="2"/>
  <c r="Y77" i="2"/>
  <c r="Z77" i="2" s="1"/>
  <c r="K77" i="2"/>
  <c r="L77" i="2" s="1"/>
  <c r="J77" i="2"/>
  <c r="I78" i="2"/>
  <c r="N133" i="2"/>
  <c r="AA77" i="13" s="1"/>
  <c r="I133" i="2"/>
  <c r="V145" i="2"/>
  <c r="T137" i="2"/>
  <c r="T145" i="2" s="1"/>
  <c r="W145" i="2" s="1"/>
  <c r="X145" i="2" s="1"/>
  <c r="AB132" i="2"/>
  <c r="AJ39" i="14" s="1"/>
  <c r="W132" i="2"/>
  <c r="Y66" i="2"/>
  <c r="Z66" i="2" s="1"/>
  <c r="X66" i="2"/>
  <c r="W67" i="2"/>
  <c r="H145" i="2"/>
  <c r="I132" i="2"/>
  <c r="F137" i="2"/>
  <c r="F145" i="2" s="1"/>
  <c r="I145" i="2" s="1"/>
  <c r="N132" i="2"/>
  <c r="AJ39" i="13" s="1"/>
  <c r="K66" i="2"/>
  <c r="L66" i="2" s="1"/>
  <c r="I67" i="2"/>
  <c r="J66" i="2"/>
  <c r="Y55" i="2"/>
  <c r="Z55" i="2" s="1"/>
  <c r="W56" i="2"/>
  <c r="X55" i="2"/>
  <c r="W124" i="2"/>
  <c r="AB124" i="2"/>
  <c r="P58" i="14" s="1"/>
  <c r="K55" i="2"/>
  <c r="L55" i="2" s="1"/>
  <c r="J55" i="2"/>
  <c r="I56" i="2"/>
  <c r="I124" i="2"/>
  <c r="N124" i="2"/>
  <c r="P58" i="13" s="1"/>
  <c r="X44" i="2"/>
  <c r="W45" i="2"/>
  <c r="Y44" i="2"/>
  <c r="Z44" i="2" s="1"/>
  <c r="AB123" i="2"/>
  <c r="G58" i="14" s="1"/>
  <c r="W123" i="2"/>
  <c r="I123" i="2"/>
  <c r="N123" i="2"/>
  <c r="G58" i="13" s="1"/>
  <c r="I45" i="2"/>
  <c r="J44" i="2"/>
  <c r="K44" i="2"/>
  <c r="L44" i="2" s="1"/>
  <c r="W122" i="2"/>
  <c r="AB122" i="2"/>
  <c r="G77" i="14" s="1"/>
  <c r="Y33" i="2"/>
  <c r="Z33" i="2" s="1"/>
  <c r="X33" i="2"/>
  <c r="W34" i="2"/>
  <c r="J33" i="2"/>
  <c r="K33" i="2"/>
  <c r="L33" i="2" s="1"/>
  <c r="I34" i="2"/>
  <c r="N122" i="2"/>
  <c r="G77" i="13" s="1"/>
  <c r="I122" i="2"/>
  <c r="AB121" i="2"/>
  <c r="P77" i="14" s="1"/>
  <c r="W121" i="2"/>
  <c r="X22" i="2"/>
  <c r="W23" i="2"/>
  <c r="Y22" i="2"/>
  <c r="Z22" i="2" s="1"/>
  <c r="I121" i="2"/>
  <c r="N121" i="2"/>
  <c r="P77" i="13" s="1"/>
  <c r="I23" i="2"/>
  <c r="J22" i="2"/>
  <c r="K22" i="2"/>
  <c r="L22" i="2" s="1"/>
  <c r="V144" i="2"/>
  <c r="W12" i="2"/>
  <c r="Y11" i="2"/>
  <c r="Z11" i="2" s="1"/>
  <c r="X11" i="2"/>
  <c r="AB120" i="2"/>
  <c r="P39" i="14" s="1"/>
  <c r="T125" i="2"/>
  <c r="T144" i="2" s="1"/>
  <c r="W120" i="2"/>
  <c r="H144" i="2"/>
  <c r="K11" i="2"/>
  <c r="L11" i="2" s="1"/>
  <c r="I12" i="2"/>
  <c r="J11" i="2"/>
  <c r="N120" i="2"/>
  <c r="P39" i="13" s="1"/>
  <c r="I120" i="2"/>
  <c r="F125" i="2"/>
  <c r="F144" i="2" s="1"/>
  <c r="Y15" i="2"/>
  <c r="K26" i="2"/>
  <c r="T48" i="2"/>
  <c r="T15" i="2"/>
  <c r="T37" i="2"/>
  <c r="T103" i="2"/>
  <c r="T26" i="2"/>
  <c r="T81" i="2"/>
  <c r="T59" i="2"/>
  <c r="T70" i="2"/>
  <c r="F130" i="2"/>
  <c r="F142" i="2" s="1"/>
  <c r="F118" i="2"/>
  <c r="C125" i="2"/>
  <c r="C144" i="2" s="1"/>
  <c r="C146" i="2" s="1"/>
  <c r="E38" i="15"/>
  <c r="K44" i="1"/>
  <c r="I45" i="1"/>
  <c r="J44" i="1"/>
  <c r="G34" i="15"/>
  <c r="F131" i="12"/>
  <c r="F144" i="12" s="1"/>
  <c r="F118" i="12"/>
  <c r="F118" i="11"/>
  <c r="F131" i="11"/>
  <c r="F144" i="11" s="1"/>
  <c r="F118" i="10"/>
  <c r="F131" i="10"/>
  <c r="F144" i="10" s="1"/>
  <c r="F118" i="7"/>
  <c r="K147" i="12"/>
  <c r="J147" i="12"/>
  <c r="J139" i="12"/>
  <c r="M139" i="12"/>
  <c r="K120" i="12"/>
  <c r="J120" i="12"/>
  <c r="I125" i="12"/>
  <c r="I148" i="12"/>
  <c r="K146" i="12"/>
  <c r="J146" i="12"/>
  <c r="L146" i="12"/>
  <c r="M146" i="12" s="1"/>
  <c r="H148" i="12"/>
  <c r="L148" i="12" s="1"/>
  <c r="M148" i="12" s="1"/>
  <c r="I148" i="11"/>
  <c r="K146" i="11"/>
  <c r="J146" i="11"/>
  <c r="L146" i="11"/>
  <c r="M146" i="11" s="1"/>
  <c r="H148" i="11"/>
  <c r="L148" i="11" s="1"/>
  <c r="M148" i="11" s="1"/>
  <c r="J139" i="11"/>
  <c r="M139" i="11"/>
  <c r="I148" i="10"/>
  <c r="K146" i="10"/>
  <c r="J146" i="10"/>
  <c r="L146" i="10"/>
  <c r="M146" i="10" s="1"/>
  <c r="H148" i="10"/>
  <c r="L148" i="10" s="1"/>
  <c r="M148" i="10" s="1"/>
  <c r="J139" i="10"/>
  <c r="M139" i="10"/>
  <c r="W123" i="12"/>
  <c r="AB123" i="12"/>
  <c r="W137" i="12"/>
  <c r="AB137" i="12"/>
  <c r="K77" i="12"/>
  <c r="I78" i="12"/>
  <c r="J77" i="12"/>
  <c r="K88" i="12"/>
  <c r="I89" i="12"/>
  <c r="J88" i="12"/>
  <c r="W135" i="12"/>
  <c r="AB135" i="12"/>
  <c r="Y110" i="12"/>
  <c r="W111" i="12"/>
  <c r="X110" i="12"/>
  <c r="Y66" i="12"/>
  <c r="W67" i="12"/>
  <c r="X66" i="12"/>
  <c r="T125" i="12"/>
  <c r="T146" i="12" s="1"/>
  <c r="R148" i="12"/>
  <c r="X122" i="12"/>
  <c r="Y122" i="12"/>
  <c r="W12" i="12"/>
  <c r="X11" i="12"/>
  <c r="Y11" i="12"/>
  <c r="AB134" i="12"/>
  <c r="W134" i="12"/>
  <c r="K26" i="12"/>
  <c r="Y15" i="12"/>
  <c r="K45" i="12"/>
  <c r="L45" i="12" s="1"/>
  <c r="J45" i="12"/>
  <c r="Y88" i="12"/>
  <c r="W89" i="12"/>
  <c r="X88" i="12"/>
  <c r="Y44" i="12"/>
  <c r="W45" i="12"/>
  <c r="X44" i="12"/>
  <c r="AB136" i="12"/>
  <c r="W136" i="12"/>
  <c r="W56" i="12"/>
  <c r="X55" i="12"/>
  <c r="Y55" i="12"/>
  <c r="T131" i="12"/>
  <c r="T144" i="12" s="1"/>
  <c r="T118" i="12"/>
  <c r="N123" i="12"/>
  <c r="N122" i="12"/>
  <c r="X22" i="12"/>
  <c r="W23" i="12"/>
  <c r="Y22" i="12"/>
  <c r="V146" i="12"/>
  <c r="W100" i="12"/>
  <c r="X99" i="12"/>
  <c r="Y99" i="12"/>
  <c r="K23" i="12"/>
  <c r="L23" i="12" s="1"/>
  <c r="J23" i="12"/>
  <c r="K12" i="12"/>
  <c r="L12" i="12" s="1"/>
  <c r="J12" i="12"/>
  <c r="T138" i="12"/>
  <c r="T147" i="12" s="1"/>
  <c r="W147" i="12" s="1"/>
  <c r="X147" i="12" s="1"/>
  <c r="W133" i="12"/>
  <c r="AB133" i="12"/>
  <c r="K99" i="12"/>
  <c r="I100" i="12"/>
  <c r="J99" i="12"/>
  <c r="K55" i="12"/>
  <c r="I56" i="12"/>
  <c r="J55" i="12"/>
  <c r="K110" i="12"/>
  <c r="I111" i="12"/>
  <c r="J110" i="12"/>
  <c r="K66" i="12"/>
  <c r="I67" i="12"/>
  <c r="J66" i="12"/>
  <c r="V147" i="12"/>
  <c r="Z147" i="12" s="1"/>
  <c r="AA147" i="12" s="1"/>
  <c r="W124" i="12"/>
  <c r="AB124" i="12"/>
  <c r="Y34" i="12"/>
  <c r="Z34" i="12" s="1"/>
  <c r="X34" i="12"/>
  <c r="I34" i="12"/>
  <c r="J33" i="12"/>
  <c r="K33" i="12"/>
  <c r="W121" i="12"/>
  <c r="AB121" i="12"/>
  <c r="W78" i="12"/>
  <c r="X77" i="12"/>
  <c r="Y77" i="12"/>
  <c r="Z122" i="12"/>
  <c r="AA122" i="12" s="1"/>
  <c r="V146" i="11"/>
  <c r="T138" i="11"/>
  <c r="T147" i="11" s="1"/>
  <c r="W147" i="11" s="1"/>
  <c r="X147" i="11" s="1"/>
  <c r="W133" i="11"/>
  <c r="AB133" i="11"/>
  <c r="X121" i="11"/>
  <c r="Y121" i="11"/>
  <c r="K48" i="11"/>
  <c r="Y37" i="11"/>
  <c r="Y124" i="11"/>
  <c r="X124" i="11"/>
  <c r="Y122" i="11"/>
  <c r="X122" i="11"/>
  <c r="Y66" i="11"/>
  <c r="X66" i="11"/>
  <c r="W67" i="11"/>
  <c r="Z122" i="11"/>
  <c r="AA122" i="11" s="1"/>
  <c r="I23" i="11"/>
  <c r="K22" i="11"/>
  <c r="J22" i="11"/>
  <c r="W12" i="11"/>
  <c r="Y11" i="11"/>
  <c r="X11" i="11"/>
  <c r="X44" i="11"/>
  <c r="W45" i="11"/>
  <c r="Y44" i="11"/>
  <c r="C35" i="11"/>
  <c r="K56" i="11"/>
  <c r="L56" i="11" s="1"/>
  <c r="J56" i="11"/>
  <c r="Z124" i="11"/>
  <c r="AA124" i="11" s="1"/>
  <c r="Y110" i="11"/>
  <c r="X110" i="11"/>
  <c r="W111" i="11"/>
  <c r="Y88" i="11"/>
  <c r="W89" i="11"/>
  <c r="X88" i="11"/>
  <c r="Y56" i="11"/>
  <c r="Z56" i="11" s="1"/>
  <c r="X56" i="11"/>
  <c r="W78" i="11"/>
  <c r="X77" i="11"/>
  <c r="Y77" i="11"/>
  <c r="T125" i="11"/>
  <c r="T146" i="11" s="1"/>
  <c r="AB120" i="11"/>
  <c r="W120" i="11"/>
  <c r="Y123" i="11"/>
  <c r="X123" i="11"/>
  <c r="Q126" i="11"/>
  <c r="Q24" i="11"/>
  <c r="Q138" i="11"/>
  <c r="Q147" i="11" s="1"/>
  <c r="Q148" i="11" s="1"/>
  <c r="Y34" i="11"/>
  <c r="Z34" i="11" s="1"/>
  <c r="X34" i="11"/>
  <c r="K12" i="11"/>
  <c r="L12" i="11" s="1"/>
  <c r="X99" i="11"/>
  <c r="W100" i="11"/>
  <c r="Y99" i="11"/>
  <c r="J45" i="11"/>
  <c r="K45" i="11"/>
  <c r="L45" i="11" s="1"/>
  <c r="W137" i="11"/>
  <c r="AB137" i="11"/>
  <c r="W135" i="11"/>
  <c r="AB135" i="11"/>
  <c r="AB136" i="11"/>
  <c r="W136" i="11"/>
  <c r="J33" i="11"/>
  <c r="I34" i="11"/>
  <c r="K33" i="11"/>
  <c r="V147" i="11"/>
  <c r="AB134" i="11"/>
  <c r="W134" i="11"/>
  <c r="Z121" i="11"/>
  <c r="AA121" i="11" s="1"/>
  <c r="X22" i="11"/>
  <c r="Y22" i="11"/>
  <c r="W23" i="11"/>
  <c r="K89" i="11"/>
  <c r="L89" i="11" s="1"/>
  <c r="J89" i="11"/>
  <c r="T103" i="10"/>
  <c r="T81" i="10"/>
  <c r="T59" i="10"/>
  <c r="T48" i="10"/>
  <c r="T37" i="10"/>
  <c r="T15" i="10"/>
  <c r="T92" i="10" s="1"/>
  <c r="T26" i="10"/>
  <c r="T70" i="10"/>
  <c r="W137" i="10"/>
  <c r="AB137" i="10"/>
  <c r="J78" i="10"/>
  <c r="K78" i="10"/>
  <c r="L78" i="10" s="1"/>
  <c r="K34" i="10"/>
  <c r="L34" i="10" s="1"/>
  <c r="J34" i="10"/>
  <c r="Y123" i="10"/>
  <c r="X123" i="10"/>
  <c r="N121" i="10"/>
  <c r="W146" i="10"/>
  <c r="T148" i="10"/>
  <c r="N133" i="10"/>
  <c r="N123" i="10"/>
  <c r="Y121" i="10"/>
  <c r="X121" i="10"/>
  <c r="W122" i="10"/>
  <c r="AB122" i="10"/>
  <c r="Y88" i="10"/>
  <c r="W89" i="10"/>
  <c r="X88" i="10"/>
  <c r="Y66" i="10"/>
  <c r="W67" i="10"/>
  <c r="X66" i="10"/>
  <c r="N135" i="10"/>
  <c r="Y120" i="10"/>
  <c r="W125" i="10"/>
  <c r="Z125" i="10" s="1"/>
  <c r="AA125" i="10" s="1"/>
  <c r="X120" i="10"/>
  <c r="K66" i="10"/>
  <c r="I67" i="10"/>
  <c r="J66" i="10"/>
  <c r="I45" i="10"/>
  <c r="K44" i="10"/>
  <c r="J44" i="10"/>
  <c r="W134" i="10"/>
  <c r="AB134" i="10"/>
  <c r="Q126" i="10"/>
  <c r="Q24" i="10"/>
  <c r="W111" i="10"/>
  <c r="Y110" i="10"/>
  <c r="X110" i="10"/>
  <c r="Z120" i="10"/>
  <c r="AA120" i="10" s="1"/>
  <c r="I56" i="10"/>
  <c r="K55" i="10"/>
  <c r="J55" i="10"/>
  <c r="W34" i="10"/>
  <c r="Y33" i="10"/>
  <c r="X33" i="10"/>
  <c r="X124" i="10"/>
  <c r="Y124" i="10"/>
  <c r="Y99" i="10"/>
  <c r="W100" i="10"/>
  <c r="X99" i="10"/>
  <c r="I23" i="10"/>
  <c r="K22" i="10"/>
  <c r="J22" i="10"/>
  <c r="K12" i="10"/>
  <c r="L12" i="10" s="1"/>
  <c r="J12" i="10"/>
  <c r="Y37" i="10"/>
  <c r="K48" i="10"/>
  <c r="AB136" i="10"/>
  <c r="W136" i="10"/>
  <c r="Y77" i="10"/>
  <c r="W78" i="10"/>
  <c r="X77" i="10"/>
  <c r="J100" i="10"/>
  <c r="K100" i="10"/>
  <c r="L100" i="10" s="1"/>
  <c r="W135" i="10"/>
  <c r="AB135" i="10"/>
  <c r="T138" i="10"/>
  <c r="T147" i="10" s="1"/>
  <c r="W147" i="10" s="1"/>
  <c r="X147" i="10" s="1"/>
  <c r="W133" i="10"/>
  <c r="AB133" i="10"/>
  <c r="V146" i="10"/>
  <c r="K88" i="10"/>
  <c r="I89" i="10"/>
  <c r="J88" i="10"/>
  <c r="Z123" i="10"/>
  <c r="AA123" i="10" s="1"/>
  <c r="N124" i="10"/>
  <c r="X23" i="10"/>
  <c r="X11" i="10"/>
  <c r="W12" i="10"/>
  <c r="Y11" i="10"/>
  <c r="V147" i="10"/>
  <c r="Z147" i="10" s="1"/>
  <c r="AA147" i="10" s="1"/>
  <c r="Z121" i="10"/>
  <c r="AA121" i="10" s="1"/>
  <c r="H125" i="7" l="1"/>
  <c r="F146" i="7"/>
  <c r="G125" i="7"/>
  <c r="F126" i="7"/>
  <c r="R54" i="18"/>
  <c r="S54" i="18"/>
  <c r="Q54" i="18"/>
  <c r="I54" i="18"/>
  <c r="H54" i="18"/>
  <c r="J54" i="18"/>
  <c r="H21" i="18"/>
  <c r="J21" i="18"/>
  <c r="I21" i="18"/>
  <c r="G20" i="18"/>
  <c r="J12" i="18"/>
  <c r="H12" i="18"/>
  <c r="I12" i="18"/>
  <c r="I77" i="18"/>
  <c r="H77" i="18"/>
  <c r="J77" i="18"/>
  <c r="H75" i="15"/>
  <c r="I75" i="15"/>
  <c r="I71" i="15"/>
  <c r="H71" i="15"/>
  <c r="Z136" i="2"/>
  <c r="AA136" i="2" s="1"/>
  <c r="X136" i="2"/>
  <c r="Y136" i="2"/>
  <c r="Y111" i="2"/>
  <c r="X111" i="2"/>
  <c r="L136" i="2"/>
  <c r="M136" i="2" s="1"/>
  <c r="K136" i="2"/>
  <c r="J136" i="2"/>
  <c r="K111" i="2"/>
  <c r="J111" i="2"/>
  <c r="Z135" i="2"/>
  <c r="AA135" i="2" s="1"/>
  <c r="Y135" i="2"/>
  <c r="X135" i="2"/>
  <c r="K100" i="2"/>
  <c r="J100" i="2"/>
  <c r="L135" i="2"/>
  <c r="M135" i="2" s="1"/>
  <c r="J135" i="2"/>
  <c r="K135" i="2"/>
  <c r="Z134" i="2"/>
  <c r="AA134" i="2" s="1"/>
  <c r="X134" i="2"/>
  <c r="Y134" i="2"/>
  <c r="Y89" i="2"/>
  <c r="X89" i="2"/>
  <c r="L134" i="2"/>
  <c r="M134" i="2" s="1"/>
  <c r="J134" i="2"/>
  <c r="K134" i="2"/>
  <c r="K89" i="2"/>
  <c r="J89" i="2"/>
  <c r="Z133" i="2"/>
  <c r="AA133" i="2" s="1"/>
  <c r="X133" i="2"/>
  <c r="Y133" i="2"/>
  <c r="X78" i="2"/>
  <c r="Y78" i="2"/>
  <c r="J78" i="2"/>
  <c r="K78" i="2"/>
  <c r="L133" i="2"/>
  <c r="M133" i="2" s="1"/>
  <c r="K133" i="2"/>
  <c r="J133" i="2"/>
  <c r="Z132" i="2"/>
  <c r="AA132" i="2" s="1"/>
  <c r="X132" i="2"/>
  <c r="Y132" i="2"/>
  <c r="W137" i="2"/>
  <c r="X67" i="2"/>
  <c r="Y67" i="2"/>
  <c r="L132" i="2"/>
  <c r="M132" i="2" s="1"/>
  <c r="I137" i="2"/>
  <c r="K132" i="2"/>
  <c r="J132" i="2"/>
  <c r="K145" i="2"/>
  <c r="J145" i="2"/>
  <c r="J67" i="2"/>
  <c r="K67" i="2"/>
  <c r="Y56" i="2"/>
  <c r="X56" i="2"/>
  <c r="Z124" i="2"/>
  <c r="AA124" i="2" s="1"/>
  <c r="Y124" i="2"/>
  <c r="X124" i="2"/>
  <c r="J56" i="2"/>
  <c r="K56" i="2"/>
  <c r="L124" i="2"/>
  <c r="M124" i="2" s="1"/>
  <c r="J124" i="2"/>
  <c r="K124" i="2"/>
  <c r="X45" i="2"/>
  <c r="Y45" i="2"/>
  <c r="Z123" i="2"/>
  <c r="AA123" i="2" s="1"/>
  <c r="Y123" i="2"/>
  <c r="X123" i="2"/>
  <c r="L123" i="2"/>
  <c r="M123" i="2" s="1"/>
  <c r="K123" i="2"/>
  <c r="J123" i="2"/>
  <c r="K45" i="2"/>
  <c r="J45" i="2"/>
  <c r="Z122" i="2"/>
  <c r="AA122" i="2" s="1"/>
  <c r="Y122" i="2"/>
  <c r="X122" i="2"/>
  <c r="X34" i="2"/>
  <c r="Y34" i="2"/>
  <c r="J34" i="2"/>
  <c r="K34" i="2"/>
  <c r="L122" i="2"/>
  <c r="M122" i="2" s="1"/>
  <c r="K122" i="2"/>
  <c r="J122" i="2"/>
  <c r="Z121" i="2"/>
  <c r="AA121" i="2" s="1"/>
  <c r="Y121" i="2"/>
  <c r="X121" i="2"/>
  <c r="X23" i="2"/>
  <c r="Y23" i="2"/>
  <c r="L121" i="2"/>
  <c r="M121" i="2" s="1"/>
  <c r="J121" i="2"/>
  <c r="K121" i="2"/>
  <c r="K23" i="2"/>
  <c r="J23" i="2"/>
  <c r="V146" i="2"/>
  <c r="Y12" i="2"/>
  <c r="X12" i="2"/>
  <c r="W144" i="2"/>
  <c r="Z144" i="2" s="1"/>
  <c r="AA144" i="2" s="1"/>
  <c r="T146" i="2"/>
  <c r="Z120" i="2"/>
  <c r="AA120" i="2" s="1"/>
  <c r="W125" i="2"/>
  <c r="X120" i="2"/>
  <c r="Y120" i="2"/>
  <c r="H146" i="2"/>
  <c r="J12" i="2"/>
  <c r="K12" i="2"/>
  <c r="L120" i="2"/>
  <c r="M120" i="2" s="1"/>
  <c r="I125" i="2"/>
  <c r="J120" i="2"/>
  <c r="K120" i="2"/>
  <c r="F146" i="2"/>
  <c r="I144" i="2"/>
  <c r="L144" i="2" s="1"/>
  <c r="M144" i="2" s="1"/>
  <c r="Y26" i="2"/>
  <c r="K37" i="2"/>
  <c r="T118" i="2"/>
  <c r="T130" i="2"/>
  <c r="T142" i="2" s="1"/>
  <c r="Z145" i="2"/>
  <c r="AA145" i="2" s="1"/>
  <c r="L145" i="2"/>
  <c r="M145" i="2" s="1"/>
  <c r="J45" i="1"/>
  <c r="K45" i="1"/>
  <c r="L45" i="1" s="1"/>
  <c r="I34" i="15"/>
  <c r="H34" i="15"/>
  <c r="I126" i="12"/>
  <c r="K125" i="12"/>
  <c r="J125" i="12"/>
  <c r="L125" i="12"/>
  <c r="M125" i="12" s="1"/>
  <c r="K148" i="12"/>
  <c r="J148" i="12"/>
  <c r="J148" i="11"/>
  <c r="K148" i="11"/>
  <c r="K148" i="10"/>
  <c r="J148" i="10"/>
  <c r="J34" i="12"/>
  <c r="K34" i="12"/>
  <c r="L34" i="12" s="1"/>
  <c r="V148" i="12"/>
  <c r="Y45" i="12"/>
  <c r="Z45" i="12" s="1"/>
  <c r="X45" i="12"/>
  <c r="Y111" i="12"/>
  <c r="Z111" i="12" s="1"/>
  <c r="X111" i="12"/>
  <c r="K111" i="12"/>
  <c r="L111" i="12" s="1"/>
  <c r="J111" i="12"/>
  <c r="Y136" i="12"/>
  <c r="X136" i="12"/>
  <c r="Z136" i="12"/>
  <c r="AA136" i="12" s="1"/>
  <c r="Y67" i="12"/>
  <c r="Z67" i="12" s="1"/>
  <c r="X67" i="12"/>
  <c r="K89" i="12"/>
  <c r="L89" i="12" s="1"/>
  <c r="J89" i="12"/>
  <c r="Y123" i="12"/>
  <c r="X123" i="12"/>
  <c r="Z123" i="12"/>
  <c r="AA123" i="12" s="1"/>
  <c r="J56" i="12"/>
  <c r="K56" i="12"/>
  <c r="L56" i="12" s="1"/>
  <c r="Y56" i="12"/>
  <c r="Z56" i="12" s="1"/>
  <c r="X56" i="12"/>
  <c r="Y121" i="12"/>
  <c r="X121" i="12"/>
  <c r="Z121" i="12"/>
  <c r="AA121" i="12" s="1"/>
  <c r="W125" i="12"/>
  <c r="K67" i="12"/>
  <c r="L67" i="12" s="1"/>
  <c r="J67" i="12"/>
  <c r="W138" i="12"/>
  <c r="Y133" i="12"/>
  <c r="X133" i="12"/>
  <c r="Z133" i="12"/>
  <c r="AA133" i="12" s="1"/>
  <c r="Y100" i="12"/>
  <c r="Z100" i="12" s="1"/>
  <c r="X100" i="12"/>
  <c r="X23" i="12"/>
  <c r="Y23" i="12"/>
  <c r="Z23" i="12" s="1"/>
  <c r="K37" i="12"/>
  <c r="Y26" i="12"/>
  <c r="J78" i="12"/>
  <c r="K78" i="12"/>
  <c r="L78" i="12" s="1"/>
  <c r="Y78" i="12"/>
  <c r="Z78" i="12" s="1"/>
  <c r="X78" i="12"/>
  <c r="X124" i="12"/>
  <c r="Y124" i="12"/>
  <c r="Z124" i="12"/>
  <c r="AA124" i="12" s="1"/>
  <c r="J100" i="12"/>
  <c r="K100" i="12"/>
  <c r="L100" i="12" s="1"/>
  <c r="Y89" i="12"/>
  <c r="Z89" i="12" s="1"/>
  <c r="X89" i="12"/>
  <c r="Y134" i="12"/>
  <c r="X134" i="12"/>
  <c r="Z134" i="12"/>
  <c r="AA134" i="12" s="1"/>
  <c r="X12" i="12"/>
  <c r="Y12" i="12"/>
  <c r="Z12" i="12" s="1"/>
  <c r="W146" i="12"/>
  <c r="T148" i="12"/>
  <c r="Y135" i="12"/>
  <c r="X135" i="12"/>
  <c r="Z135" i="12"/>
  <c r="AA135" i="12" s="1"/>
  <c r="Y137" i="12"/>
  <c r="X137" i="12"/>
  <c r="Z137" i="12"/>
  <c r="AA137" i="12" s="1"/>
  <c r="W125" i="11"/>
  <c r="Y120" i="11"/>
  <c r="X120" i="11"/>
  <c r="Z120" i="11"/>
  <c r="AA120" i="11" s="1"/>
  <c r="Z147" i="11"/>
  <c r="AA147" i="11" s="1"/>
  <c r="Y136" i="11"/>
  <c r="X136" i="11"/>
  <c r="Z136" i="11"/>
  <c r="AA136" i="11" s="1"/>
  <c r="W146" i="11"/>
  <c r="T148" i="11"/>
  <c r="Y78" i="11"/>
  <c r="Z78" i="11" s="1"/>
  <c r="X78" i="11"/>
  <c r="Y89" i="11"/>
  <c r="Z89" i="11" s="1"/>
  <c r="X89" i="11"/>
  <c r="Y45" i="11"/>
  <c r="Z45" i="11" s="1"/>
  <c r="X45" i="11"/>
  <c r="X12" i="11"/>
  <c r="Y12" i="11"/>
  <c r="Z12" i="11" s="1"/>
  <c r="V148" i="11"/>
  <c r="Z146" i="11"/>
  <c r="AA146" i="11" s="1"/>
  <c r="J34" i="11"/>
  <c r="K34" i="11"/>
  <c r="L34" i="11" s="1"/>
  <c r="Y23" i="11"/>
  <c r="Z23" i="11" s="1"/>
  <c r="X23" i="11"/>
  <c r="Y134" i="11"/>
  <c r="X134" i="11"/>
  <c r="Z134" i="11"/>
  <c r="AA134" i="11" s="1"/>
  <c r="Y135" i="11"/>
  <c r="X135" i="11"/>
  <c r="Z135" i="11"/>
  <c r="AA135" i="11" s="1"/>
  <c r="Y137" i="11"/>
  <c r="X137" i="11"/>
  <c r="Z137" i="11"/>
  <c r="AA137" i="11" s="1"/>
  <c r="Y100" i="11"/>
  <c r="Z100" i="11" s="1"/>
  <c r="X100" i="11"/>
  <c r="K23" i="11"/>
  <c r="L23" i="11" s="1"/>
  <c r="J23" i="11"/>
  <c r="Y111" i="11"/>
  <c r="Z111" i="11" s="1"/>
  <c r="X111" i="11"/>
  <c r="Y67" i="11"/>
  <c r="Z67" i="11" s="1"/>
  <c r="X67" i="11"/>
  <c r="K59" i="11"/>
  <c r="Y48" i="11"/>
  <c r="W138" i="11"/>
  <c r="Y133" i="11"/>
  <c r="X133" i="11"/>
  <c r="Z133" i="11"/>
  <c r="AA133" i="11" s="1"/>
  <c r="Y136" i="10"/>
  <c r="X136" i="10"/>
  <c r="Z136" i="10"/>
  <c r="AA136" i="10" s="1"/>
  <c r="J23" i="10"/>
  <c r="K23" i="10"/>
  <c r="L23" i="10" s="1"/>
  <c r="Y100" i="10"/>
  <c r="Z100" i="10" s="1"/>
  <c r="X100" i="10"/>
  <c r="K67" i="10"/>
  <c r="L67" i="10" s="1"/>
  <c r="J67" i="10"/>
  <c r="Y67" i="10"/>
  <c r="Z67" i="10" s="1"/>
  <c r="X67" i="10"/>
  <c r="W148" i="10"/>
  <c r="X146" i="10"/>
  <c r="T131" i="10"/>
  <c r="T144" i="10" s="1"/>
  <c r="T118" i="10"/>
  <c r="Y134" i="10"/>
  <c r="X134" i="10"/>
  <c r="Z134" i="10"/>
  <c r="AA134" i="10" s="1"/>
  <c r="X125" i="10"/>
  <c r="W126" i="10"/>
  <c r="Y125" i="10"/>
  <c r="Y146" i="10" s="1"/>
  <c r="Y89" i="10"/>
  <c r="Z89" i="10" s="1"/>
  <c r="X89" i="10"/>
  <c r="X122" i="10"/>
  <c r="Y122" i="10"/>
  <c r="Z122" i="10"/>
  <c r="AA122" i="10" s="1"/>
  <c r="Z146" i="10"/>
  <c r="AA146" i="10" s="1"/>
  <c r="V148" i="10"/>
  <c r="Z148" i="10" s="1"/>
  <c r="AA148" i="10" s="1"/>
  <c r="X34" i="10"/>
  <c r="Y34" i="10"/>
  <c r="Z34" i="10" s="1"/>
  <c r="J56" i="10"/>
  <c r="K56" i="10"/>
  <c r="L56" i="10" s="1"/>
  <c r="W138" i="10"/>
  <c r="Y133" i="10"/>
  <c r="X133" i="10"/>
  <c r="Z133" i="10"/>
  <c r="AA133" i="10" s="1"/>
  <c r="Y111" i="10"/>
  <c r="Z111" i="10" s="1"/>
  <c r="X111" i="10"/>
  <c r="Y12" i="10"/>
  <c r="Z12" i="10" s="1"/>
  <c r="X12" i="10"/>
  <c r="K89" i="10"/>
  <c r="L89" i="10" s="1"/>
  <c r="J89" i="10"/>
  <c r="Y135" i="10"/>
  <c r="X135" i="10"/>
  <c r="Z135" i="10"/>
  <c r="AA135" i="10" s="1"/>
  <c r="Y78" i="10"/>
  <c r="Z78" i="10" s="1"/>
  <c r="X78" i="10"/>
  <c r="Y48" i="10"/>
  <c r="K59" i="10"/>
  <c r="J45" i="10"/>
  <c r="K45" i="10"/>
  <c r="L45" i="10" s="1"/>
  <c r="Y137" i="10"/>
  <c r="X137" i="10"/>
  <c r="Z137" i="10"/>
  <c r="AA137" i="10" s="1"/>
  <c r="F148" i="7" l="1"/>
  <c r="H146" i="7"/>
  <c r="G146" i="7"/>
  <c r="G126" i="7"/>
  <c r="H126" i="7"/>
  <c r="H20" i="18"/>
  <c r="I20" i="18"/>
  <c r="J20" i="18"/>
  <c r="G26" i="18"/>
  <c r="C29" i="18"/>
  <c r="Z137" i="2"/>
  <c r="AA137" i="2" s="1"/>
  <c r="X137" i="2"/>
  <c r="Y137" i="2"/>
  <c r="Y145" i="2" s="1"/>
  <c r="L137" i="2"/>
  <c r="M137" i="2" s="1"/>
  <c r="J137" i="2"/>
  <c r="K137" i="2"/>
  <c r="W146" i="2"/>
  <c r="X144" i="2"/>
  <c r="Z125" i="2"/>
  <c r="AA125" i="2" s="1"/>
  <c r="Y125" i="2"/>
  <c r="Y144" i="2" s="1"/>
  <c r="X125" i="2"/>
  <c r="L125" i="2"/>
  <c r="M125" i="2" s="1"/>
  <c r="K125" i="2"/>
  <c r="J125" i="2"/>
  <c r="I146" i="2"/>
  <c r="K144" i="2"/>
  <c r="J144" i="2"/>
  <c r="K48" i="2"/>
  <c r="Y37" i="2"/>
  <c r="M126" i="12"/>
  <c r="J126" i="12"/>
  <c r="W148" i="12"/>
  <c r="X146" i="12"/>
  <c r="K48" i="12"/>
  <c r="Y37" i="12"/>
  <c r="X138" i="12"/>
  <c r="Y138" i="12"/>
  <c r="Y147" i="12" s="1"/>
  <c r="W139" i="12"/>
  <c r="Z138" i="12"/>
  <c r="AA138" i="12" s="1"/>
  <c r="X125" i="12"/>
  <c r="Y125" i="12"/>
  <c r="Y146" i="12" s="1"/>
  <c r="W126" i="12"/>
  <c r="Z125" i="12"/>
  <c r="AA125" i="12" s="1"/>
  <c r="Z148" i="12"/>
  <c r="AA148" i="12" s="1"/>
  <c r="Z146" i="12"/>
  <c r="AA146" i="12" s="1"/>
  <c r="X125" i="11"/>
  <c r="W126" i="11"/>
  <c r="Y125" i="11"/>
  <c r="Y146" i="11" s="1"/>
  <c r="Z125" i="11"/>
  <c r="AA125" i="11" s="1"/>
  <c r="X138" i="11"/>
  <c r="W139" i="11"/>
  <c r="Y138" i="11"/>
  <c r="Y147" i="11" s="1"/>
  <c r="Z138" i="11"/>
  <c r="AA138" i="11" s="1"/>
  <c r="K70" i="11"/>
  <c r="Y59" i="11"/>
  <c r="W148" i="11"/>
  <c r="X146" i="11"/>
  <c r="X126" i="10"/>
  <c r="AA126" i="10"/>
  <c r="Y148" i="10"/>
  <c r="X148" i="10"/>
  <c r="X138" i="10"/>
  <c r="Y138" i="10"/>
  <c r="Y147" i="10" s="1"/>
  <c r="W139" i="10"/>
  <c r="Z138" i="10"/>
  <c r="AA138" i="10" s="1"/>
  <c r="K70" i="10"/>
  <c r="Y59" i="10"/>
  <c r="H148" i="7" l="1"/>
  <c r="G148" i="7"/>
  <c r="Z146" i="2"/>
  <c r="AA146" i="2" s="1"/>
  <c r="X146" i="2"/>
  <c r="Y146" i="2"/>
  <c r="L146" i="2"/>
  <c r="M146" i="2" s="1"/>
  <c r="K146" i="2"/>
  <c r="J146" i="2"/>
  <c r="K59" i="2"/>
  <c r="Y48" i="2"/>
  <c r="X126" i="12"/>
  <c r="AA126" i="12"/>
  <c r="X139" i="12"/>
  <c r="AA139" i="12"/>
  <c r="Y48" i="12"/>
  <c r="K59" i="12"/>
  <c r="Y148" i="12"/>
  <c r="X148" i="12"/>
  <c r="X126" i="11"/>
  <c r="AA126" i="11"/>
  <c r="Y148" i="11"/>
  <c r="X148" i="11"/>
  <c r="K81" i="11"/>
  <c r="Y70" i="11"/>
  <c r="X139" i="11"/>
  <c r="AA139" i="11"/>
  <c r="Z148" i="11"/>
  <c r="AA148" i="11" s="1"/>
  <c r="Y70" i="10"/>
  <c r="K81" i="10"/>
  <c r="X139" i="10"/>
  <c r="AA139" i="10"/>
  <c r="K70" i="2" l="1"/>
  <c r="Y59" i="2"/>
  <c r="K70" i="12"/>
  <c r="Y59" i="12"/>
  <c r="K92" i="11"/>
  <c r="Y81" i="11"/>
  <c r="K92" i="10"/>
  <c r="Y81" i="10"/>
  <c r="K81" i="2" l="1"/>
  <c r="Y70" i="2"/>
  <c r="Y70" i="12"/>
  <c r="K81" i="12"/>
  <c r="K103" i="11"/>
  <c r="Y103" i="11" s="1"/>
  <c r="Y92" i="11"/>
  <c r="Y92" i="10"/>
  <c r="K103" i="10"/>
  <c r="Y103" i="10" s="1"/>
  <c r="K92" i="2" l="1"/>
  <c r="Y81" i="2"/>
  <c r="Y81" i="12"/>
  <c r="K92" i="12"/>
  <c r="K103" i="2" l="1"/>
  <c r="Y103" i="2" s="1"/>
  <c r="Y92" i="12"/>
  <c r="K103" i="12"/>
  <c r="Y103" i="12" s="1"/>
  <c r="U4" i="1" l="1"/>
  <c r="W5" i="1"/>
  <c r="X5" i="1" s="1"/>
  <c r="W6" i="1"/>
  <c r="W7" i="1"/>
  <c r="W8" i="1"/>
  <c r="Y8" i="1" s="1"/>
  <c r="Z8" i="1" s="1"/>
  <c r="W9" i="1"/>
  <c r="X9" i="1" s="1"/>
  <c r="W10" i="1"/>
  <c r="Q11" i="1"/>
  <c r="Q120" i="1" s="1"/>
  <c r="R11" i="1"/>
  <c r="R120" i="1" s="1"/>
  <c r="S11" i="1"/>
  <c r="S120" i="1" s="1"/>
  <c r="T11" i="1"/>
  <c r="T120" i="1" s="1"/>
  <c r="U11" i="1"/>
  <c r="V11" i="1"/>
  <c r="P12" i="1"/>
  <c r="V120" i="1"/>
  <c r="G130" i="1"/>
  <c r="M131" i="1"/>
  <c r="B132" i="1"/>
  <c r="B133" i="1"/>
  <c r="B134" i="1"/>
  <c r="B135" i="1"/>
  <c r="B136" i="1"/>
  <c r="M143" i="1"/>
  <c r="Y142" i="1"/>
  <c r="P111" i="1"/>
  <c r="P100" i="1"/>
  <c r="P89" i="1"/>
  <c r="P78" i="1"/>
  <c r="P67" i="1"/>
  <c r="P56" i="1"/>
  <c r="P45" i="1"/>
  <c r="P34" i="1"/>
  <c r="P23" i="1"/>
  <c r="B111" i="1"/>
  <c r="B100" i="1"/>
  <c r="B89" i="1"/>
  <c r="B78" i="1"/>
  <c r="B67" i="1"/>
  <c r="B56" i="1"/>
  <c r="B34" i="1"/>
  <c r="B23" i="1"/>
  <c r="P136" i="1"/>
  <c r="P135" i="1"/>
  <c r="P134" i="1"/>
  <c r="P133" i="1"/>
  <c r="P132" i="1"/>
  <c r="U130" i="1"/>
  <c r="P124" i="1"/>
  <c r="B124" i="1"/>
  <c r="P123" i="1"/>
  <c r="B123" i="1"/>
  <c r="P122" i="1"/>
  <c r="B122" i="1"/>
  <c r="P121" i="1"/>
  <c r="B121" i="1"/>
  <c r="P120" i="1"/>
  <c r="B120" i="1"/>
  <c r="M119" i="1"/>
  <c r="U118" i="1"/>
  <c r="V110" i="1"/>
  <c r="V136" i="1" s="1"/>
  <c r="U110" i="1"/>
  <c r="T110" i="1"/>
  <c r="T136" i="1" s="1"/>
  <c r="S110" i="1"/>
  <c r="S136" i="1" s="1"/>
  <c r="R110" i="1"/>
  <c r="R136" i="1" s="1"/>
  <c r="Q110" i="1"/>
  <c r="H110" i="1"/>
  <c r="H136" i="1" s="1"/>
  <c r="G110" i="1"/>
  <c r="G136" i="1" s="1"/>
  <c r="F110" i="1"/>
  <c r="F136" i="1" s="1"/>
  <c r="E110" i="1"/>
  <c r="E136" i="1" s="1"/>
  <c r="D110" i="1"/>
  <c r="D136" i="1" s="1"/>
  <c r="C110" i="1"/>
  <c r="C136" i="1" s="1"/>
  <c r="X109" i="1"/>
  <c r="W109" i="1"/>
  <c r="Y109" i="1" s="1"/>
  <c r="Z109" i="1" s="1"/>
  <c r="I109" i="1"/>
  <c r="K109" i="1" s="1"/>
  <c r="X108" i="1"/>
  <c r="W108" i="1"/>
  <c r="Y108" i="1" s="1"/>
  <c r="I108" i="1"/>
  <c r="K108" i="1" s="1"/>
  <c r="X107" i="1"/>
  <c r="W107" i="1"/>
  <c r="Y107" i="1" s="1"/>
  <c r="Z107" i="1" s="1"/>
  <c r="I107" i="1"/>
  <c r="J107" i="1" s="1"/>
  <c r="X106" i="1"/>
  <c r="W106" i="1"/>
  <c r="Z106" i="1" s="1"/>
  <c r="I106" i="1"/>
  <c r="J106" i="1" s="1"/>
  <c r="X105" i="1"/>
  <c r="W105" i="1"/>
  <c r="Y105" i="1" s="1"/>
  <c r="Z105" i="1" s="1"/>
  <c r="I105" i="1"/>
  <c r="X104" i="1"/>
  <c r="W104" i="1"/>
  <c r="Y104" i="1" s="1"/>
  <c r="Z104" i="1" s="1"/>
  <c r="I104" i="1"/>
  <c r="U103" i="1"/>
  <c r="G103" i="1"/>
  <c r="V99" i="1"/>
  <c r="V135" i="1" s="1"/>
  <c r="U99" i="1"/>
  <c r="U135" i="1" s="1"/>
  <c r="T99" i="1"/>
  <c r="S99" i="1"/>
  <c r="S135" i="1" s="1"/>
  <c r="R99" i="1"/>
  <c r="R135" i="1" s="1"/>
  <c r="Q99" i="1"/>
  <c r="Q101" i="1" s="1"/>
  <c r="H99" i="1"/>
  <c r="H135" i="1" s="1"/>
  <c r="G99" i="1"/>
  <c r="G135" i="1" s="1"/>
  <c r="F99" i="1"/>
  <c r="F135" i="1" s="1"/>
  <c r="E99" i="1"/>
  <c r="E135" i="1" s="1"/>
  <c r="D99" i="1"/>
  <c r="D135" i="1" s="1"/>
  <c r="C99" i="1"/>
  <c r="C135" i="1" s="1"/>
  <c r="X98" i="1"/>
  <c r="W98" i="1"/>
  <c r="Y98" i="1" s="1"/>
  <c r="Z98" i="1" s="1"/>
  <c r="I98" i="1"/>
  <c r="K98" i="1" s="1"/>
  <c r="L98" i="1" s="1"/>
  <c r="X97" i="1"/>
  <c r="W97" i="1"/>
  <c r="Y97" i="1" s="1"/>
  <c r="Z97" i="1" s="1"/>
  <c r="I97" i="1"/>
  <c r="J97" i="1" s="1"/>
  <c r="X96" i="1"/>
  <c r="W96" i="1"/>
  <c r="Y96" i="1" s="1"/>
  <c r="Z96" i="1" s="1"/>
  <c r="I96" i="1"/>
  <c r="J96" i="1" s="1"/>
  <c r="X95" i="1"/>
  <c r="W95" i="1"/>
  <c r="Y95" i="1" s="1"/>
  <c r="Z95" i="1" s="1"/>
  <c r="I95" i="1"/>
  <c r="J95" i="1" s="1"/>
  <c r="X94" i="1"/>
  <c r="W94" i="1"/>
  <c r="Y94" i="1" s="1"/>
  <c r="Z94" i="1" s="1"/>
  <c r="I94" i="1"/>
  <c r="K94" i="1" s="1"/>
  <c r="L94" i="1" s="1"/>
  <c r="X93" i="1"/>
  <c r="W93" i="1"/>
  <c r="Y93" i="1" s="1"/>
  <c r="Z93" i="1" s="1"/>
  <c r="I93" i="1"/>
  <c r="J93" i="1" s="1"/>
  <c r="U92" i="1"/>
  <c r="G92" i="1"/>
  <c r="V88" i="1"/>
  <c r="V134" i="1" s="1"/>
  <c r="U88" i="1"/>
  <c r="U134" i="1" s="1"/>
  <c r="T88" i="1"/>
  <c r="T134" i="1" s="1"/>
  <c r="S88" i="1"/>
  <c r="S134" i="1" s="1"/>
  <c r="R88" i="1"/>
  <c r="R134" i="1" s="1"/>
  <c r="Q88" i="1"/>
  <c r="Q134" i="1" s="1"/>
  <c r="H88" i="1"/>
  <c r="H134" i="1" s="1"/>
  <c r="G88" i="1"/>
  <c r="G134" i="1" s="1"/>
  <c r="F88" i="1"/>
  <c r="F134" i="1" s="1"/>
  <c r="E88" i="1"/>
  <c r="E134" i="1" s="1"/>
  <c r="D88" i="1"/>
  <c r="D134" i="1" s="1"/>
  <c r="C88" i="1"/>
  <c r="C134" i="1" s="1"/>
  <c r="X87" i="1"/>
  <c r="W87" i="1"/>
  <c r="Y87" i="1" s="1"/>
  <c r="Z87" i="1" s="1"/>
  <c r="I87" i="1"/>
  <c r="X86" i="1"/>
  <c r="W86" i="1"/>
  <c r="Y86" i="1" s="1"/>
  <c r="Z86" i="1" s="1"/>
  <c r="I86" i="1"/>
  <c r="X85" i="1"/>
  <c r="W85" i="1"/>
  <c r="Y85" i="1" s="1"/>
  <c r="Z85" i="1" s="1"/>
  <c r="I85" i="1"/>
  <c r="X84" i="1"/>
  <c r="W84" i="1"/>
  <c r="Y84" i="1" s="1"/>
  <c r="Z84" i="1" s="1"/>
  <c r="I84" i="1"/>
  <c r="X83" i="1"/>
  <c r="W83" i="1"/>
  <c r="Y83" i="1" s="1"/>
  <c r="Z83" i="1" s="1"/>
  <c r="I83" i="1"/>
  <c r="X82" i="1"/>
  <c r="W82" i="1"/>
  <c r="Y82" i="1" s="1"/>
  <c r="Z82" i="1" s="1"/>
  <c r="I82" i="1"/>
  <c r="U81" i="1"/>
  <c r="G81" i="1"/>
  <c r="V77" i="1"/>
  <c r="V133" i="1" s="1"/>
  <c r="U77" i="1"/>
  <c r="U133" i="1" s="1"/>
  <c r="T77" i="1"/>
  <c r="S77" i="1"/>
  <c r="S133" i="1" s="1"/>
  <c r="R77" i="1"/>
  <c r="R133" i="1" s="1"/>
  <c r="Q77" i="1"/>
  <c r="Q79" i="1" s="1"/>
  <c r="H77" i="1"/>
  <c r="H133" i="1" s="1"/>
  <c r="G77" i="1"/>
  <c r="G133" i="1" s="1"/>
  <c r="F77" i="1"/>
  <c r="F133" i="1" s="1"/>
  <c r="E77" i="1"/>
  <c r="E133" i="1" s="1"/>
  <c r="D77" i="1"/>
  <c r="D133" i="1" s="1"/>
  <c r="C77" i="1"/>
  <c r="C133" i="1" s="1"/>
  <c r="W76" i="1"/>
  <c r="X76" i="1" s="1"/>
  <c r="I76" i="1"/>
  <c r="J76" i="1" s="1"/>
  <c r="W75" i="1"/>
  <c r="X75" i="1" s="1"/>
  <c r="I75" i="1"/>
  <c r="K75" i="1" s="1"/>
  <c r="L75" i="1" s="1"/>
  <c r="W74" i="1"/>
  <c r="X74" i="1" s="1"/>
  <c r="I74" i="1"/>
  <c r="K74" i="1" s="1"/>
  <c r="L74" i="1" s="1"/>
  <c r="W73" i="1"/>
  <c r="X73" i="1" s="1"/>
  <c r="I73" i="1"/>
  <c r="K73" i="1" s="1"/>
  <c r="L73" i="1" s="1"/>
  <c r="W72" i="1"/>
  <c r="X72" i="1" s="1"/>
  <c r="I72" i="1"/>
  <c r="K72" i="1" s="1"/>
  <c r="L72" i="1" s="1"/>
  <c r="W71" i="1"/>
  <c r="X71" i="1" s="1"/>
  <c r="I71" i="1"/>
  <c r="K71" i="1" s="1"/>
  <c r="L71" i="1" s="1"/>
  <c r="U70" i="1"/>
  <c r="G70" i="1"/>
  <c r="V66" i="1"/>
  <c r="V132" i="1" s="1"/>
  <c r="U66" i="1"/>
  <c r="U132" i="1" s="1"/>
  <c r="T66" i="1"/>
  <c r="T132" i="1" s="1"/>
  <c r="S66" i="1"/>
  <c r="S132" i="1" s="1"/>
  <c r="R66" i="1"/>
  <c r="R132" i="1" s="1"/>
  <c r="Q66" i="1"/>
  <c r="Q132" i="1" s="1"/>
  <c r="H66" i="1"/>
  <c r="H132" i="1" s="1"/>
  <c r="G66" i="1"/>
  <c r="G132" i="1" s="1"/>
  <c r="F66" i="1"/>
  <c r="F132" i="1" s="1"/>
  <c r="E66" i="1"/>
  <c r="E132" i="1" s="1"/>
  <c r="D66" i="1"/>
  <c r="D132" i="1" s="1"/>
  <c r="C66" i="1"/>
  <c r="C132" i="1" s="1"/>
  <c r="W65" i="1"/>
  <c r="I65" i="1"/>
  <c r="W64" i="1"/>
  <c r="I64" i="1"/>
  <c r="W63" i="1"/>
  <c r="I63" i="1"/>
  <c r="W62" i="1"/>
  <c r="I62" i="1"/>
  <c r="W61" i="1"/>
  <c r="I61" i="1"/>
  <c r="W60" i="1"/>
  <c r="I60" i="1"/>
  <c r="U59" i="1"/>
  <c r="G59" i="1"/>
  <c r="V55" i="1"/>
  <c r="V124" i="1" s="1"/>
  <c r="U55" i="1"/>
  <c r="U124" i="1" s="1"/>
  <c r="T55" i="1"/>
  <c r="S55" i="1"/>
  <c r="S124" i="1" s="1"/>
  <c r="R55" i="1"/>
  <c r="R124" i="1" s="1"/>
  <c r="Q55" i="1"/>
  <c r="Q124" i="1" s="1"/>
  <c r="H55" i="1"/>
  <c r="H124" i="1" s="1"/>
  <c r="G55" i="1"/>
  <c r="G124" i="1" s="1"/>
  <c r="F55" i="1"/>
  <c r="F124" i="1" s="1"/>
  <c r="E55" i="1"/>
  <c r="E124" i="1" s="1"/>
  <c r="D55" i="1"/>
  <c r="D124" i="1" s="1"/>
  <c r="C55" i="1"/>
  <c r="C124" i="1" s="1"/>
  <c r="W54" i="1"/>
  <c r="X54" i="1" s="1"/>
  <c r="I54" i="1"/>
  <c r="K54" i="1" s="1"/>
  <c r="L54" i="1" s="1"/>
  <c r="W53" i="1"/>
  <c r="X53" i="1" s="1"/>
  <c r="I53" i="1"/>
  <c r="K53" i="1" s="1"/>
  <c r="L53" i="1" s="1"/>
  <c r="W52" i="1"/>
  <c r="Y52" i="1" s="1"/>
  <c r="Z52" i="1" s="1"/>
  <c r="I52" i="1"/>
  <c r="K52" i="1" s="1"/>
  <c r="L52" i="1" s="1"/>
  <c r="W51" i="1"/>
  <c r="Y51" i="1" s="1"/>
  <c r="Z51" i="1" s="1"/>
  <c r="I51" i="1"/>
  <c r="K51" i="1" s="1"/>
  <c r="L51" i="1" s="1"/>
  <c r="W50" i="1"/>
  <c r="X50" i="1" s="1"/>
  <c r="I50" i="1"/>
  <c r="K50" i="1" s="1"/>
  <c r="L50" i="1" s="1"/>
  <c r="W49" i="1"/>
  <c r="X49" i="1" s="1"/>
  <c r="I49" i="1"/>
  <c r="K49" i="1" s="1"/>
  <c r="L49" i="1" s="1"/>
  <c r="U48" i="1"/>
  <c r="G48" i="1"/>
  <c r="V44" i="1"/>
  <c r="V123" i="1" s="1"/>
  <c r="U44" i="1"/>
  <c r="U123" i="1" s="1"/>
  <c r="T44" i="1"/>
  <c r="T123" i="1" s="1"/>
  <c r="S44" i="1"/>
  <c r="S123" i="1" s="1"/>
  <c r="R44" i="1"/>
  <c r="R123" i="1" s="1"/>
  <c r="Q44" i="1"/>
  <c r="Q123" i="1" s="1"/>
  <c r="H123" i="1"/>
  <c r="G123" i="1"/>
  <c r="F123" i="1"/>
  <c r="E123" i="1"/>
  <c r="D123" i="1"/>
  <c r="C123" i="1"/>
  <c r="W43" i="1"/>
  <c r="W42" i="1"/>
  <c r="W41" i="1"/>
  <c r="W40" i="1"/>
  <c r="W39" i="1"/>
  <c r="Y39" i="1" s="1"/>
  <c r="Z39" i="1" s="1"/>
  <c r="L39" i="1"/>
  <c r="W38" i="1"/>
  <c r="Y38" i="1" s="1"/>
  <c r="Z38" i="1" s="1"/>
  <c r="U37" i="1"/>
  <c r="V33" i="1"/>
  <c r="V122" i="1" s="1"/>
  <c r="U33" i="1"/>
  <c r="U122" i="1" s="1"/>
  <c r="T33" i="1"/>
  <c r="T122" i="1" s="1"/>
  <c r="S33" i="1"/>
  <c r="S122" i="1" s="1"/>
  <c r="R33" i="1"/>
  <c r="R122" i="1" s="1"/>
  <c r="Q33" i="1"/>
  <c r="Q122" i="1" s="1"/>
  <c r="H33" i="1"/>
  <c r="H122" i="1" s="1"/>
  <c r="G33" i="1"/>
  <c r="F33" i="1"/>
  <c r="F122" i="1" s="1"/>
  <c r="E33" i="1"/>
  <c r="E122" i="1" s="1"/>
  <c r="D33" i="1"/>
  <c r="D122" i="1" s="1"/>
  <c r="C33" i="1"/>
  <c r="C122" i="1" s="1"/>
  <c r="W32" i="1"/>
  <c r="I32" i="1"/>
  <c r="W31" i="1"/>
  <c r="I31" i="1"/>
  <c r="W30" i="1"/>
  <c r="I30" i="1"/>
  <c r="W29" i="1"/>
  <c r="I29" i="1"/>
  <c r="W28" i="1"/>
  <c r="I28" i="1"/>
  <c r="W27" i="1"/>
  <c r="I27" i="1"/>
  <c r="U26" i="1"/>
  <c r="G26" i="1"/>
  <c r="V22" i="1"/>
  <c r="V121" i="1" s="1"/>
  <c r="U22" i="1"/>
  <c r="U121" i="1" s="1"/>
  <c r="T22" i="1"/>
  <c r="T121" i="1" s="1"/>
  <c r="S22" i="1"/>
  <c r="S121" i="1" s="1"/>
  <c r="R22" i="1"/>
  <c r="R121" i="1" s="1"/>
  <c r="Q22" i="1"/>
  <c r="Q121" i="1" s="1"/>
  <c r="H22" i="1"/>
  <c r="H121" i="1" s="1"/>
  <c r="G22" i="1"/>
  <c r="F22" i="1"/>
  <c r="F121" i="1" s="1"/>
  <c r="E22" i="1"/>
  <c r="E121" i="1" s="1"/>
  <c r="D22" i="1"/>
  <c r="D121" i="1" s="1"/>
  <c r="C22" i="1"/>
  <c r="W21" i="1"/>
  <c r="I21" i="1"/>
  <c r="W20" i="1"/>
  <c r="I20" i="1"/>
  <c r="W19" i="1"/>
  <c r="I19" i="1"/>
  <c r="W18" i="1"/>
  <c r="I18" i="1"/>
  <c r="W17" i="1"/>
  <c r="I17" i="1"/>
  <c r="W16" i="1"/>
  <c r="I16" i="1"/>
  <c r="U15" i="1"/>
  <c r="Q15" i="1"/>
  <c r="Q26" i="1" s="1"/>
  <c r="Q37" i="1" s="1"/>
  <c r="Q48" i="1" s="1"/>
  <c r="Q59" i="1" s="1"/>
  <c r="Q70" i="1" s="1"/>
  <c r="Q81" i="1" s="1"/>
  <c r="Q92" i="1" s="1"/>
  <c r="Q103" i="1" s="1"/>
  <c r="G15" i="1"/>
  <c r="C15" i="1"/>
  <c r="C26" i="1" s="1"/>
  <c r="C37" i="1" s="1"/>
  <c r="C48" i="1" s="1"/>
  <c r="C59" i="1" s="1"/>
  <c r="C70" i="1" s="1"/>
  <c r="C81" i="1" s="1"/>
  <c r="C92" i="1" s="1"/>
  <c r="C103" i="1" s="1"/>
  <c r="H11" i="1"/>
  <c r="H120" i="1" s="1"/>
  <c r="G11" i="1"/>
  <c r="G120" i="1" s="1"/>
  <c r="F11" i="1"/>
  <c r="F120" i="1" s="1"/>
  <c r="E11" i="1"/>
  <c r="E120" i="1" s="1"/>
  <c r="D11" i="1"/>
  <c r="D120" i="1" s="1"/>
  <c r="C11" i="1"/>
  <c r="C120" i="1" s="1"/>
  <c r="I10" i="1"/>
  <c r="J10" i="1" s="1"/>
  <c r="I9" i="1"/>
  <c r="J9" i="1" s="1"/>
  <c r="J8" i="1"/>
  <c r="I7" i="1"/>
  <c r="J7" i="1" s="1"/>
  <c r="I6" i="1"/>
  <c r="I5" i="1"/>
  <c r="J5" i="1" s="1"/>
  <c r="K4" i="1"/>
  <c r="I8" i="15" s="1"/>
  <c r="I37" i="15" s="1"/>
  <c r="F4" i="1"/>
  <c r="D22" i="17"/>
  <c r="E7" i="15" l="1"/>
  <c r="F37" i="1"/>
  <c r="I134" i="1"/>
  <c r="L134" i="1" s="1"/>
  <c r="M134" i="1" s="1"/>
  <c r="Z88" i="1"/>
  <c r="Y10" i="1"/>
  <c r="Z10" i="1" s="1"/>
  <c r="X10" i="1"/>
  <c r="X8" i="1"/>
  <c r="I135" i="1"/>
  <c r="X7" i="1"/>
  <c r="Y7" i="1"/>
  <c r="Z7" i="1" s="1"/>
  <c r="Z99" i="1"/>
  <c r="Y6" i="1"/>
  <c r="Z6" i="1" s="1"/>
  <c r="X6" i="1"/>
  <c r="L55" i="1"/>
  <c r="J6" i="1"/>
  <c r="K6" i="1"/>
  <c r="L6" i="1" s="1"/>
  <c r="Q125" i="1"/>
  <c r="Q144" i="1" s="1"/>
  <c r="I23" i="15"/>
  <c r="I30" i="15"/>
  <c r="R125" i="1"/>
  <c r="R144" i="1" s="1"/>
  <c r="Z108" i="1"/>
  <c r="Z110" i="1" s="1"/>
  <c r="AA143" i="1"/>
  <c r="W11" i="1"/>
  <c r="X11" i="1" s="1"/>
  <c r="S125" i="1"/>
  <c r="S144" i="1" s="1"/>
  <c r="K7" i="1"/>
  <c r="L7" i="1" s="1"/>
  <c r="AB121" i="1"/>
  <c r="P76" i="14" s="1"/>
  <c r="I136" i="1"/>
  <c r="V125" i="1"/>
  <c r="V144" i="1" s="1"/>
  <c r="T4" i="1"/>
  <c r="Y4" i="1"/>
  <c r="Y54" i="1"/>
  <c r="Z54" i="1" s="1"/>
  <c r="K106" i="1"/>
  <c r="L106" i="1" s="1"/>
  <c r="K107" i="1"/>
  <c r="L107" i="1" s="1"/>
  <c r="I133" i="1"/>
  <c r="J133" i="1" s="1"/>
  <c r="E137" i="1"/>
  <c r="E145" i="1" s="1"/>
  <c r="C137" i="1"/>
  <c r="C145" i="1" s="1"/>
  <c r="G137" i="1"/>
  <c r="G145" i="1" s="1"/>
  <c r="D137" i="1"/>
  <c r="D145" i="1" s="1"/>
  <c r="H137" i="1"/>
  <c r="H145" i="1" s="1"/>
  <c r="I132" i="1"/>
  <c r="Y9" i="1"/>
  <c r="Z9" i="1" s="1"/>
  <c r="Y5" i="1"/>
  <c r="Z5" i="1" s="1"/>
  <c r="F137" i="1"/>
  <c r="Y71" i="1"/>
  <c r="Z71" i="1" s="1"/>
  <c r="Y50" i="1"/>
  <c r="Z50" i="1" s="1"/>
  <c r="Y53" i="1"/>
  <c r="Z53" i="1" s="1"/>
  <c r="Y49" i="1"/>
  <c r="Z49" i="1" s="1"/>
  <c r="K95" i="1"/>
  <c r="L95" i="1" s="1"/>
  <c r="J53" i="1"/>
  <c r="J49" i="1"/>
  <c r="K97" i="1"/>
  <c r="L97" i="1" s="1"/>
  <c r="I99" i="1"/>
  <c r="K76" i="1"/>
  <c r="L76" i="1" s="1"/>
  <c r="L77" i="1" s="1"/>
  <c r="J74" i="1"/>
  <c r="J72" i="1"/>
  <c r="AB123" i="1"/>
  <c r="G57" i="14" s="1"/>
  <c r="J51" i="1"/>
  <c r="Y74" i="1"/>
  <c r="Z74" i="1" s="1"/>
  <c r="X38" i="1"/>
  <c r="Y75" i="1"/>
  <c r="Z75" i="1" s="1"/>
  <c r="K93" i="1"/>
  <c r="L93" i="1" s="1"/>
  <c r="W22" i="1"/>
  <c r="Y22" i="1" s="1"/>
  <c r="W123" i="1"/>
  <c r="W134" i="1"/>
  <c r="Q135" i="1"/>
  <c r="W88" i="1"/>
  <c r="Y88" i="1" s="1"/>
  <c r="Q90" i="1"/>
  <c r="Y72" i="1"/>
  <c r="Z72" i="1" s="1"/>
  <c r="Y73" i="1"/>
  <c r="Z73" i="1" s="1"/>
  <c r="Y76" i="1"/>
  <c r="Z76" i="1" s="1"/>
  <c r="W132" i="1"/>
  <c r="Z132" i="1" s="1"/>
  <c r="AA132" i="1" s="1"/>
  <c r="AB132" i="1"/>
  <c r="AJ38" i="14" s="1"/>
  <c r="W66" i="1"/>
  <c r="Q68" i="1"/>
  <c r="X51" i="1"/>
  <c r="X52" i="1"/>
  <c r="W44" i="1"/>
  <c r="Y44" i="1" s="1"/>
  <c r="Q46" i="1"/>
  <c r="W33" i="1"/>
  <c r="W121" i="1"/>
  <c r="Z121" i="1" s="1"/>
  <c r="AA121" i="1" s="1"/>
  <c r="I110" i="1"/>
  <c r="K110" i="1" s="1"/>
  <c r="J94" i="1"/>
  <c r="J98" i="1"/>
  <c r="K96" i="1"/>
  <c r="L96" i="1" s="1"/>
  <c r="J71" i="1"/>
  <c r="J73" i="1"/>
  <c r="J75" i="1"/>
  <c r="I77" i="1"/>
  <c r="I78" i="1" s="1"/>
  <c r="D125" i="1"/>
  <c r="D144" i="1" s="1"/>
  <c r="I55" i="1"/>
  <c r="J50" i="1"/>
  <c r="J52" i="1"/>
  <c r="J54" i="1"/>
  <c r="C46" i="1"/>
  <c r="K9" i="1"/>
  <c r="L9" i="1" s="1"/>
  <c r="K10" i="1"/>
  <c r="L10" i="1" s="1"/>
  <c r="K8" i="1"/>
  <c r="L8" i="1" s="1"/>
  <c r="K5" i="1"/>
  <c r="L5" i="1" s="1"/>
  <c r="I11" i="1"/>
  <c r="J11" i="1" s="1"/>
  <c r="E125" i="1"/>
  <c r="E144" i="1" s="1"/>
  <c r="Y17" i="1"/>
  <c r="Z17" i="1" s="1"/>
  <c r="X17" i="1"/>
  <c r="Y21" i="1"/>
  <c r="Z21" i="1" s="1"/>
  <c r="X21" i="1"/>
  <c r="X29" i="1"/>
  <c r="Y29" i="1"/>
  <c r="Z29" i="1" s="1"/>
  <c r="L38" i="1"/>
  <c r="N136" i="1"/>
  <c r="AJ57" i="13" s="1"/>
  <c r="Q112" i="1"/>
  <c r="Q136" i="1"/>
  <c r="C121" i="1"/>
  <c r="C125" i="1" s="1"/>
  <c r="C144" i="1" s="1"/>
  <c r="C24" i="1"/>
  <c r="J109" i="1"/>
  <c r="L109" i="1"/>
  <c r="F125" i="1"/>
  <c r="F144" i="1" s="1"/>
  <c r="N120" i="1"/>
  <c r="P38" i="13" s="1"/>
  <c r="I120" i="1"/>
  <c r="L120" i="1" s="1"/>
  <c r="M120" i="1" s="1"/>
  <c r="X16" i="1"/>
  <c r="Y16" i="1"/>
  <c r="Z16" i="1" s="1"/>
  <c r="Y18" i="1"/>
  <c r="Z18" i="1" s="1"/>
  <c r="X18" i="1"/>
  <c r="X20" i="1"/>
  <c r="Y20" i="1"/>
  <c r="Z20" i="1" s="1"/>
  <c r="X28" i="1"/>
  <c r="Y28" i="1"/>
  <c r="Z28" i="1" s="1"/>
  <c r="X30" i="1"/>
  <c r="Y30" i="1"/>
  <c r="Z30" i="1" s="1"/>
  <c r="X32" i="1"/>
  <c r="Y32" i="1"/>
  <c r="Z32" i="1" s="1"/>
  <c r="N122" i="1"/>
  <c r="G76" i="13" s="1"/>
  <c r="I123" i="1"/>
  <c r="L123" i="1" s="1"/>
  <c r="M123" i="1" s="1"/>
  <c r="N123" i="1"/>
  <c r="G57" i="13" s="1"/>
  <c r="C90" i="1"/>
  <c r="Y19" i="1"/>
  <c r="Z19" i="1" s="1"/>
  <c r="X19" i="1"/>
  <c r="Q24" i="1"/>
  <c r="X27" i="1"/>
  <c r="Y27" i="1"/>
  <c r="Z27" i="1" s="1"/>
  <c r="X31" i="1"/>
  <c r="Y31" i="1"/>
  <c r="Z31" i="1" s="1"/>
  <c r="U136" i="1"/>
  <c r="W136" i="1" s="1"/>
  <c r="Z136" i="1" s="1"/>
  <c r="W110" i="1"/>
  <c r="K16" i="1"/>
  <c r="L16" i="1" s="1"/>
  <c r="J16" i="1"/>
  <c r="J18" i="1"/>
  <c r="K18" i="1"/>
  <c r="L18" i="1" s="1"/>
  <c r="K20" i="1"/>
  <c r="L20" i="1" s="1"/>
  <c r="J20" i="1"/>
  <c r="G121" i="1"/>
  <c r="I121" i="1" s="1"/>
  <c r="L121" i="1" s="1"/>
  <c r="I22" i="1"/>
  <c r="K28" i="1"/>
  <c r="L28" i="1" s="1"/>
  <c r="J28" i="1"/>
  <c r="K30" i="1"/>
  <c r="L30" i="1" s="1"/>
  <c r="J30" i="1"/>
  <c r="K32" i="1"/>
  <c r="L32" i="1" s="1"/>
  <c r="J32" i="1"/>
  <c r="L41" i="1"/>
  <c r="L43" i="1"/>
  <c r="I66" i="1"/>
  <c r="K84" i="1"/>
  <c r="L84" i="1" s="1"/>
  <c r="J84" i="1"/>
  <c r="F103" i="1"/>
  <c r="F81" i="1"/>
  <c r="F59" i="1"/>
  <c r="F70" i="1"/>
  <c r="F92" i="1"/>
  <c r="F48" i="1"/>
  <c r="F130" i="1" s="1"/>
  <c r="F26" i="1"/>
  <c r="F15" i="1"/>
  <c r="U120" i="1"/>
  <c r="K17" i="1"/>
  <c r="L17" i="1" s="1"/>
  <c r="J17" i="1"/>
  <c r="J19" i="1"/>
  <c r="K19" i="1"/>
  <c r="L19" i="1" s="1"/>
  <c r="K21" i="1"/>
  <c r="L21" i="1" s="1"/>
  <c r="J21" i="1"/>
  <c r="K27" i="1"/>
  <c r="L27" i="1" s="1"/>
  <c r="J27" i="1"/>
  <c r="K29" i="1"/>
  <c r="L29" i="1" s="1"/>
  <c r="J29" i="1"/>
  <c r="K31" i="1"/>
  <c r="L31" i="1" s="1"/>
  <c r="J31" i="1"/>
  <c r="G122" i="1"/>
  <c r="I122" i="1" s="1"/>
  <c r="I33" i="1"/>
  <c r="L40" i="1"/>
  <c r="L42" i="1"/>
  <c r="N121" i="1"/>
  <c r="P76" i="13" s="1"/>
  <c r="K63" i="1"/>
  <c r="L63" i="1" s="1"/>
  <c r="J63" i="1"/>
  <c r="C68" i="1"/>
  <c r="T135" i="1"/>
  <c r="W99" i="1"/>
  <c r="K104" i="1"/>
  <c r="L104" i="1" s="1"/>
  <c r="J104" i="1"/>
  <c r="J108" i="1"/>
  <c r="L108" i="1"/>
  <c r="AA131" i="1"/>
  <c r="X39" i="1"/>
  <c r="Y40" i="1"/>
  <c r="Z40" i="1" s="1"/>
  <c r="X40" i="1"/>
  <c r="Y41" i="1"/>
  <c r="Z41" i="1" s="1"/>
  <c r="X41" i="1"/>
  <c r="Y42" i="1"/>
  <c r="Z42" i="1" s="1"/>
  <c r="X42" i="1"/>
  <c r="Y43" i="1"/>
  <c r="Z43" i="1" s="1"/>
  <c r="X43" i="1"/>
  <c r="Q57" i="1"/>
  <c r="R137" i="1"/>
  <c r="R145" i="1" s="1"/>
  <c r="V137" i="1"/>
  <c r="V145" i="1" s="1"/>
  <c r="T133" i="1"/>
  <c r="W77" i="1"/>
  <c r="K82" i="1"/>
  <c r="L82" i="1" s="1"/>
  <c r="J82" i="1"/>
  <c r="K86" i="1"/>
  <c r="L86" i="1" s="1"/>
  <c r="J86" i="1"/>
  <c r="L105" i="1"/>
  <c r="J105" i="1"/>
  <c r="AA119" i="1"/>
  <c r="Q133" i="1"/>
  <c r="AB122" i="1"/>
  <c r="G76" i="14" s="1"/>
  <c r="W122" i="1"/>
  <c r="Z122" i="1" s="1"/>
  <c r="AA122" i="1" s="1"/>
  <c r="T124" i="1"/>
  <c r="T125" i="1" s="1"/>
  <c r="W55" i="1"/>
  <c r="K60" i="1"/>
  <c r="L60" i="1" s="1"/>
  <c r="J60" i="1"/>
  <c r="K61" i="1"/>
  <c r="L61" i="1" s="1"/>
  <c r="J61" i="1"/>
  <c r="K62" i="1"/>
  <c r="L62" i="1" s="1"/>
  <c r="J62" i="1"/>
  <c r="K64" i="1"/>
  <c r="L64" i="1" s="1"/>
  <c r="J64" i="1"/>
  <c r="K65" i="1"/>
  <c r="L65" i="1" s="1"/>
  <c r="J65" i="1"/>
  <c r="K85" i="1"/>
  <c r="L85" i="1" s="1"/>
  <c r="J85" i="1"/>
  <c r="N135" i="1"/>
  <c r="AJ76" i="13" s="1"/>
  <c r="C13" i="1"/>
  <c r="H125" i="1"/>
  <c r="H144" i="1" s="1"/>
  <c r="AB120" i="1"/>
  <c r="P38" i="14" s="1"/>
  <c r="K15" i="1"/>
  <c r="Q35" i="1"/>
  <c r="Y60" i="1"/>
  <c r="Z60" i="1" s="1"/>
  <c r="X60" i="1"/>
  <c r="Y61" i="1"/>
  <c r="Z61" i="1" s="1"/>
  <c r="X61" i="1"/>
  <c r="Y62" i="1"/>
  <c r="Z62" i="1" s="1"/>
  <c r="X62" i="1"/>
  <c r="Y63" i="1"/>
  <c r="Z63" i="1" s="1"/>
  <c r="X63" i="1"/>
  <c r="Y64" i="1"/>
  <c r="Z64" i="1" s="1"/>
  <c r="X64" i="1"/>
  <c r="Y65" i="1"/>
  <c r="Z65" i="1" s="1"/>
  <c r="X65" i="1"/>
  <c r="S137" i="1"/>
  <c r="S145" i="1" s="1"/>
  <c r="K83" i="1"/>
  <c r="L83" i="1" s="1"/>
  <c r="J83" i="1"/>
  <c r="K87" i="1"/>
  <c r="L87" i="1" s="1"/>
  <c r="J87" i="1"/>
  <c r="I88" i="1"/>
  <c r="N124" i="1"/>
  <c r="P57" i="13" s="1"/>
  <c r="N133" i="1"/>
  <c r="AA76" i="13" s="1"/>
  <c r="AB134" i="1"/>
  <c r="AA57" i="14" s="1"/>
  <c r="I124" i="1"/>
  <c r="L124" i="1" s="1"/>
  <c r="M124" i="1" s="1"/>
  <c r="C57" i="1"/>
  <c r="C79" i="1"/>
  <c r="C101" i="1"/>
  <c r="C112" i="1"/>
  <c r="AB136" i="1"/>
  <c r="AJ57" i="14" s="1"/>
  <c r="AM57" i="13" l="1"/>
  <c r="AL57" i="13"/>
  <c r="G38" i="13"/>
  <c r="AA136" i="1"/>
  <c r="E22" i="15"/>
  <c r="E36" i="15"/>
  <c r="W67" i="1"/>
  <c r="X66" i="1"/>
  <c r="E29" i="15"/>
  <c r="Y134" i="1"/>
  <c r="Z134" i="1"/>
  <c r="AA134" i="1" s="1"/>
  <c r="K134" i="1"/>
  <c r="J134" i="1"/>
  <c r="W34" i="1"/>
  <c r="Y33" i="1"/>
  <c r="K136" i="1"/>
  <c r="L136" i="1"/>
  <c r="M136" i="1" s="1"/>
  <c r="L133" i="1"/>
  <c r="M133" i="1" s="1"/>
  <c r="K133" i="1"/>
  <c r="Z55" i="1"/>
  <c r="X134" i="1"/>
  <c r="X33" i="1"/>
  <c r="L99" i="1"/>
  <c r="K135" i="1"/>
  <c r="L135" i="1"/>
  <c r="M135" i="1" s="1"/>
  <c r="J135" i="1"/>
  <c r="Y132" i="1"/>
  <c r="X132" i="1"/>
  <c r="K99" i="1"/>
  <c r="I100" i="1"/>
  <c r="K55" i="1"/>
  <c r="I56" i="1"/>
  <c r="J55" i="1"/>
  <c r="Z44" i="1"/>
  <c r="X123" i="1"/>
  <c r="Y123" i="1"/>
  <c r="Z11" i="1"/>
  <c r="K132" i="1"/>
  <c r="J132" i="1"/>
  <c r="L132" i="1"/>
  <c r="M132" i="1" s="1"/>
  <c r="Z77" i="1"/>
  <c r="Z66" i="1"/>
  <c r="Z33" i="1"/>
  <c r="Z22" i="1"/>
  <c r="Q13" i="1"/>
  <c r="L110" i="1"/>
  <c r="L88" i="1"/>
  <c r="L66" i="1"/>
  <c r="L44" i="1"/>
  <c r="L33" i="1"/>
  <c r="L22" i="1"/>
  <c r="T137" i="1"/>
  <c r="T145" i="1" s="1"/>
  <c r="I137" i="1"/>
  <c r="J136" i="1"/>
  <c r="T144" i="1"/>
  <c r="J99" i="1"/>
  <c r="I12" i="1"/>
  <c r="Y11" i="1"/>
  <c r="W89" i="1"/>
  <c r="W12" i="1"/>
  <c r="Y12" i="1" s="1"/>
  <c r="Z12" i="1" s="1"/>
  <c r="L11" i="1"/>
  <c r="U125" i="1"/>
  <c r="U144" i="1" s="1"/>
  <c r="Q137" i="1"/>
  <c r="Q145" i="1" s="1"/>
  <c r="Q146" i="1" s="1"/>
  <c r="R146" i="1"/>
  <c r="S146" i="1"/>
  <c r="V146" i="1"/>
  <c r="Z123" i="1"/>
  <c r="AA123" i="1" s="1"/>
  <c r="I111" i="1"/>
  <c r="K111" i="1" s="1"/>
  <c r="L111" i="1" s="1"/>
  <c r="J110" i="1"/>
  <c r="H146" i="1"/>
  <c r="C146" i="1"/>
  <c r="E146" i="1"/>
  <c r="D146" i="1"/>
  <c r="J77" i="1"/>
  <c r="X88" i="1"/>
  <c r="W45" i="1"/>
  <c r="X22" i="1"/>
  <c r="K77" i="1"/>
  <c r="X44" i="1"/>
  <c r="Y121" i="1"/>
  <c r="W23" i="1"/>
  <c r="Y23" i="1" s="1"/>
  <c r="Z23" i="1" s="1"/>
  <c r="Y66" i="1"/>
  <c r="X121" i="1"/>
  <c r="K11" i="1"/>
  <c r="G125" i="1"/>
  <c r="G144" i="1" s="1"/>
  <c r="G146" i="1" s="1"/>
  <c r="K122" i="1"/>
  <c r="J122" i="1"/>
  <c r="L122" i="1"/>
  <c r="M122" i="1" s="1"/>
  <c r="T103" i="1"/>
  <c r="T81" i="1"/>
  <c r="T59" i="1"/>
  <c r="T26" i="1"/>
  <c r="T15" i="1"/>
  <c r="T92" i="1" s="1"/>
  <c r="T70" i="1"/>
  <c r="T37" i="1"/>
  <c r="T48" i="1"/>
  <c r="X110" i="1"/>
  <c r="Y110" i="1"/>
  <c r="W111" i="1"/>
  <c r="K124" i="1"/>
  <c r="J124" i="1"/>
  <c r="AB133" i="1"/>
  <c r="AA76" i="14" s="1"/>
  <c r="AA38" i="14" s="1"/>
  <c r="W133" i="1"/>
  <c r="X136" i="1"/>
  <c r="Y136" i="1"/>
  <c r="U137" i="1"/>
  <c r="U145" i="1" s="1"/>
  <c r="N134" i="1"/>
  <c r="AA57" i="13" s="1"/>
  <c r="W120" i="1"/>
  <c r="W56" i="1"/>
  <c r="Y55" i="1"/>
  <c r="X55" i="1"/>
  <c r="W100" i="1"/>
  <c r="Y99" i="1"/>
  <c r="X99" i="1"/>
  <c r="J121" i="1"/>
  <c r="K121" i="1"/>
  <c r="C35" i="1"/>
  <c r="F142" i="1"/>
  <c r="F118" i="1"/>
  <c r="F145" i="1"/>
  <c r="I145" i="1" s="1"/>
  <c r="N132" i="1"/>
  <c r="AJ38" i="13" s="1"/>
  <c r="J22" i="1"/>
  <c r="I23" i="1"/>
  <c r="K22" i="1"/>
  <c r="J123" i="1"/>
  <c r="K123" i="1"/>
  <c r="W78" i="1"/>
  <c r="X77" i="1"/>
  <c r="Y77" i="1"/>
  <c r="K120" i="1"/>
  <c r="I125" i="1"/>
  <c r="J120" i="1"/>
  <c r="K26" i="1"/>
  <c r="K37" i="1" s="1"/>
  <c r="Y15" i="1"/>
  <c r="X122" i="1"/>
  <c r="Y122" i="1"/>
  <c r="K88" i="1"/>
  <c r="J88" i="1"/>
  <c r="I89" i="1"/>
  <c r="J78" i="1"/>
  <c r="K78" i="1"/>
  <c r="AB124" i="1"/>
  <c r="P57" i="14" s="1"/>
  <c r="W124" i="1"/>
  <c r="M121" i="1"/>
  <c r="W135" i="1"/>
  <c r="AB135" i="1"/>
  <c r="AJ76" i="14" s="1"/>
  <c r="J33" i="1"/>
  <c r="I34" i="1"/>
  <c r="K33" i="1"/>
  <c r="J66" i="1"/>
  <c r="I67" i="1"/>
  <c r="K66" i="1"/>
  <c r="AA38" i="13" l="1"/>
  <c r="G6" i="13" s="1"/>
  <c r="I38" i="13"/>
  <c r="L78" i="1"/>
  <c r="Y67" i="1"/>
  <c r="Z67" i="1" s="1"/>
  <c r="X67" i="1"/>
  <c r="X34" i="1"/>
  <c r="Y34" i="1"/>
  <c r="Z34" i="1" s="1"/>
  <c r="X89" i="1"/>
  <c r="Y89" i="1"/>
  <c r="Z89" i="1" s="1"/>
  <c r="X12" i="1"/>
  <c r="W144" i="1"/>
  <c r="T146" i="1"/>
  <c r="K100" i="1"/>
  <c r="L100" i="1" s="1"/>
  <c r="J100" i="1"/>
  <c r="K56" i="1"/>
  <c r="L56" i="1" s="1"/>
  <c r="J56" i="1"/>
  <c r="Y45" i="1"/>
  <c r="Z45" i="1" s="1"/>
  <c r="X45" i="1"/>
  <c r="K137" i="1"/>
  <c r="J12" i="1"/>
  <c r="K12" i="1"/>
  <c r="L12" i="1" s="1"/>
  <c r="W125" i="1"/>
  <c r="Z125" i="1" s="1"/>
  <c r="AA125" i="1" s="1"/>
  <c r="J137" i="1"/>
  <c r="L137" i="1"/>
  <c r="M137" i="1" s="1"/>
  <c r="J111" i="1"/>
  <c r="U146" i="1"/>
  <c r="W145" i="1"/>
  <c r="K145" i="1"/>
  <c r="J145" i="1"/>
  <c r="F146" i="1"/>
  <c r="L145" i="1"/>
  <c r="M145" i="1" s="1"/>
  <c r="I144" i="1"/>
  <c r="X23" i="1"/>
  <c r="Y135" i="1"/>
  <c r="X135" i="1"/>
  <c r="Z135" i="1"/>
  <c r="AA135" i="1" s="1"/>
  <c r="J23" i="1"/>
  <c r="K23" i="1"/>
  <c r="L23" i="1" s="1"/>
  <c r="K67" i="1"/>
  <c r="L67" i="1" s="1"/>
  <c r="J67" i="1"/>
  <c r="J34" i="1"/>
  <c r="K34" i="1"/>
  <c r="L34" i="1" s="1"/>
  <c r="X124" i="1"/>
  <c r="Y124" i="1"/>
  <c r="Z124" i="1"/>
  <c r="AA124" i="1" s="1"/>
  <c r="Y26" i="1"/>
  <c r="J125" i="1"/>
  <c r="K125" i="1"/>
  <c r="X120" i="1"/>
  <c r="Y120" i="1"/>
  <c r="Z120" i="1"/>
  <c r="AA120" i="1" s="1"/>
  <c r="X111" i="1"/>
  <c r="Y111" i="1"/>
  <c r="Z111" i="1" s="1"/>
  <c r="X133" i="1"/>
  <c r="Y133" i="1"/>
  <c r="Z133" i="1"/>
  <c r="AA133" i="1" s="1"/>
  <c r="W137" i="1"/>
  <c r="K89" i="1"/>
  <c r="L89" i="1" s="1"/>
  <c r="J89" i="1"/>
  <c r="L125" i="1"/>
  <c r="M125" i="1" s="1"/>
  <c r="X78" i="1"/>
  <c r="Y78" i="1"/>
  <c r="Z78" i="1" s="1"/>
  <c r="Y100" i="1"/>
  <c r="Z100" i="1" s="1"/>
  <c r="X100" i="1"/>
  <c r="Y56" i="1"/>
  <c r="Z56" i="1" s="1"/>
  <c r="X56" i="1"/>
  <c r="T118" i="1"/>
  <c r="T130" i="1"/>
  <c r="T142" i="1" s="1"/>
  <c r="I6" i="13" l="1"/>
  <c r="X144" i="1"/>
  <c r="Z144" i="1"/>
  <c r="AA144" i="1" s="1"/>
  <c r="W146" i="1"/>
  <c r="Y146" i="1" s="1"/>
  <c r="Y125" i="1"/>
  <c r="Y144" i="1" s="1"/>
  <c r="X125" i="1"/>
  <c r="X145" i="1"/>
  <c r="Z145" i="1"/>
  <c r="AA145" i="1" s="1"/>
  <c r="K144" i="1"/>
  <c r="I146" i="1"/>
  <c r="J144" i="1"/>
  <c r="L144" i="1"/>
  <c r="M144" i="1" s="1"/>
  <c r="K48" i="1"/>
  <c r="Y37" i="1"/>
  <c r="Y137" i="1"/>
  <c r="Y145" i="1" s="1"/>
  <c r="X137" i="1"/>
  <c r="Z137" i="1"/>
  <c r="AA137" i="1" s="1"/>
  <c r="AA87" i="13"/>
  <c r="P87" i="13"/>
  <c r="P49" i="13"/>
  <c r="AJ49" i="14"/>
  <c r="AJ87" i="14"/>
  <c r="AA87" i="14"/>
  <c r="AA68" i="14"/>
  <c r="AJ68" i="14"/>
  <c r="P87" i="14"/>
  <c r="G87" i="14"/>
  <c r="G68" i="14"/>
  <c r="P68" i="14"/>
  <c r="P49" i="14"/>
  <c r="G50" i="14"/>
  <c r="AJ87" i="13"/>
  <c r="AA68" i="13"/>
  <c r="AJ68" i="13"/>
  <c r="AJ49" i="13"/>
  <c r="AA50" i="13"/>
  <c r="G87" i="13"/>
  <c r="G68" i="13"/>
  <c r="P68" i="13"/>
  <c r="Z146" i="1" l="1"/>
  <c r="AA146" i="1" s="1"/>
  <c r="X146" i="1"/>
  <c r="AA49" i="13"/>
  <c r="J146" i="1"/>
  <c r="L146" i="1"/>
  <c r="M146" i="1" s="1"/>
  <c r="K146" i="1"/>
  <c r="Y48" i="1"/>
  <c r="K59" i="1"/>
  <c r="AA49" i="14"/>
  <c r="G49" i="14"/>
  <c r="K70" i="1" l="1"/>
  <c r="Y59" i="1"/>
  <c r="G16" i="14"/>
  <c r="Y70" i="1" l="1"/>
  <c r="K81" i="1"/>
  <c r="H88" i="13"/>
  <c r="I88" i="13"/>
  <c r="J88" i="13"/>
  <c r="Q88" i="13"/>
  <c r="R88" i="13"/>
  <c r="S88" i="13"/>
  <c r="F89" i="13"/>
  <c r="M89" i="13"/>
  <c r="N89" i="13"/>
  <c r="O89" i="13"/>
  <c r="K92" i="1" l="1"/>
  <c r="Y81" i="1"/>
  <c r="Y92" i="1" l="1"/>
  <c r="K103" i="1"/>
  <c r="Y103" i="1" s="1"/>
  <c r="F44" i="13" l="1"/>
  <c r="AA67" i="14" l="1"/>
  <c r="AJ48" i="14"/>
  <c r="G67" i="14" l="1"/>
  <c r="AJ48" i="13"/>
  <c r="P67" i="13"/>
  <c r="AJ86" i="14"/>
  <c r="AA67" i="13"/>
  <c r="AJ67" i="13"/>
  <c r="AA86" i="13"/>
  <c r="AA86" i="14"/>
  <c r="AJ67" i="14"/>
  <c r="AJ86" i="13"/>
  <c r="P67" i="14"/>
  <c r="G67" i="13"/>
  <c r="P86" i="14"/>
  <c r="G86" i="13"/>
  <c r="G86" i="14"/>
  <c r="P86" i="13"/>
  <c r="P48" i="14"/>
  <c r="P48" i="13"/>
  <c r="AA48" i="14" l="1"/>
  <c r="G48" i="14"/>
  <c r="AA48" i="13"/>
  <c r="G15" i="14" l="1"/>
  <c r="AB85" i="13" l="1"/>
  <c r="G47" i="13"/>
  <c r="G15" i="13" l="1"/>
  <c r="O17" i="17" s="1"/>
  <c r="G47" i="14"/>
  <c r="AA47" i="14"/>
  <c r="G14" i="14" l="1"/>
  <c r="P17" i="17" l="1"/>
  <c r="R17" i="17"/>
  <c r="F16" i="17" s="1"/>
  <c r="J65" i="13"/>
  <c r="AA46" i="14" l="1"/>
  <c r="AA46" i="13"/>
  <c r="G46" i="13" l="1"/>
  <c r="G14" i="13" s="1"/>
  <c r="O16" i="17" s="1"/>
  <c r="G46" i="14"/>
  <c r="G13" i="14" s="1"/>
  <c r="P16" i="17" l="1"/>
  <c r="P89" i="13"/>
  <c r="G89" i="13" l="1"/>
  <c r="H89" i="13" s="1"/>
  <c r="G91" i="13"/>
  <c r="G45" i="13"/>
  <c r="R89" i="13"/>
  <c r="Q89" i="13"/>
  <c r="S89" i="13"/>
  <c r="G45" i="14"/>
  <c r="AA45" i="14"/>
  <c r="G12" i="14" l="1"/>
  <c r="P15" i="17" s="1"/>
  <c r="AA45" i="13"/>
  <c r="G13" i="13" s="1"/>
  <c r="O15" i="17" s="1"/>
  <c r="P21" i="17" l="1"/>
  <c r="O21" i="17"/>
  <c r="R15" i="17"/>
  <c r="C26" i="15"/>
  <c r="H24" i="15"/>
  <c r="C19" i="15"/>
  <c r="H17" i="15"/>
  <c r="H16" i="15"/>
  <c r="I15" i="15"/>
  <c r="I13" i="15"/>
  <c r="H12" i="15"/>
  <c r="H11" i="15"/>
  <c r="I10" i="15"/>
  <c r="H9" i="15"/>
  <c r="AI91" i="13"/>
  <c r="AH91" i="13"/>
  <c r="AG91" i="13"/>
  <c r="Z91" i="13"/>
  <c r="Y91" i="13"/>
  <c r="X91" i="13"/>
  <c r="O91" i="13"/>
  <c r="N91" i="13"/>
  <c r="M91" i="13"/>
  <c r="F91" i="13"/>
  <c r="E91" i="13"/>
  <c r="D91" i="13"/>
  <c r="AI89" i="13"/>
  <c r="AH89" i="13"/>
  <c r="AG89" i="13"/>
  <c r="Z89" i="13"/>
  <c r="Y89" i="13"/>
  <c r="X89" i="13"/>
  <c r="E89" i="13"/>
  <c r="J89" i="13" s="1"/>
  <c r="D89" i="13"/>
  <c r="I89" i="13" s="1"/>
  <c r="AM88" i="13"/>
  <c r="AL88" i="13"/>
  <c r="AL87" i="13"/>
  <c r="AM85" i="13"/>
  <c r="AC85" i="13"/>
  <c r="AD85" i="13"/>
  <c r="S85" i="13"/>
  <c r="J85" i="13"/>
  <c r="AM84" i="13"/>
  <c r="AC84" i="13"/>
  <c r="Q84" i="13"/>
  <c r="I84" i="13"/>
  <c r="AC83" i="13"/>
  <c r="I83" i="13"/>
  <c r="AI82" i="13"/>
  <c r="AH82" i="13"/>
  <c r="AG82" i="13"/>
  <c r="Z82" i="13"/>
  <c r="Y82" i="13"/>
  <c r="X82" i="13"/>
  <c r="O82" i="13"/>
  <c r="N82" i="13"/>
  <c r="M82" i="13"/>
  <c r="F82" i="13"/>
  <c r="E82" i="13"/>
  <c r="D82" i="13"/>
  <c r="AI72" i="13"/>
  <c r="AH72" i="13"/>
  <c r="AG72" i="13"/>
  <c r="Z72" i="13"/>
  <c r="Y72" i="13"/>
  <c r="X72" i="13"/>
  <c r="O72" i="13"/>
  <c r="N72" i="13"/>
  <c r="M72" i="13"/>
  <c r="F72" i="13"/>
  <c r="E72" i="13"/>
  <c r="D72" i="13"/>
  <c r="AI70" i="13"/>
  <c r="AH70" i="13"/>
  <c r="AG70" i="13"/>
  <c r="Z70" i="13"/>
  <c r="Y70" i="13"/>
  <c r="X70" i="13"/>
  <c r="O70" i="13"/>
  <c r="N70" i="13"/>
  <c r="M70" i="13"/>
  <c r="F70" i="13"/>
  <c r="E70" i="13"/>
  <c r="D70" i="13"/>
  <c r="AL66" i="13"/>
  <c r="AD66" i="13"/>
  <c r="R66" i="13"/>
  <c r="J66" i="13"/>
  <c r="AK65" i="13"/>
  <c r="AD65" i="13"/>
  <c r="Q65" i="13"/>
  <c r="AC64" i="13"/>
  <c r="I64" i="13"/>
  <c r="AI63" i="13"/>
  <c r="AH63" i="13"/>
  <c r="AG63" i="13"/>
  <c r="Z63" i="13"/>
  <c r="Y63" i="13"/>
  <c r="X63" i="13"/>
  <c r="O63" i="13"/>
  <c r="N63" i="13"/>
  <c r="M63" i="13"/>
  <c r="F63" i="13"/>
  <c r="E63" i="13"/>
  <c r="D63" i="13"/>
  <c r="AI53" i="13"/>
  <c r="AH53" i="13"/>
  <c r="AG53" i="13"/>
  <c r="Z53" i="13"/>
  <c r="Y53" i="13"/>
  <c r="X53" i="13"/>
  <c r="O53" i="13"/>
  <c r="N53" i="13"/>
  <c r="M53" i="13"/>
  <c r="F53" i="13"/>
  <c r="E53" i="13"/>
  <c r="D53" i="13"/>
  <c r="AI51" i="13"/>
  <c r="AH51" i="13"/>
  <c r="AG51" i="13"/>
  <c r="Z51" i="13"/>
  <c r="Y51" i="13"/>
  <c r="X51" i="13"/>
  <c r="O51" i="13"/>
  <c r="N51" i="13"/>
  <c r="M51" i="13"/>
  <c r="F51" i="13"/>
  <c r="F52" i="13" s="1"/>
  <c r="E51" i="13"/>
  <c r="D51" i="13"/>
  <c r="AL47" i="13"/>
  <c r="R47" i="13"/>
  <c r="AL46" i="13"/>
  <c r="R46" i="13"/>
  <c r="AI44" i="13"/>
  <c r="AH44" i="13"/>
  <c r="AG44" i="13"/>
  <c r="Z44" i="13"/>
  <c r="Y44" i="13"/>
  <c r="X44" i="13"/>
  <c r="O44" i="13"/>
  <c r="N44" i="13"/>
  <c r="E44" i="13"/>
  <c r="D44" i="13"/>
  <c r="F21" i="13"/>
  <c r="E21" i="13"/>
  <c r="D21" i="13"/>
  <c r="F19" i="13"/>
  <c r="E19" i="13"/>
  <c r="D19" i="13"/>
  <c r="J18" i="13"/>
  <c r="I18" i="13"/>
  <c r="H18" i="13"/>
  <c r="J17" i="13"/>
  <c r="I17" i="13"/>
  <c r="H17" i="13"/>
  <c r="F12" i="13"/>
  <c r="E12" i="13"/>
  <c r="D12" i="13"/>
  <c r="AI91" i="14"/>
  <c r="AH91" i="14"/>
  <c r="AG91" i="14"/>
  <c r="Z91" i="14"/>
  <c r="Y91" i="14"/>
  <c r="X91" i="14"/>
  <c r="O91" i="14"/>
  <c r="N91" i="14"/>
  <c r="M91" i="14"/>
  <c r="F91" i="14"/>
  <c r="E91" i="14"/>
  <c r="D91" i="14"/>
  <c r="AI89" i="14"/>
  <c r="AH89" i="14"/>
  <c r="AG89" i="14"/>
  <c r="Z89" i="14"/>
  <c r="Y89" i="14"/>
  <c r="X89" i="14"/>
  <c r="O89" i="14"/>
  <c r="N89" i="14"/>
  <c r="M89" i="14"/>
  <c r="F89" i="14"/>
  <c r="E89" i="14"/>
  <c r="D89" i="14"/>
  <c r="AM86" i="14"/>
  <c r="S86" i="14"/>
  <c r="AM85" i="14"/>
  <c r="AD85" i="14"/>
  <c r="S85" i="14"/>
  <c r="J85" i="14"/>
  <c r="AM84" i="14"/>
  <c r="AD84" i="14"/>
  <c r="S84" i="14"/>
  <c r="J84" i="14"/>
  <c r="AM83" i="14"/>
  <c r="AD83" i="14"/>
  <c r="S83" i="14"/>
  <c r="AI82" i="14"/>
  <c r="AH82" i="14"/>
  <c r="AG82" i="14"/>
  <c r="Z82" i="14"/>
  <c r="Y82" i="14"/>
  <c r="X82" i="14"/>
  <c r="O82" i="14"/>
  <c r="N82" i="14"/>
  <c r="M82" i="14"/>
  <c r="F82" i="14"/>
  <c r="E82" i="14"/>
  <c r="D82" i="14"/>
  <c r="AI72" i="14"/>
  <c r="AH72" i="14"/>
  <c r="AG72" i="14"/>
  <c r="Z72" i="14"/>
  <c r="Y72" i="14"/>
  <c r="X72" i="14"/>
  <c r="O72" i="14"/>
  <c r="N72" i="14"/>
  <c r="M72" i="14"/>
  <c r="F72" i="14"/>
  <c r="E72" i="14"/>
  <c r="D72" i="14"/>
  <c r="AI70" i="14"/>
  <c r="AH70" i="14"/>
  <c r="AG70" i="14"/>
  <c r="Z70" i="14"/>
  <c r="Y70" i="14"/>
  <c r="X70" i="14"/>
  <c r="O70" i="14"/>
  <c r="N70" i="14"/>
  <c r="M70" i="14"/>
  <c r="F70" i="14"/>
  <c r="E70" i="14"/>
  <c r="D70" i="14"/>
  <c r="J69" i="14"/>
  <c r="R68" i="14"/>
  <c r="AL66" i="14"/>
  <c r="AD66" i="14"/>
  <c r="R66" i="14"/>
  <c r="J66" i="14"/>
  <c r="AL65" i="14"/>
  <c r="AD65" i="14"/>
  <c r="R65" i="14"/>
  <c r="J65" i="14"/>
  <c r="AM64" i="14"/>
  <c r="AD64" i="14"/>
  <c r="S64" i="14"/>
  <c r="AI63" i="14"/>
  <c r="AH63" i="14"/>
  <c r="AG63" i="14"/>
  <c r="Z63" i="14"/>
  <c r="Y63" i="14"/>
  <c r="X63" i="14"/>
  <c r="O63" i="14"/>
  <c r="N63" i="14"/>
  <c r="M63" i="14"/>
  <c r="F63" i="14"/>
  <c r="E63" i="14"/>
  <c r="D63" i="14"/>
  <c r="AK59" i="14"/>
  <c r="AI53" i="14"/>
  <c r="AH53" i="14"/>
  <c r="AG53" i="14"/>
  <c r="Z53" i="14"/>
  <c r="Y53" i="14"/>
  <c r="X53" i="14"/>
  <c r="N53" i="14"/>
  <c r="M53" i="14"/>
  <c r="F53" i="14"/>
  <c r="E53" i="14"/>
  <c r="D53" i="14"/>
  <c r="AI51" i="14"/>
  <c r="AH51" i="14"/>
  <c r="AG51" i="14"/>
  <c r="Z51" i="14"/>
  <c r="Y51" i="14"/>
  <c r="X51" i="14"/>
  <c r="O51" i="14"/>
  <c r="N51" i="14"/>
  <c r="M51" i="14"/>
  <c r="F51" i="14"/>
  <c r="E51" i="14"/>
  <c r="D51" i="14"/>
  <c r="S47" i="14"/>
  <c r="Q47" i="14"/>
  <c r="AM45" i="14"/>
  <c r="S45" i="14"/>
  <c r="AI44" i="14"/>
  <c r="AH44" i="14"/>
  <c r="AG44" i="14"/>
  <c r="Z44" i="14"/>
  <c r="Y44" i="14"/>
  <c r="X44" i="14"/>
  <c r="N44" i="14"/>
  <c r="M44" i="14"/>
  <c r="F44" i="14"/>
  <c r="E44" i="14"/>
  <c r="D44" i="14"/>
  <c r="F20" i="14"/>
  <c r="E20" i="14"/>
  <c r="D20" i="14"/>
  <c r="F18" i="14"/>
  <c r="E18" i="14"/>
  <c r="D18" i="14"/>
  <c r="F11" i="14"/>
  <c r="E11" i="14"/>
  <c r="D11" i="14"/>
  <c r="E46" i="17"/>
  <c r="D46" i="17"/>
  <c r="C46" i="17"/>
  <c r="E44" i="17"/>
  <c r="D44" i="17"/>
  <c r="C44" i="17"/>
  <c r="H43" i="17"/>
  <c r="I43" i="17"/>
  <c r="I41" i="17"/>
  <c r="I38" i="17"/>
  <c r="E37" i="17"/>
  <c r="D37" i="17"/>
  <c r="C37" i="17"/>
  <c r="I36" i="17"/>
  <c r="H36" i="17"/>
  <c r="G36" i="17"/>
  <c r="I35" i="17"/>
  <c r="H35" i="17"/>
  <c r="G35" i="17"/>
  <c r="I34" i="17"/>
  <c r="H34" i="17"/>
  <c r="G34" i="17"/>
  <c r="I33" i="17"/>
  <c r="H33" i="17"/>
  <c r="G33" i="17"/>
  <c r="G32" i="17"/>
  <c r="I31" i="17"/>
  <c r="H31" i="17"/>
  <c r="G31" i="17"/>
  <c r="E19" i="14" l="1"/>
  <c r="AI90" i="14"/>
  <c r="O90" i="14"/>
  <c r="O71" i="14"/>
  <c r="AI52" i="13"/>
  <c r="AH90" i="14"/>
  <c r="E90" i="14"/>
  <c r="Z52" i="14"/>
  <c r="F52" i="14"/>
  <c r="D52" i="14"/>
  <c r="C38" i="15"/>
  <c r="AH52" i="13"/>
  <c r="E71" i="13"/>
  <c r="X52" i="13"/>
  <c r="AG90" i="14"/>
  <c r="AG71" i="13"/>
  <c r="AG52" i="13"/>
  <c r="E90" i="13"/>
  <c r="AG90" i="13"/>
  <c r="D52" i="13"/>
  <c r="AM40" i="14"/>
  <c r="O53" i="14"/>
  <c r="R77" i="13"/>
  <c r="J59" i="13"/>
  <c r="AC77" i="14"/>
  <c r="Q59" i="13"/>
  <c r="F90" i="14"/>
  <c r="O52" i="13"/>
  <c r="E52" i="13"/>
  <c r="D71" i="13"/>
  <c r="Z71" i="13"/>
  <c r="D90" i="13"/>
  <c r="Z90" i="13"/>
  <c r="M52" i="14"/>
  <c r="N52" i="14"/>
  <c r="D71" i="14"/>
  <c r="Z71" i="14"/>
  <c r="X90" i="14"/>
  <c r="E52" i="14"/>
  <c r="F19" i="14"/>
  <c r="AG52" i="14"/>
  <c r="I69" i="14"/>
  <c r="D90" i="14"/>
  <c r="Z90" i="14"/>
  <c r="Y71" i="13"/>
  <c r="M52" i="13"/>
  <c r="AI71" i="13"/>
  <c r="F90" i="13"/>
  <c r="AH90" i="13"/>
  <c r="M90" i="13"/>
  <c r="AI90" i="13"/>
  <c r="D20" i="13"/>
  <c r="X71" i="13"/>
  <c r="F71" i="13"/>
  <c r="AH71" i="13"/>
  <c r="M71" i="13"/>
  <c r="Y90" i="13"/>
  <c r="N71" i="13"/>
  <c r="N90" i="13"/>
  <c r="Y52" i="13"/>
  <c r="W97" i="13" s="1"/>
  <c r="Z52" i="13"/>
  <c r="O90" i="13"/>
  <c r="R40" i="13"/>
  <c r="N52" i="13"/>
  <c r="X90" i="13"/>
  <c r="AM87" i="13"/>
  <c r="I58" i="13"/>
  <c r="H58" i="13"/>
  <c r="J58" i="13"/>
  <c r="S57" i="13"/>
  <c r="R57" i="13"/>
  <c r="Q57" i="13"/>
  <c r="X52" i="14"/>
  <c r="I76" i="14"/>
  <c r="I57" i="14"/>
  <c r="Q76" i="14"/>
  <c r="M90" i="14"/>
  <c r="Y52" i="14"/>
  <c r="Y71" i="14"/>
  <c r="AD77" i="14"/>
  <c r="AB76" i="14"/>
  <c r="AM78" i="14"/>
  <c r="M71" i="14"/>
  <c r="AI71" i="14"/>
  <c r="E20" i="13"/>
  <c r="C25" i="13" s="1"/>
  <c r="N71" i="14"/>
  <c r="F20" i="13"/>
  <c r="O71" i="13"/>
  <c r="AL38" i="14"/>
  <c r="G39" i="13"/>
  <c r="S39" i="14"/>
  <c r="S78" i="14"/>
  <c r="S77" i="14"/>
  <c r="AK58" i="14"/>
  <c r="AM39" i="14"/>
  <c r="N90" i="14"/>
  <c r="AK87" i="13"/>
  <c r="AK88" i="13"/>
  <c r="I77" i="14"/>
  <c r="S59" i="14"/>
  <c r="I78" i="14"/>
  <c r="I59" i="14"/>
  <c r="AL79" i="14"/>
  <c r="AB79" i="14"/>
  <c r="R79" i="14"/>
  <c r="S61" i="14"/>
  <c r="I60" i="14"/>
  <c r="AM80" i="14"/>
  <c r="AL42" i="14"/>
  <c r="I80" i="14"/>
  <c r="AI52" i="14"/>
  <c r="AM59" i="14"/>
  <c r="E71" i="14"/>
  <c r="AG71" i="14"/>
  <c r="AL60" i="14"/>
  <c r="F71" i="14"/>
  <c r="AH71" i="14"/>
  <c r="S68" i="14"/>
  <c r="AL77" i="14"/>
  <c r="Y90" i="14"/>
  <c r="AM60" i="14"/>
  <c r="D19" i="14"/>
  <c r="AH52" i="14"/>
  <c r="AL59" i="14"/>
  <c r="X71" i="14"/>
  <c r="C13" i="17"/>
  <c r="D13" i="17"/>
  <c r="AD86" i="14"/>
  <c r="AB86" i="14"/>
  <c r="AK86" i="13"/>
  <c r="AL86" i="13"/>
  <c r="AM86" i="13"/>
  <c r="AB86" i="13"/>
  <c r="AD86" i="13"/>
  <c r="AC86" i="13"/>
  <c r="R86" i="13"/>
  <c r="Q86" i="13"/>
  <c r="S86" i="13"/>
  <c r="I86" i="13"/>
  <c r="H86" i="13"/>
  <c r="J86" i="13"/>
  <c r="AL67" i="13"/>
  <c r="AM67" i="13"/>
  <c r="AK67" i="13"/>
  <c r="AD67" i="13"/>
  <c r="AC67" i="13"/>
  <c r="AB67" i="13"/>
  <c r="R67" i="13"/>
  <c r="S67" i="13"/>
  <c r="Q67" i="13"/>
  <c r="H67" i="13"/>
  <c r="I67" i="13"/>
  <c r="J67" i="13"/>
  <c r="AL48" i="13"/>
  <c r="AK48" i="13"/>
  <c r="AM48" i="13"/>
  <c r="AB48" i="13"/>
  <c r="AD48" i="13"/>
  <c r="AC48" i="13"/>
  <c r="R48" i="13"/>
  <c r="S48" i="13"/>
  <c r="Q48" i="13"/>
  <c r="J86" i="14"/>
  <c r="H86" i="14"/>
  <c r="AL67" i="14"/>
  <c r="AM67" i="14"/>
  <c r="AD67" i="14"/>
  <c r="AC67" i="14"/>
  <c r="R67" i="14"/>
  <c r="S67" i="14"/>
  <c r="J67" i="14"/>
  <c r="I67" i="14"/>
  <c r="AM48" i="14"/>
  <c r="AK48" i="14"/>
  <c r="I48" i="14"/>
  <c r="S48" i="14"/>
  <c r="Q48" i="14"/>
  <c r="H85" i="14"/>
  <c r="J47" i="13"/>
  <c r="I85" i="13"/>
  <c r="AD47" i="13"/>
  <c r="AC47" i="13"/>
  <c r="AB47" i="13"/>
  <c r="AM66" i="14"/>
  <c r="Q47" i="13"/>
  <c r="AK47" i="13"/>
  <c r="S66" i="13"/>
  <c r="AM66" i="13"/>
  <c r="H85" i="13"/>
  <c r="I66" i="14"/>
  <c r="S47" i="13"/>
  <c r="AM47" i="13"/>
  <c r="H66" i="13"/>
  <c r="AB66" i="13"/>
  <c r="AK47" i="14"/>
  <c r="I66" i="13"/>
  <c r="AC66" i="13"/>
  <c r="AM47" i="14"/>
  <c r="S66" i="14"/>
  <c r="AB85" i="14"/>
  <c r="Q85" i="13"/>
  <c r="AK85" i="13"/>
  <c r="R85" i="13"/>
  <c r="AL85" i="13"/>
  <c r="AC66" i="14"/>
  <c r="Q66" i="13"/>
  <c r="AK66" i="13"/>
  <c r="AL65" i="13"/>
  <c r="AM65" i="13"/>
  <c r="G26" i="15"/>
  <c r="I65" i="14"/>
  <c r="R65" i="13"/>
  <c r="S65" i="13"/>
  <c r="J84" i="13"/>
  <c r="AD84" i="13"/>
  <c r="I65" i="13"/>
  <c r="I46" i="13"/>
  <c r="I46" i="14"/>
  <c r="S46" i="14"/>
  <c r="AD46" i="13"/>
  <c r="H84" i="13"/>
  <c r="AM65" i="14"/>
  <c r="AK84" i="13"/>
  <c r="Q46" i="14"/>
  <c r="AC65" i="14"/>
  <c r="S46" i="13"/>
  <c r="AM46" i="13"/>
  <c r="AD46" i="14"/>
  <c r="AK46" i="14"/>
  <c r="R84" i="13"/>
  <c r="AL84" i="13"/>
  <c r="AM46" i="14"/>
  <c r="H65" i="13"/>
  <c r="AB65" i="13"/>
  <c r="S84" i="13"/>
  <c r="AB84" i="14"/>
  <c r="AC65" i="13"/>
  <c r="S65" i="14"/>
  <c r="Q46" i="13"/>
  <c r="AK46" i="13"/>
  <c r="AB84" i="13"/>
  <c r="H84" i="14"/>
  <c r="I11" i="15"/>
  <c r="I16" i="15"/>
  <c r="I12" i="15"/>
  <c r="I24" i="15"/>
  <c r="I17" i="15"/>
  <c r="AB47" i="14"/>
  <c r="AD47" i="14"/>
  <c r="AC47" i="14"/>
  <c r="Q84" i="14"/>
  <c r="AK84" i="14"/>
  <c r="Q85" i="14"/>
  <c r="AK85" i="14"/>
  <c r="Q86" i="14"/>
  <c r="AK86" i="14"/>
  <c r="H65" i="14"/>
  <c r="AB65" i="14"/>
  <c r="H66" i="14"/>
  <c r="AB66" i="14"/>
  <c r="H67" i="14"/>
  <c r="AB67" i="14"/>
  <c r="H69" i="14"/>
  <c r="AK79" i="14"/>
  <c r="R84" i="14"/>
  <c r="AL84" i="14"/>
  <c r="R85" i="14"/>
  <c r="AL85" i="14"/>
  <c r="R86" i="14"/>
  <c r="AL86" i="14"/>
  <c r="R46" i="14"/>
  <c r="AL46" i="14"/>
  <c r="R47" i="14"/>
  <c r="AL47" i="14"/>
  <c r="R48" i="14"/>
  <c r="AL48" i="14"/>
  <c r="Q65" i="14"/>
  <c r="AK65" i="14"/>
  <c r="Q66" i="14"/>
  <c r="AK66" i="14"/>
  <c r="Q67" i="14"/>
  <c r="AK67" i="14"/>
  <c r="Q68" i="14"/>
  <c r="AB78" i="14"/>
  <c r="I84" i="14"/>
  <c r="AC84" i="14"/>
  <c r="I85" i="14"/>
  <c r="AC85" i="14"/>
  <c r="I86" i="14"/>
  <c r="AC86" i="14"/>
  <c r="E45" i="17"/>
  <c r="C45" i="17"/>
  <c r="D45" i="17"/>
  <c r="N14" i="17"/>
  <c r="L14" i="17"/>
  <c r="M23" i="17"/>
  <c r="N23" i="17"/>
  <c r="H32" i="17"/>
  <c r="F37" i="17"/>
  <c r="I37" i="17" s="1"/>
  <c r="L23" i="17"/>
  <c r="L21" i="17"/>
  <c r="I32" i="17"/>
  <c r="M21" i="17"/>
  <c r="E13" i="17"/>
  <c r="N21" i="17"/>
  <c r="M14" i="17"/>
  <c r="G42" i="17"/>
  <c r="G41" i="17"/>
  <c r="H42" i="17"/>
  <c r="F46" i="17"/>
  <c r="G46" i="17" s="1"/>
  <c r="G40" i="17"/>
  <c r="H41" i="17"/>
  <c r="G38" i="17"/>
  <c r="G39" i="17"/>
  <c r="H40" i="17"/>
  <c r="H38" i="17"/>
  <c r="H39" i="17"/>
  <c r="G43" i="17"/>
  <c r="I39" i="17"/>
  <c r="I40" i="17"/>
  <c r="I42" i="17"/>
  <c r="F44" i="17"/>
  <c r="I9" i="15"/>
  <c r="H14" i="15"/>
  <c r="I14" i="15"/>
  <c r="H15" i="15"/>
  <c r="H10" i="15"/>
  <c r="H13" i="15"/>
  <c r="AC83" i="14"/>
  <c r="J64" i="13"/>
  <c r="AC64" i="14"/>
  <c r="J83" i="13"/>
  <c r="AD45" i="14"/>
  <c r="I64" i="14"/>
  <c r="I83" i="14"/>
  <c r="AD64" i="13"/>
  <c r="AD83" i="13"/>
  <c r="H45" i="14"/>
  <c r="H64" i="14"/>
  <c r="AB64" i="14"/>
  <c r="H83" i="14"/>
  <c r="AB83" i="14"/>
  <c r="Q45" i="13"/>
  <c r="AK45" i="13"/>
  <c r="Q64" i="13"/>
  <c r="AK64" i="13"/>
  <c r="Q83" i="13"/>
  <c r="AK83" i="13"/>
  <c r="J64" i="14"/>
  <c r="J83" i="14"/>
  <c r="R45" i="13"/>
  <c r="AL45" i="13"/>
  <c r="R64" i="13"/>
  <c r="AL64" i="13"/>
  <c r="R83" i="13"/>
  <c r="AL83" i="13"/>
  <c r="S45" i="13"/>
  <c r="AM45" i="13"/>
  <c r="S64" i="13"/>
  <c r="AM64" i="13"/>
  <c r="S83" i="13"/>
  <c r="AM83" i="13"/>
  <c r="Q45" i="14"/>
  <c r="AK45" i="14"/>
  <c r="Q64" i="14"/>
  <c r="AK64" i="14"/>
  <c r="Q83" i="14"/>
  <c r="AK83" i="14"/>
  <c r="AJ89" i="13"/>
  <c r="R45" i="14"/>
  <c r="AL45" i="14"/>
  <c r="R64" i="14"/>
  <c r="AL64" i="14"/>
  <c r="R83" i="14"/>
  <c r="AL83" i="14"/>
  <c r="H64" i="13"/>
  <c r="AB64" i="13"/>
  <c r="H83" i="13"/>
  <c r="AB83" i="13"/>
  <c r="S80" i="14" l="1"/>
  <c r="Q80" i="14"/>
  <c r="Q79" i="14"/>
  <c r="H59" i="14"/>
  <c r="J59" i="14"/>
  <c r="G40" i="13"/>
  <c r="C97" i="14"/>
  <c r="C24" i="14"/>
  <c r="R57" i="14"/>
  <c r="Q57" i="14"/>
  <c r="S40" i="14"/>
  <c r="Q40" i="14"/>
  <c r="R40" i="14"/>
  <c r="AB57" i="14"/>
  <c r="AC57" i="14"/>
  <c r="AD57" i="14"/>
  <c r="AM77" i="14"/>
  <c r="AK77" i="14"/>
  <c r="I58" i="14"/>
  <c r="J58" i="14"/>
  <c r="S40" i="13"/>
  <c r="Q40" i="13"/>
  <c r="AM80" i="13"/>
  <c r="AK80" i="13"/>
  <c r="H26" i="15"/>
  <c r="G38" i="15"/>
  <c r="AL76" i="14"/>
  <c r="AK76" i="14"/>
  <c r="AM57" i="14"/>
  <c r="AL57" i="14"/>
  <c r="R80" i="14"/>
  <c r="AL80" i="13"/>
  <c r="AL78" i="14"/>
  <c r="I59" i="13"/>
  <c r="AK78" i="14"/>
  <c r="I19" i="15"/>
  <c r="H19" i="15"/>
  <c r="R59" i="13"/>
  <c r="S59" i="13"/>
  <c r="H59" i="13"/>
  <c r="AB77" i="14"/>
  <c r="AM58" i="14"/>
  <c r="AL58" i="14"/>
  <c r="J57" i="14"/>
  <c r="H76" i="14"/>
  <c r="J76" i="14"/>
  <c r="H57" i="14"/>
  <c r="AL80" i="14"/>
  <c r="G40" i="14"/>
  <c r="AL39" i="14"/>
  <c r="AK39" i="14"/>
  <c r="O44" i="14"/>
  <c r="O52" i="14" s="1"/>
  <c r="H60" i="14"/>
  <c r="H78" i="14"/>
  <c r="R39" i="14"/>
  <c r="Q39" i="14"/>
  <c r="AK80" i="14"/>
  <c r="J60" i="14"/>
  <c r="S77" i="13"/>
  <c r="S57" i="14"/>
  <c r="AL40" i="14"/>
  <c r="Q78" i="14"/>
  <c r="H58" i="14"/>
  <c r="Q77" i="13"/>
  <c r="AK40" i="14"/>
  <c r="AC77" i="13"/>
  <c r="AD77" i="13"/>
  <c r="AB77" i="13"/>
  <c r="H80" i="14"/>
  <c r="R76" i="14"/>
  <c r="J80" i="14"/>
  <c r="H77" i="14"/>
  <c r="Q77" i="14"/>
  <c r="R77" i="14"/>
  <c r="J77" i="14"/>
  <c r="G39" i="14"/>
  <c r="I39" i="14" s="1"/>
  <c r="AJ91" i="13"/>
  <c r="AK79" i="13"/>
  <c r="AM79" i="13"/>
  <c r="AL79" i="13"/>
  <c r="AM60" i="13"/>
  <c r="AL60" i="13"/>
  <c r="AK60" i="13"/>
  <c r="Q79" i="13"/>
  <c r="S79" i="13"/>
  <c r="R79" i="13"/>
  <c r="I79" i="13"/>
  <c r="J79" i="13"/>
  <c r="H79" i="13"/>
  <c r="Q76" i="13"/>
  <c r="S76" i="13"/>
  <c r="R76" i="13"/>
  <c r="G72" i="13"/>
  <c r="J72" i="13" s="1"/>
  <c r="AC79" i="13"/>
  <c r="AB79" i="13"/>
  <c r="AD79" i="13"/>
  <c r="G63" i="14"/>
  <c r="G82" i="14"/>
  <c r="AK60" i="14"/>
  <c r="AC78" i="13"/>
  <c r="AD78" i="13"/>
  <c r="AB78" i="13"/>
  <c r="AC59" i="14"/>
  <c r="AD59" i="14"/>
  <c r="AB59" i="14"/>
  <c r="AK77" i="13"/>
  <c r="AM77" i="13"/>
  <c r="AL77" i="13"/>
  <c r="AK76" i="13"/>
  <c r="AM76" i="13"/>
  <c r="AL76" i="13"/>
  <c r="AA88" i="14"/>
  <c r="AJ72" i="13"/>
  <c r="S79" i="14"/>
  <c r="AM61" i="13"/>
  <c r="AL61" i="13"/>
  <c r="AK61" i="13"/>
  <c r="AC61" i="13"/>
  <c r="AB61" i="13"/>
  <c r="AD61" i="13"/>
  <c r="AM40" i="13"/>
  <c r="AK40" i="13"/>
  <c r="AA40" i="13"/>
  <c r="AL40" i="13"/>
  <c r="AC59" i="13"/>
  <c r="AB59" i="13"/>
  <c r="AD59" i="13"/>
  <c r="AA39" i="13"/>
  <c r="G7" i="13" s="1"/>
  <c r="AK57" i="14"/>
  <c r="AM38" i="14"/>
  <c r="AK38" i="14"/>
  <c r="H76" i="13"/>
  <c r="I76" i="13"/>
  <c r="J76" i="13"/>
  <c r="AC76" i="14"/>
  <c r="AD76" i="14"/>
  <c r="I57" i="13"/>
  <c r="H57" i="13"/>
  <c r="J57" i="13"/>
  <c r="AA82" i="13"/>
  <c r="Q61" i="14"/>
  <c r="R61" i="14"/>
  <c r="S41" i="14"/>
  <c r="Q41" i="14"/>
  <c r="AC79" i="14"/>
  <c r="AD79" i="14"/>
  <c r="AJ44" i="14"/>
  <c r="AC57" i="13"/>
  <c r="AB57" i="13"/>
  <c r="AD57" i="13"/>
  <c r="Q58" i="14"/>
  <c r="R58" i="14"/>
  <c r="S58" i="14"/>
  <c r="AM76" i="14"/>
  <c r="I80" i="13"/>
  <c r="J80" i="13"/>
  <c r="H80" i="13"/>
  <c r="Q60" i="14"/>
  <c r="S60" i="14"/>
  <c r="R60" i="14"/>
  <c r="Q59" i="14"/>
  <c r="R59" i="14"/>
  <c r="Q78" i="13"/>
  <c r="S78" i="13"/>
  <c r="R78" i="13"/>
  <c r="AK57" i="13"/>
  <c r="S39" i="13"/>
  <c r="R39" i="13"/>
  <c r="Q39" i="13"/>
  <c r="R78" i="14"/>
  <c r="AA40" i="14"/>
  <c r="J78" i="14"/>
  <c r="AJ63" i="14"/>
  <c r="AM42" i="14"/>
  <c r="AK42" i="14"/>
  <c r="Q80" i="13"/>
  <c r="S80" i="13"/>
  <c r="R80" i="13"/>
  <c r="G41" i="13"/>
  <c r="AD76" i="13"/>
  <c r="AB76" i="13"/>
  <c r="AC76" i="13"/>
  <c r="AC78" i="14"/>
  <c r="AD78" i="14"/>
  <c r="AM58" i="13"/>
  <c r="AL58" i="13"/>
  <c r="AK58" i="13"/>
  <c r="S76" i="14"/>
  <c r="R41" i="14"/>
  <c r="AM79" i="14"/>
  <c r="AC58" i="14"/>
  <c r="AD58" i="14"/>
  <c r="AB58" i="14"/>
  <c r="AM39" i="13"/>
  <c r="AK39" i="13"/>
  <c r="AL39" i="13"/>
  <c r="S58" i="13"/>
  <c r="R58" i="13"/>
  <c r="Q58" i="13"/>
  <c r="AM38" i="13"/>
  <c r="AK38" i="13"/>
  <c r="AL38" i="13"/>
  <c r="S38" i="13"/>
  <c r="R38" i="13"/>
  <c r="Q38" i="13"/>
  <c r="I61" i="13"/>
  <c r="H61" i="13"/>
  <c r="J61" i="13"/>
  <c r="I60" i="13"/>
  <c r="H60" i="13"/>
  <c r="J60" i="13"/>
  <c r="AM59" i="13"/>
  <c r="AL59" i="13"/>
  <c r="AK59" i="13"/>
  <c r="S41" i="13"/>
  <c r="R41" i="13"/>
  <c r="Q41" i="13"/>
  <c r="AK78" i="13"/>
  <c r="AM78" i="13"/>
  <c r="AL78" i="13"/>
  <c r="I78" i="13"/>
  <c r="H78" i="13"/>
  <c r="J78" i="13"/>
  <c r="AA39" i="14"/>
  <c r="R38" i="14"/>
  <c r="G38" i="14"/>
  <c r="S38" i="14"/>
  <c r="Q38" i="14"/>
  <c r="H77" i="13"/>
  <c r="J77" i="13"/>
  <c r="I77" i="13"/>
  <c r="C20" i="17"/>
  <c r="C21" i="17" s="1"/>
  <c r="AB48" i="14"/>
  <c r="AD48" i="14"/>
  <c r="AC48" i="14"/>
  <c r="H48" i="14"/>
  <c r="J48" i="14"/>
  <c r="J48" i="13"/>
  <c r="H48" i="13"/>
  <c r="I48" i="13"/>
  <c r="I47" i="14"/>
  <c r="J14" i="14"/>
  <c r="J47" i="14"/>
  <c r="J15" i="13"/>
  <c r="H47" i="14"/>
  <c r="H47" i="13"/>
  <c r="I47" i="13"/>
  <c r="AL62" i="14"/>
  <c r="AM62" i="14"/>
  <c r="AL43" i="14"/>
  <c r="AM43" i="14"/>
  <c r="AL81" i="14"/>
  <c r="AM81" i="14"/>
  <c r="I62" i="13"/>
  <c r="J62" i="13"/>
  <c r="G63" i="13"/>
  <c r="I81" i="13"/>
  <c r="J81" i="13"/>
  <c r="R81" i="13"/>
  <c r="S81" i="13"/>
  <c r="P82" i="13"/>
  <c r="R43" i="13"/>
  <c r="S43" i="13"/>
  <c r="I26" i="15"/>
  <c r="AB46" i="14"/>
  <c r="H46" i="14"/>
  <c r="J46" i="14"/>
  <c r="AB46" i="13"/>
  <c r="J46" i="13"/>
  <c r="J13" i="14"/>
  <c r="AC46" i="13"/>
  <c r="H46" i="13"/>
  <c r="AC46" i="14"/>
  <c r="L22" i="17"/>
  <c r="F45" i="17"/>
  <c r="I45" i="17" s="1"/>
  <c r="H37" i="17"/>
  <c r="G37" i="17"/>
  <c r="M22" i="17"/>
  <c r="E20" i="17"/>
  <c r="C22" i="17"/>
  <c r="E22" i="17"/>
  <c r="N22" i="17"/>
  <c r="D20" i="17"/>
  <c r="D21" i="17" s="1"/>
  <c r="H46" i="17"/>
  <c r="I46" i="17"/>
  <c r="I44" i="17"/>
  <c r="H44" i="17"/>
  <c r="G44" i="17"/>
  <c r="H45" i="13"/>
  <c r="J45" i="14"/>
  <c r="I45" i="14"/>
  <c r="AD62" i="14"/>
  <c r="AB62" i="14"/>
  <c r="AC62" i="14"/>
  <c r="AK62" i="14"/>
  <c r="AK43" i="14"/>
  <c r="AJ82" i="14"/>
  <c r="AK81" i="14"/>
  <c r="J62" i="14"/>
  <c r="I62" i="14"/>
  <c r="H62" i="14"/>
  <c r="S62" i="14"/>
  <c r="R62" i="14"/>
  <c r="Q62" i="14"/>
  <c r="P63" i="14"/>
  <c r="G43" i="14"/>
  <c r="J81" i="14"/>
  <c r="I81" i="14"/>
  <c r="H81" i="14"/>
  <c r="Q43" i="14"/>
  <c r="R43" i="14"/>
  <c r="S43" i="14"/>
  <c r="AD62" i="13"/>
  <c r="AC62" i="13"/>
  <c r="AB62" i="13"/>
  <c r="AK81" i="13"/>
  <c r="AL81" i="13"/>
  <c r="AJ82" i="13"/>
  <c r="AM81" i="13"/>
  <c r="AJ63" i="13"/>
  <c r="AL62" i="13"/>
  <c r="AM62" i="13"/>
  <c r="AK62" i="13"/>
  <c r="AD81" i="13"/>
  <c r="AC81" i="13"/>
  <c r="AB81" i="13"/>
  <c r="AA43" i="13"/>
  <c r="AM43" i="13"/>
  <c r="AL43" i="13"/>
  <c r="AK43" i="13"/>
  <c r="G43" i="13"/>
  <c r="H62" i="13"/>
  <c r="H81" i="13"/>
  <c r="G82" i="13"/>
  <c r="Q81" i="13"/>
  <c r="Q43" i="13"/>
  <c r="AB45" i="14"/>
  <c r="AC45" i="14"/>
  <c r="AC45" i="13"/>
  <c r="AD45" i="13"/>
  <c r="AB45" i="13"/>
  <c r="I45" i="13"/>
  <c r="J45" i="13"/>
  <c r="AL89" i="13"/>
  <c r="AK89" i="13"/>
  <c r="AM89" i="13"/>
  <c r="G11" i="13" l="1"/>
  <c r="O13" i="17" s="1"/>
  <c r="H40" i="14"/>
  <c r="P44" i="14"/>
  <c r="S44" i="14" s="1"/>
  <c r="G42" i="14"/>
  <c r="R9" i="17"/>
  <c r="G8" i="13"/>
  <c r="I40" i="14"/>
  <c r="G7" i="14"/>
  <c r="I38" i="15"/>
  <c r="H38" i="15"/>
  <c r="J40" i="14"/>
  <c r="AA63" i="14"/>
  <c r="AB63" i="14" s="1"/>
  <c r="G6" i="14"/>
  <c r="I6" i="14" s="1"/>
  <c r="H39" i="14"/>
  <c r="AM91" i="13"/>
  <c r="AK91" i="13"/>
  <c r="AL91" i="13"/>
  <c r="J39" i="14"/>
  <c r="AJ72" i="14"/>
  <c r="AM72" i="14" s="1"/>
  <c r="AA63" i="13"/>
  <c r="AD63" i="13" s="1"/>
  <c r="AK72" i="13"/>
  <c r="AL72" i="13"/>
  <c r="AM72" i="13"/>
  <c r="AM42" i="13"/>
  <c r="AA42" i="13"/>
  <c r="AL42" i="13"/>
  <c r="AK42" i="13"/>
  <c r="J88" i="14"/>
  <c r="I88" i="14"/>
  <c r="H88" i="14"/>
  <c r="AM41" i="14"/>
  <c r="AL41" i="14"/>
  <c r="AK41" i="14"/>
  <c r="AB38" i="14"/>
  <c r="AD38" i="14"/>
  <c r="AC38" i="14"/>
  <c r="R69" i="14"/>
  <c r="S69" i="14"/>
  <c r="P70" i="14"/>
  <c r="P71" i="14" s="1"/>
  <c r="Q69" i="14"/>
  <c r="I38" i="14"/>
  <c r="G5" i="14"/>
  <c r="R8" i="17" s="1"/>
  <c r="H38" i="14"/>
  <c r="J38" i="14"/>
  <c r="S61" i="13"/>
  <c r="R61" i="13"/>
  <c r="Q61" i="13"/>
  <c r="AM69" i="13"/>
  <c r="AL69" i="13"/>
  <c r="AK69" i="13"/>
  <c r="AD40" i="13"/>
  <c r="AC40" i="13"/>
  <c r="AB40" i="13"/>
  <c r="I79" i="14"/>
  <c r="J79" i="14"/>
  <c r="H79" i="14"/>
  <c r="G41" i="14"/>
  <c r="S49" i="14"/>
  <c r="P51" i="14"/>
  <c r="R49" i="14"/>
  <c r="Q49" i="14"/>
  <c r="AC61" i="14"/>
  <c r="AB61" i="14"/>
  <c r="AD61" i="14"/>
  <c r="G19" i="13"/>
  <c r="AC80" i="14"/>
  <c r="AD80" i="14"/>
  <c r="AB80" i="14"/>
  <c r="AJ88" i="14"/>
  <c r="AA50" i="14" s="1"/>
  <c r="G17" i="14" s="1"/>
  <c r="AM41" i="13"/>
  <c r="AL41" i="13"/>
  <c r="AK41" i="13"/>
  <c r="AA41" i="13"/>
  <c r="G9" i="13" s="1"/>
  <c r="AC58" i="13"/>
  <c r="AB58" i="13"/>
  <c r="AD58" i="13"/>
  <c r="I61" i="14"/>
  <c r="H61" i="14"/>
  <c r="J61" i="14"/>
  <c r="J87" i="14"/>
  <c r="G89" i="14"/>
  <c r="G90" i="14" s="1"/>
  <c r="I90" i="14" s="1"/>
  <c r="H87" i="14"/>
  <c r="I87" i="14"/>
  <c r="Q50" i="14"/>
  <c r="S50" i="14"/>
  <c r="R50" i="14"/>
  <c r="AJ53" i="13"/>
  <c r="AD38" i="13"/>
  <c r="AC38" i="13"/>
  <c r="AB38" i="13"/>
  <c r="AC60" i="13"/>
  <c r="AB60" i="13"/>
  <c r="AD60" i="13"/>
  <c r="AK61" i="14"/>
  <c r="AM61" i="14"/>
  <c r="AL61" i="14"/>
  <c r="AA42" i="14"/>
  <c r="P89" i="14"/>
  <c r="AD68" i="14"/>
  <c r="AB68" i="14"/>
  <c r="AA70" i="14"/>
  <c r="AC68" i="14"/>
  <c r="AM50" i="14"/>
  <c r="AK50" i="14"/>
  <c r="AL50" i="14"/>
  <c r="J41" i="13"/>
  <c r="I41" i="13"/>
  <c r="H41" i="13"/>
  <c r="H38" i="13"/>
  <c r="J38" i="13"/>
  <c r="S42" i="14"/>
  <c r="Q42" i="14"/>
  <c r="P53" i="14"/>
  <c r="R42" i="14"/>
  <c r="S68" i="13"/>
  <c r="R68" i="13"/>
  <c r="Q68" i="13"/>
  <c r="P70" i="13"/>
  <c r="AD80" i="13"/>
  <c r="AC80" i="13"/>
  <c r="AB80" i="13"/>
  <c r="H68" i="13"/>
  <c r="J68" i="13"/>
  <c r="I68" i="13"/>
  <c r="G70" i="13"/>
  <c r="G91" i="14"/>
  <c r="I91" i="14" s="1"/>
  <c r="AL50" i="13"/>
  <c r="AK50" i="13"/>
  <c r="AM50" i="13"/>
  <c r="S60" i="13"/>
  <c r="R60" i="13"/>
  <c r="Q60" i="13"/>
  <c r="I40" i="13"/>
  <c r="H40" i="13"/>
  <c r="J40" i="13"/>
  <c r="P72" i="14"/>
  <c r="AM68" i="13"/>
  <c r="AL68" i="13"/>
  <c r="AK68" i="13"/>
  <c r="AJ70" i="13"/>
  <c r="AJ71" i="13" s="1"/>
  <c r="AD87" i="13"/>
  <c r="AB87" i="13"/>
  <c r="AC87" i="13"/>
  <c r="AA89" i="13"/>
  <c r="S69" i="13"/>
  <c r="R69" i="13"/>
  <c r="Q69" i="13"/>
  <c r="AJ44" i="13"/>
  <c r="AK44" i="13" s="1"/>
  <c r="AB39" i="14"/>
  <c r="AD39" i="14"/>
  <c r="AC39" i="14"/>
  <c r="AD39" i="13"/>
  <c r="AC39" i="13"/>
  <c r="AB39" i="13"/>
  <c r="J87" i="13"/>
  <c r="H87" i="13"/>
  <c r="I87" i="13"/>
  <c r="G90" i="13"/>
  <c r="S87" i="14"/>
  <c r="Q87" i="14"/>
  <c r="R87" i="14"/>
  <c r="AD40" i="14"/>
  <c r="AB40" i="14"/>
  <c r="AC40" i="14"/>
  <c r="AD69" i="14"/>
  <c r="AB69" i="14"/>
  <c r="AC69" i="14"/>
  <c r="AL68" i="14"/>
  <c r="AJ70" i="14"/>
  <c r="AJ71" i="14" s="1"/>
  <c r="AK68" i="14"/>
  <c r="AM68" i="14"/>
  <c r="R49" i="13"/>
  <c r="Q49" i="13"/>
  <c r="S49" i="13"/>
  <c r="P51" i="13"/>
  <c r="AL69" i="14"/>
  <c r="AK69" i="14"/>
  <c r="AM69" i="14"/>
  <c r="I39" i="13"/>
  <c r="J39" i="13"/>
  <c r="H39" i="13"/>
  <c r="AD87" i="14"/>
  <c r="AB87" i="14"/>
  <c r="AC87" i="14"/>
  <c r="AA89" i="14"/>
  <c r="H69" i="13"/>
  <c r="J69" i="13"/>
  <c r="I69" i="13"/>
  <c r="AD88" i="14"/>
  <c r="AC88" i="14"/>
  <c r="AB88" i="14"/>
  <c r="I15" i="14"/>
  <c r="H15" i="14"/>
  <c r="J15" i="14"/>
  <c r="I16" i="13"/>
  <c r="J16" i="13"/>
  <c r="H16" i="13"/>
  <c r="U17" i="17"/>
  <c r="S17" i="17"/>
  <c r="T17" i="17"/>
  <c r="H14" i="14"/>
  <c r="H15" i="13"/>
  <c r="I15" i="13"/>
  <c r="I14" i="14"/>
  <c r="AA43" i="14"/>
  <c r="AC81" i="14"/>
  <c r="AD81" i="14"/>
  <c r="S81" i="14"/>
  <c r="R81" i="14"/>
  <c r="R62" i="13"/>
  <c r="S62" i="13"/>
  <c r="I72" i="13"/>
  <c r="H72" i="13"/>
  <c r="S15" i="17"/>
  <c r="U15" i="17"/>
  <c r="T15" i="17"/>
  <c r="H13" i="14"/>
  <c r="I13" i="14"/>
  <c r="J14" i="13"/>
  <c r="H14" i="13"/>
  <c r="I14" i="13"/>
  <c r="G45" i="17"/>
  <c r="H45" i="17"/>
  <c r="E21" i="17"/>
  <c r="AK63" i="14"/>
  <c r="AM63" i="14"/>
  <c r="AL63" i="14"/>
  <c r="AB81" i="14"/>
  <c r="AA82" i="14"/>
  <c r="AA91" i="14"/>
  <c r="AL44" i="14"/>
  <c r="AM44" i="14"/>
  <c r="AK44" i="14"/>
  <c r="AK82" i="14"/>
  <c r="AL82" i="14"/>
  <c r="AM82" i="14"/>
  <c r="I63" i="14"/>
  <c r="J63" i="14"/>
  <c r="H63" i="14"/>
  <c r="Q63" i="14"/>
  <c r="S63" i="14"/>
  <c r="R63" i="14"/>
  <c r="Q81" i="14"/>
  <c r="P82" i="14"/>
  <c r="I82" i="14"/>
  <c r="H82" i="14"/>
  <c r="J82" i="14"/>
  <c r="J43" i="14"/>
  <c r="I43" i="14"/>
  <c r="H43" i="14"/>
  <c r="AK82" i="13"/>
  <c r="AM82" i="13"/>
  <c r="AL82" i="13"/>
  <c r="AJ90" i="13"/>
  <c r="AM63" i="13"/>
  <c r="AL63" i="13"/>
  <c r="AK63" i="13"/>
  <c r="AD82" i="13"/>
  <c r="AC82" i="13"/>
  <c r="AB82" i="13"/>
  <c r="AB43" i="13"/>
  <c r="AC43" i="13"/>
  <c r="AD43" i="13"/>
  <c r="Q62" i="13"/>
  <c r="P63" i="13"/>
  <c r="P72" i="13"/>
  <c r="J63" i="13"/>
  <c r="I63" i="13"/>
  <c r="H63" i="13"/>
  <c r="J82" i="13"/>
  <c r="I82" i="13"/>
  <c r="H82" i="13"/>
  <c r="S82" i="13"/>
  <c r="R82" i="13"/>
  <c r="Q82" i="13"/>
  <c r="J43" i="13"/>
  <c r="I43" i="13"/>
  <c r="H43" i="13"/>
  <c r="J12" i="14"/>
  <c r="I12" i="14"/>
  <c r="H12" i="14"/>
  <c r="H13" i="13"/>
  <c r="J13" i="13"/>
  <c r="I13" i="13"/>
  <c r="S8" i="17" l="1"/>
  <c r="AD43" i="14"/>
  <c r="AB43" i="14"/>
  <c r="Q44" i="14"/>
  <c r="R44" i="14"/>
  <c r="P52" i="14"/>
  <c r="S52" i="14" s="1"/>
  <c r="G42" i="13"/>
  <c r="I7" i="14"/>
  <c r="R10" i="17"/>
  <c r="H7" i="14"/>
  <c r="J7" i="14"/>
  <c r="G44" i="14"/>
  <c r="J6" i="14"/>
  <c r="H6" i="14"/>
  <c r="AC63" i="14"/>
  <c r="AB60" i="14"/>
  <c r="AD60" i="14"/>
  <c r="AC60" i="14"/>
  <c r="AB63" i="13"/>
  <c r="AD63" i="14"/>
  <c r="AA41" i="14"/>
  <c r="AA44" i="14" s="1"/>
  <c r="AD44" i="14" s="1"/>
  <c r="AC63" i="13"/>
  <c r="AA72" i="14"/>
  <c r="AC72" i="14" s="1"/>
  <c r="P91" i="14"/>
  <c r="R91" i="14" s="1"/>
  <c r="AL72" i="14"/>
  <c r="AK72" i="14"/>
  <c r="AM44" i="13"/>
  <c r="AA44" i="13"/>
  <c r="AD44" i="13" s="1"/>
  <c r="AL44" i="13"/>
  <c r="T16" i="17"/>
  <c r="S18" i="17"/>
  <c r="U18" i="17"/>
  <c r="T18" i="17"/>
  <c r="H91" i="14"/>
  <c r="J91" i="14"/>
  <c r="AM71" i="14"/>
  <c r="AK71" i="14"/>
  <c r="AL71" i="14"/>
  <c r="AA71" i="14"/>
  <c r="S16" i="17"/>
  <c r="U16" i="17"/>
  <c r="H49" i="14"/>
  <c r="J49" i="14"/>
  <c r="I49" i="14"/>
  <c r="G51" i="14"/>
  <c r="G53" i="14"/>
  <c r="J53" i="14" s="1"/>
  <c r="R89" i="14"/>
  <c r="S89" i="14"/>
  <c r="Q89" i="14"/>
  <c r="AK71" i="13"/>
  <c r="AM71" i="13"/>
  <c r="AL71" i="13"/>
  <c r="S51" i="13"/>
  <c r="R51" i="13"/>
  <c r="Q51" i="13"/>
  <c r="S42" i="13"/>
  <c r="R42" i="13"/>
  <c r="Q42" i="13"/>
  <c r="P53" i="13"/>
  <c r="P44" i="13"/>
  <c r="H9" i="13"/>
  <c r="J9" i="13"/>
  <c r="I9" i="13"/>
  <c r="J7" i="13"/>
  <c r="I7" i="13"/>
  <c r="H7" i="13"/>
  <c r="J49" i="13"/>
  <c r="I49" i="13"/>
  <c r="H49" i="13"/>
  <c r="H70" i="13"/>
  <c r="J70" i="13"/>
  <c r="I70" i="13"/>
  <c r="AD88" i="13"/>
  <c r="AB88" i="13"/>
  <c r="AC88" i="13"/>
  <c r="AA91" i="13"/>
  <c r="S88" i="14"/>
  <c r="R88" i="14"/>
  <c r="Q88" i="14"/>
  <c r="AB68" i="13"/>
  <c r="AD68" i="13"/>
  <c r="AC68" i="13"/>
  <c r="AK53" i="13"/>
  <c r="AL53" i="13"/>
  <c r="AM53" i="13"/>
  <c r="H6" i="13"/>
  <c r="J6" i="13"/>
  <c r="AD50" i="14"/>
  <c r="AB50" i="14"/>
  <c r="AC50" i="14"/>
  <c r="H50" i="14"/>
  <c r="J50" i="14"/>
  <c r="I50" i="14"/>
  <c r="AM88" i="14"/>
  <c r="AK88" i="14"/>
  <c r="AL88" i="14"/>
  <c r="AK90" i="13"/>
  <c r="AB89" i="13"/>
  <c r="AD89" i="13"/>
  <c r="AC89" i="13"/>
  <c r="S72" i="14"/>
  <c r="Q72" i="14"/>
  <c r="R72" i="14"/>
  <c r="AD42" i="14"/>
  <c r="AC42" i="14"/>
  <c r="AB42" i="14"/>
  <c r="AL49" i="13"/>
  <c r="AK49" i="13"/>
  <c r="AM49" i="13"/>
  <c r="AJ51" i="13"/>
  <c r="AJ52" i="13" s="1"/>
  <c r="AD41" i="13"/>
  <c r="AC41" i="13"/>
  <c r="AB41" i="13"/>
  <c r="G15" i="17"/>
  <c r="AA70" i="13"/>
  <c r="AD89" i="14"/>
  <c r="AB89" i="14"/>
  <c r="AC89" i="14"/>
  <c r="AK70" i="14"/>
  <c r="AL70" i="14"/>
  <c r="AM70" i="14"/>
  <c r="H8" i="13"/>
  <c r="J8" i="13"/>
  <c r="I8" i="13"/>
  <c r="AB70" i="14"/>
  <c r="AD70" i="14"/>
  <c r="AC70" i="14"/>
  <c r="AK49" i="14"/>
  <c r="AM49" i="14"/>
  <c r="AJ51" i="14"/>
  <c r="AL49" i="14"/>
  <c r="J5" i="14"/>
  <c r="I5" i="14"/>
  <c r="H5" i="14"/>
  <c r="J42" i="14"/>
  <c r="I42" i="14"/>
  <c r="G9" i="14"/>
  <c r="P12" i="17" s="1"/>
  <c r="H42" i="14"/>
  <c r="H89" i="14"/>
  <c r="I89" i="14"/>
  <c r="J89" i="14"/>
  <c r="AJ53" i="14"/>
  <c r="J68" i="14"/>
  <c r="I68" i="14"/>
  <c r="G70" i="14"/>
  <c r="H68" i="14"/>
  <c r="G72" i="14"/>
  <c r="S70" i="13"/>
  <c r="R70" i="13"/>
  <c r="Q70" i="13"/>
  <c r="I41" i="14"/>
  <c r="J41" i="14"/>
  <c r="H41" i="14"/>
  <c r="R50" i="13"/>
  <c r="Q50" i="13"/>
  <c r="S50" i="13"/>
  <c r="AA90" i="13"/>
  <c r="AK70" i="13"/>
  <c r="AL70" i="13"/>
  <c r="AM70" i="13"/>
  <c r="R87" i="13"/>
  <c r="Q87" i="13"/>
  <c r="S87" i="13"/>
  <c r="P91" i="13"/>
  <c r="R53" i="14"/>
  <c r="S53" i="14"/>
  <c r="Q53" i="14"/>
  <c r="AM87" i="14"/>
  <c r="AL87" i="14"/>
  <c r="AJ89" i="14"/>
  <c r="AK87" i="14"/>
  <c r="AJ91" i="14"/>
  <c r="R51" i="14"/>
  <c r="Q51" i="14"/>
  <c r="S51" i="14"/>
  <c r="R70" i="14"/>
  <c r="Q70" i="14"/>
  <c r="S70" i="14"/>
  <c r="AD42" i="13"/>
  <c r="AC42" i="13"/>
  <c r="AB42" i="13"/>
  <c r="G71" i="13"/>
  <c r="G16" i="17"/>
  <c r="I16" i="17"/>
  <c r="H16" i="17"/>
  <c r="AC43" i="14"/>
  <c r="G10" i="14"/>
  <c r="H14" i="17"/>
  <c r="G14" i="17"/>
  <c r="I14" i="17"/>
  <c r="AM90" i="13"/>
  <c r="AL90" i="13"/>
  <c r="H90" i="14"/>
  <c r="J90" i="14"/>
  <c r="AD91" i="14"/>
  <c r="AB91" i="14"/>
  <c r="AC91" i="14"/>
  <c r="AC82" i="14"/>
  <c r="AB82" i="14"/>
  <c r="AD82" i="14"/>
  <c r="AA90" i="14"/>
  <c r="Q71" i="14"/>
  <c r="S71" i="14"/>
  <c r="R71" i="14"/>
  <c r="S82" i="14"/>
  <c r="R82" i="14"/>
  <c r="Q82" i="14"/>
  <c r="P90" i="14"/>
  <c r="R72" i="13"/>
  <c r="S72" i="13"/>
  <c r="Q72" i="13"/>
  <c r="R63" i="13"/>
  <c r="S63" i="13"/>
  <c r="Q63" i="13"/>
  <c r="P71" i="13"/>
  <c r="J90" i="13"/>
  <c r="H90" i="13"/>
  <c r="I90" i="13"/>
  <c r="J11" i="13"/>
  <c r="I11" i="13"/>
  <c r="H11" i="13"/>
  <c r="J19" i="13"/>
  <c r="H19" i="13"/>
  <c r="I19" i="13"/>
  <c r="R13" i="17" l="1"/>
  <c r="P13" i="17"/>
  <c r="P14" i="17"/>
  <c r="P22" i="17" s="1"/>
  <c r="P23" i="17"/>
  <c r="G10" i="13"/>
  <c r="G44" i="13"/>
  <c r="Q52" i="14"/>
  <c r="J44" i="13"/>
  <c r="R52" i="14"/>
  <c r="R12" i="17"/>
  <c r="T10" i="17"/>
  <c r="S10" i="17"/>
  <c r="U10" i="17"/>
  <c r="U9" i="17"/>
  <c r="T9" i="17"/>
  <c r="S9" i="17"/>
  <c r="H44" i="14"/>
  <c r="I44" i="14"/>
  <c r="J44" i="14"/>
  <c r="AA53" i="14"/>
  <c r="G8" i="14"/>
  <c r="J8" i="14" s="1"/>
  <c r="AD41" i="14"/>
  <c r="AB41" i="14"/>
  <c r="AC41" i="14"/>
  <c r="G52" i="14"/>
  <c r="AD72" i="14"/>
  <c r="AB72" i="14"/>
  <c r="S91" i="14"/>
  <c r="Q91" i="14"/>
  <c r="AC44" i="13"/>
  <c r="AC44" i="14"/>
  <c r="AB44" i="14"/>
  <c r="AB44" i="13"/>
  <c r="I17" i="17"/>
  <c r="H17" i="17"/>
  <c r="G17" i="17"/>
  <c r="AC71" i="14"/>
  <c r="AB71" i="14"/>
  <c r="AD71" i="14"/>
  <c r="H53" i="14"/>
  <c r="I53" i="14"/>
  <c r="H15" i="17"/>
  <c r="I15" i="17"/>
  <c r="AK52" i="13"/>
  <c r="AL52" i="13"/>
  <c r="AM52" i="13"/>
  <c r="AD70" i="13"/>
  <c r="AC70" i="13"/>
  <c r="AB70" i="13"/>
  <c r="AA71" i="13"/>
  <c r="J50" i="13"/>
  <c r="I50" i="13"/>
  <c r="H50" i="13"/>
  <c r="AD50" i="13"/>
  <c r="AC50" i="13"/>
  <c r="AB50" i="13"/>
  <c r="H42" i="13"/>
  <c r="I42" i="13"/>
  <c r="J42" i="13"/>
  <c r="G53" i="13"/>
  <c r="J9" i="14"/>
  <c r="H9" i="14"/>
  <c r="I9" i="14"/>
  <c r="AB49" i="14"/>
  <c r="AC49" i="14"/>
  <c r="AD49" i="14"/>
  <c r="AA51" i="14"/>
  <c r="AD49" i="13"/>
  <c r="AC49" i="13"/>
  <c r="AB49" i="13"/>
  <c r="AA51" i="13"/>
  <c r="AA53" i="13"/>
  <c r="G51" i="13"/>
  <c r="Q91" i="13"/>
  <c r="R91" i="13"/>
  <c r="S91" i="13"/>
  <c r="AM53" i="14"/>
  <c r="AL53" i="14"/>
  <c r="AK53" i="14"/>
  <c r="H17" i="14"/>
  <c r="I17" i="14"/>
  <c r="J17" i="14"/>
  <c r="P90" i="13"/>
  <c r="AC90" i="13"/>
  <c r="AD90" i="13"/>
  <c r="AB90" i="13"/>
  <c r="S44" i="13"/>
  <c r="P52" i="13"/>
  <c r="Q44" i="13"/>
  <c r="R44" i="13"/>
  <c r="H51" i="14"/>
  <c r="I51" i="14"/>
  <c r="J51" i="14"/>
  <c r="I71" i="13"/>
  <c r="J71" i="13"/>
  <c r="H71" i="13"/>
  <c r="T8" i="17"/>
  <c r="U8" i="17"/>
  <c r="S53" i="13"/>
  <c r="R53" i="13"/>
  <c r="Q53" i="13"/>
  <c r="AM89" i="14"/>
  <c r="AL89" i="14"/>
  <c r="AK89" i="14"/>
  <c r="AJ90" i="14"/>
  <c r="AL91" i="14"/>
  <c r="AM91" i="14"/>
  <c r="AK91" i="14"/>
  <c r="J91" i="13"/>
  <c r="H91" i="13"/>
  <c r="I91" i="13"/>
  <c r="J72" i="14"/>
  <c r="H72" i="14"/>
  <c r="I72" i="14"/>
  <c r="AL51" i="14"/>
  <c r="AK51" i="14"/>
  <c r="AM51" i="14"/>
  <c r="AJ52" i="14"/>
  <c r="AC91" i="13"/>
  <c r="AB91" i="13"/>
  <c r="AD91" i="13"/>
  <c r="J70" i="14"/>
  <c r="I70" i="14"/>
  <c r="H70" i="14"/>
  <c r="G71" i="14"/>
  <c r="AL51" i="13"/>
  <c r="AK51" i="13"/>
  <c r="AM51" i="13"/>
  <c r="AB69" i="13"/>
  <c r="AD69" i="13"/>
  <c r="AC69" i="13"/>
  <c r="AA72" i="13"/>
  <c r="H10" i="14"/>
  <c r="I10" i="14"/>
  <c r="J10" i="14"/>
  <c r="G9" i="17"/>
  <c r="H9" i="17"/>
  <c r="I9" i="17"/>
  <c r="I8" i="17"/>
  <c r="H8" i="17"/>
  <c r="G8" i="17"/>
  <c r="AD90" i="14"/>
  <c r="AC90" i="14"/>
  <c r="AB90" i="14"/>
  <c r="S90" i="14"/>
  <c r="Q90" i="14"/>
  <c r="R90" i="14"/>
  <c r="S71" i="13"/>
  <c r="Q71" i="13"/>
  <c r="R71" i="13"/>
  <c r="S13" i="17"/>
  <c r="U13" i="17"/>
  <c r="T13" i="17"/>
  <c r="O12" i="17" l="1"/>
  <c r="H44" i="13"/>
  <c r="I44" i="13"/>
  <c r="I8" i="14"/>
  <c r="R11" i="17"/>
  <c r="H8" i="14"/>
  <c r="G11" i="14"/>
  <c r="I11" i="14" s="1"/>
  <c r="AD53" i="14"/>
  <c r="AC53" i="14"/>
  <c r="AB53" i="14"/>
  <c r="C103" i="14"/>
  <c r="I97" i="14"/>
  <c r="J52" i="14"/>
  <c r="I52" i="14"/>
  <c r="H52" i="14"/>
  <c r="G21" i="13"/>
  <c r="G12" i="13"/>
  <c r="S20" i="17"/>
  <c r="U20" i="17"/>
  <c r="T20" i="17"/>
  <c r="I71" i="14"/>
  <c r="J71" i="14"/>
  <c r="H71" i="14"/>
  <c r="R90" i="13"/>
  <c r="Q90" i="13"/>
  <c r="S90" i="13"/>
  <c r="I51" i="13"/>
  <c r="H51" i="13"/>
  <c r="J51" i="13"/>
  <c r="G52" i="13"/>
  <c r="AD71" i="13"/>
  <c r="AC71" i="13"/>
  <c r="AB71" i="13"/>
  <c r="S52" i="13"/>
  <c r="R52" i="13"/>
  <c r="Q52" i="13"/>
  <c r="AC53" i="13"/>
  <c r="AB53" i="13"/>
  <c r="AD53" i="13"/>
  <c r="AC51" i="13"/>
  <c r="AB51" i="13"/>
  <c r="AD51" i="13"/>
  <c r="AA52" i="13"/>
  <c r="AM52" i="14"/>
  <c r="AL52" i="14"/>
  <c r="AK52" i="14"/>
  <c r="H10" i="13"/>
  <c r="I10" i="13"/>
  <c r="J10" i="13"/>
  <c r="AB72" i="13"/>
  <c r="AD72" i="13"/>
  <c r="AC72" i="13"/>
  <c r="J16" i="14"/>
  <c r="I16" i="14"/>
  <c r="H16" i="14"/>
  <c r="G18" i="14"/>
  <c r="AK90" i="14"/>
  <c r="AM90" i="14"/>
  <c r="AL90" i="14"/>
  <c r="G20" i="14"/>
  <c r="I20" i="14" s="1"/>
  <c r="H7" i="17"/>
  <c r="I7" i="17"/>
  <c r="G7" i="17"/>
  <c r="AC51" i="14"/>
  <c r="AD51" i="14"/>
  <c r="AB51" i="14"/>
  <c r="AA52" i="14"/>
  <c r="J53" i="13"/>
  <c r="H53" i="13"/>
  <c r="I53" i="13"/>
  <c r="I12" i="17"/>
  <c r="G12" i="17"/>
  <c r="H12" i="17"/>
  <c r="O14" i="17" l="1"/>
  <c r="O22" i="17" s="1"/>
  <c r="O23" i="17"/>
  <c r="F22" i="17"/>
  <c r="S11" i="17"/>
  <c r="H11" i="14"/>
  <c r="J11" i="14"/>
  <c r="T11" i="17"/>
  <c r="U11" i="17"/>
  <c r="I97" i="13"/>
  <c r="C103" i="13"/>
  <c r="H20" i="14"/>
  <c r="J20" i="14"/>
  <c r="J21" i="13"/>
  <c r="I21" i="13"/>
  <c r="H21" i="13"/>
  <c r="T19" i="17"/>
  <c r="U19" i="17"/>
  <c r="S19" i="17"/>
  <c r="R21" i="17"/>
  <c r="I52" i="13"/>
  <c r="J52" i="13"/>
  <c r="H52" i="13"/>
  <c r="AD52" i="13"/>
  <c r="AC52" i="13"/>
  <c r="W103" i="13"/>
  <c r="AB52" i="13"/>
  <c r="AC97" i="13"/>
  <c r="I19" i="17"/>
  <c r="G19" i="17"/>
  <c r="H19" i="17"/>
  <c r="U12" i="17"/>
  <c r="T12" i="17"/>
  <c r="S12" i="17"/>
  <c r="R14" i="17"/>
  <c r="R23" i="17"/>
  <c r="G19" i="14"/>
  <c r="H18" i="14"/>
  <c r="J18" i="14"/>
  <c r="I18" i="14"/>
  <c r="AC97" i="14"/>
  <c r="AB52" i="14"/>
  <c r="AD52" i="14"/>
  <c r="AC52" i="14"/>
  <c r="W103" i="14"/>
  <c r="G20" i="13"/>
  <c r="J12" i="13"/>
  <c r="I12" i="13"/>
  <c r="H12" i="13"/>
  <c r="H10" i="17" l="1"/>
  <c r="F13" i="17"/>
  <c r="G13" i="17" s="1"/>
  <c r="G10" i="17"/>
  <c r="I10" i="17"/>
  <c r="G26" i="13"/>
  <c r="C29" i="13"/>
  <c r="R22" i="17"/>
  <c r="I22" i="17"/>
  <c r="C28" i="14"/>
  <c r="G25" i="14"/>
  <c r="I19" i="14"/>
  <c r="H19" i="14"/>
  <c r="J19" i="14"/>
  <c r="U23" i="17"/>
  <c r="T23" i="17"/>
  <c r="S23" i="17"/>
  <c r="I18" i="17"/>
  <c r="H18" i="17"/>
  <c r="G18" i="17"/>
  <c r="F20" i="17"/>
  <c r="H20" i="13"/>
  <c r="J20" i="13"/>
  <c r="I20" i="13"/>
  <c r="T14" i="17"/>
  <c r="S14" i="17"/>
  <c r="U14" i="17"/>
  <c r="T21" i="17"/>
  <c r="S21" i="17"/>
  <c r="U21" i="17"/>
  <c r="H11" i="17"/>
  <c r="G11" i="17"/>
  <c r="I11" i="17"/>
  <c r="I13" i="17" l="1"/>
  <c r="H13" i="17"/>
  <c r="G22" i="17"/>
  <c r="H22" i="17"/>
  <c r="U22" i="17"/>
  <c r="S22" i="17"/>
  <c r="T22" i="17"/>
  <c r="H20" i="17"/>
  <c r="I20" i="17"/>
  <c r="G20" i="17"/>
  <c r="F21" i="17"/>
  <c r="I21" i="17" l="1"/>
  <c r="H21" i="17"/>
  <c r="G21" i="17"/>
  <c r="I33" i="15" l="1"/>
  <c r="H33" i="15"/>
  <c r="F256" i="15" l="1"/>
  <c r="A256" i="15"/>
  <c r="G256" i="15"/>
</calcChain>
</file>

<file path=xl/sharedStrings.xml><?xml version="1.0" encoding="utf-8"?>
<sst xmlns="http://schemas.openxmlformats.org/spreadsheetml/2006/main" count="6270" uniqueCount="198">
  <si>
    <t>TEAM PENJUALAN AGP</t>
  </si>
  <si>
    <t>TEAM PENJUALAN DIVISI SALESMAN</t>
  </si>
  <si>
    <t>Month</t>
  </si>
  <si>
    <t>ALL AGP</t>
  </si>
  <si>
    <t>Growth</t>
  </si>
  <si>
    <t>TGT 2026</t>
  </si>
  <si>
    <t>ACH</t>
  </si>
  <si>
    <t>26 vs 25</t>
  </si>
  <si>
    <t>26 vs 24</t>
  </si>
  <si>
    <t>Jan</t>
  </si>
  <si>
    <t>Feb</t>
  </si>
  <si>
    <t>Mar</t>
  </si>
  <si>
    <t>Apr</t>
  </si>
  <si>
    <t>May</t>
  </si>
  <si>
    <t>Jun</t>
  </si>
  <si>
    <t>Sem1</t>
  </si>
  <si>
    <t>Jul</t>
  </si>
  <si>
    <t>Aug</t>
  </si>
  <si>
    <t>Sep</t>
  </si>
  <si>
    <t>Oct</t>
  </si>
  <si>
    <t>Nov</t>
  </si>
  <si>
    <t>Dec</t>
  </si>
  <si>
    <t>Sem 2</t>
  </si>
  <si>
    <t>TOTAL YTD</t>
  </si>
  <si>
    <t>AVG YTD</t>
  </si>
  <si>
    <t>TEAM PENJUALAN KANTOR</t>
  </si>
  <si>
    <t>TELEMARKETING</t>
  </si>
  <si>
    <t>PENJUALAN TELEMARKETING</t>
  </si>
  <si>
    <t>TEAM PENJUALAN AGPc</t>
  </si>
  <si>
    <t>2024 -2025</t>
  </si>
  <si>
    <t>TANDA TANGAN SCM</t>
  </si>
  <si>
    <t>AGPc BJB</t>
  </si>
  <si>
    <t>AGPc JJB</t>
  </si>
  <si>
    <t>JAKARTA BAT - PUS</t>
  </si>
  <si>
    <t>AHMAD</t>
  </si>
  <si>
    <t>RIDWAN</t>
  </si>
  <si>
    <t>PETER</t>
  </si>
  <si>
    <t>SYAEPULLOH</t>
  </si>
  <si>
    <t>BEKASI</t>
  </si>
  <si>
    <t>DIKI</t>
  </si>
  <si>
    <t>BOGOR</t>
  </si>
  <si>
    <t>RAHMAN</t>
  </si>
  <si>
    <t>JAKARTA SELATAN</t>
  </si>
  <si>
    <t>IPNU</t>
  </si>
  <si>
    <t>PERBANDINGAN DENGAN TARGET</t>
  </si>
  <si>
    <t>TANDA TANGAN SPV</t>
  </si>
  <si>
    <t>SELISIH 2024 -2025</t>
  </si>
  <si>
    <t>TEAM PENJUALAN AGPS</t>
  </si>
  <si>
    <t>AGPS BJB</t>
  </si>
  <si>
    <t>RIFKY</t>
  </si>
  <si>
    <t>AGPS JJB</t>
  </si>
  <si>
    <t>AGUSTIAN</t>
  </si>
  <si>
    <t>Sem 1</t>
  </si>
  <si>
    <t>GILBERT</t>
  </si>
  <si>
    <t>FAUZI</t>
  </si>
  <si>
    <t>FAHMI</t>
  </si>
  <si>
    <t>SEMESTER 1</t>
  </si>
  <si>
    <t>NAMA SALES</t>
  </si>
  <si>
    <t>STEVEN</t>
  </si>
  <si>
    <t>ROUTE : LUAR PULAU JAWA</t>
  </si>
  <si>
    <t>ROUTE</t>
  </si>
  <si>
    <t>TARGET</t>
  </si>
  <si>
    <t>CUST</t>
  </si>
  <si>
    <t>OMSET SPV</t>
  </si>
  <si>
    <t>OMSET NETT</t>
  </si>
  <si>
    <t>SISA</t>
  </si>
  <si>
    <t>PERCENTAGE</t>
  </si>
  <si>
    <t>LAMPUNG</t>
  </si>
  <si>
    <t>PALEMBANG</t>
  </si>
  <si>
    <t>BENGKULU</t>
  </si>
  <si>
    <t>BANGKA BELITUNG</t>
  </si>
  <si>
    <t>JAMBI</t>
  </si>
  <si>
    <t>PADANG</t>
  </si>
  <si>
    <t>RIAU</t>
  </si>
  <si>
    <t>KALIMANTAN BARAT</t>
  </si>
  <si>
    <t>SULAWESI SELATAN</t>
  </si>
  <si>
    <t>MANADO</t>
  </si>
  <si>
    <t>TOTAL</t>
  </si>
  <si>
    <t>ROUTE : CIKAMPEK</t>
  </si>
  <si>
    <t>CIKAMPEK</t>
  </si>
  <si>
    <t>ROUTE: BANDUNG &amp; GARUT</t>
  </si>
  <si>
    <t>BANDUNG</t>
  </si>
  <si>
    <t>GARUT</t>
  </si>
  <si>
    <t>TARGET Q1</t>
  </si>
  <si>
    <t>TARGET Q3</t>
  </si>
  <si>
    <t>TOTAL AGPN</t>
  </si>
  <si>
    <t>TARGET Q2</t>
  </si>
  <si>
    <t>TARGET Q4</t>
  </si>
  <si>
    <t>INPUT TGL</t>
  </si>
  <si>
    <t xml:space="preserve">                                                 </t>
  </si>
  <si>
    <t>CHRISTOPER</t>
  </si>
  <si>
    <t>OA</t>
  </si>
  <si>
    <t>ROUTE: BANTEN &amp; TANGERANG KOTA</t>
  </si>
  <si>
    <t>KUNJUNGAN</t>
  </si>
  <si>
    <t>TARGET 100%</t>
  </si>
  <si>
    <t>OMSET PRODUK</t>
  </si>
  <si>
    <t>K-01</t>
  </si>
  <si>
    <t>K-02</t>
  </si>
  <si>
    <t>K-03</t>
  </si>
  <si>
    <t>K-04</t>
  </si>
  <si>
    <t>K-05</t>
  </si>
  <si>
    <t>K-06</t>
  </si>
  <si>
    <t>ANNAUFAL</t>
  </si>
  <si>
    <t>ROUTE: BOGOR</t>
  </si>
  <si>
    <t>AGPS:BOGOR</t>
  </si>
  <si>
    <t>DIKI HERMAWAN</t>
  </si>
  <si>
    <t>ROUTE : BEKASI &amp; BANTEN</t>
  </si>
  <si>
    <t>ROUTE: BEKASI &amp; BANTEN</t>
  </si>
  <si>
    <t>AGPC:TKAB-KRW</t>
  </si>
  <si>
    <t>ROUTE: KERAWANG, RENGAS DENGKLOK &amp; TANGERANG KAB</t>
  </si>
  <si>
    <t>ROUTE: SUBANG, CIREBON &amp; TANGERANG SELATAN</t>
  </si>
  <si>
    <t>AGPS:TSEL-SUB</t>
  </si>
  <si>
    <t>ROUTE: JAKARTA BARAT &amp; JAKARTA PUSAT</t>
  </si>
  <si>
    <t>AGPC:DPK-SKB</t>
  </si>
  <si>
    <t>ROUTE: DEPOK, SUKABUMI &amp; CIANJUR</t>
  </si>
  <si>
    <t>RAYFAHMI</t>
  </si>
  <si>
    <t>NURRAHMAN</t>
  </si>
  <si>
    <t>ROUTE: JAKARTA TIMUR &amp; CIKARANG</t>
  </si>
  <si>
    <t>AGPS:JAKTIM-CKR</t>
  </si>
  <si>
    <t>ROUTE: JAKARTA SELATAN</t>
  </si>
  <si>
    <t>SUHERI</t>
  </si>
  <si>
    <t>ROUTE : JAKARTA UTARA &amp; PURWAKARTA</t>
  </si>
  <si>
    <t>DEVANI</t>
  </si>
  <si>
    <t>REKAPAN TOTAL OMSET AGPC BJB (BANTEN JAWA BARAT)</t>
  </si>
  <si>
    <t>REKAPAN TOTAL OMSET AGPS BJB (BANTEN JAWA BARAT)</t>
  </si>
  <si>
    <t>SALES</t>
  </si>
  <si>
    <t>SISA 100%</t>
  </si>
  <si>
    <t>(SALES + SPV)</t>
  </si>
  <si>
    <t>PERCENTAGE SPV</t>
  </si>
  <si>
    <t>REKAPAN TOTAL OMSET JJB (JAKARTA JAWA BARAT)</t>
  </si>
  <si>
    <t>REKAPAN TOTAL OMSET AGPS JJB (JAKARTA JAWA BARAT)</t>
  </si>
  <si>
    <t>REKAPAN TOTAL OMSET AGPC</t>
  </si>
  <si>
    <t>REKAPAN TOTAL OMSET AGPS</t>
  </si>
  <si>
    <t>DIVISI</t>
  </si>
  <si>
    <t>AGPC-LK</t>
  </si>
  <si>
    <t>AGPS-LK</t>
  </si>
  <si>
    <t>AGPC-DK</t>
  </si>
  <si>
    <t>AGPS-DK</t>
  </si>
  <si>
    <t>ROUTE : BEKASI</t>
  </si>
  <si>
    <t>ROUTE: BEKASI</t>
  </si>
  <si>
    <t>BANTEN - BEKASI</t>
  </si>
  <si>
    <t>TANGERANG KABUPATEN - KARAWANG</t>
  </si>
  <si>
    <t>JAKARTA TIMUR - CIKARANG</t>
  </si>
  <si>
    <t>JAKARTA UTARA - PURWAKARTA</t>
  </si>
  <si>
    <t>TEAM PENJUALAN ( AGPs , AGPc , AGPN )</t>
  </si>
  <si>
    <t>BANDUNG + GARUT</t>
  </si>
  <si>
    <t>TEAM PENJUALAN CIKAMPEK</t>
  </si>
  <si>
    <t>TEAM PENJUALAN AGPN - CIKAMPEK</t>
  </si>
  <si>
    <t>TEAM PENJUALAN GREEN GO</t>
  </si>
  <si>
    <t>2025 -2026</t>
  </si>
  <si>
    <t>ACH 2026 vs TGT 2026</t>
  </si>
  <si>
    <t>DEPOK - SUKABUMI</t>
  </si>
  <si>
    <t>SELISIH 2025 -2026</t>
  </si>
  <si>
    <t>TEAM PENJUALAN LUAR PULAU</t>
  </si>
  <si>
    <t>TEAM PENJUALAN BANDUNG + GARUT</t>
  </si>
  <si>
    <t>TEAM PENJUALAN AGPN - LUAR PULAU</t>
  </si>
  <si>
    <t>AGPS : BEKASI</t>
  </si>
  <si>
    <t>TEAM PENJUALAN AGPN</t>
  </si>
  <si>
    <t xml:space="preserve"> </t>
  </si>
  <si>
    <t>AGPS:BANTEN-BKS</t>
  </si>
  <si>
    <t>AGPS : JAKSEL</t>
  </si>
  <si>
    <t>BEKASI - BANTEN</t>
  </si>
  <si>
    <t>TANG KAB - KARAWANG</t>
  </si>
  <si>
    <t>TANG SEL - SUBANG</t>
  </si>
  <si>
    <t>HABIBIE</t>
  </si>
  <si>
    <t>DIMAS</t>
  </si>
  <si>
    <t>ALFIN</t>
  </si>
  <si>
    <t>FERDIAN</t>
  </si>
  <si>
    <t>LUDFY</t>
  </si>
  <si>
    <t>ALI AKBAR</t>
  </si>
  <si>
    <t>TELEMARKETING 1</t>
  </si>
  <si>
    <t>TELEMARKETING 2</t>
  </si>
  <si>
    <t>TELEMARKETING 3</t>
  </si>
  <si>
    <t>NUR HABIBIE</t>
  </si>
  <si>
    <t>ROUTE: BEKASI - BANTEN</t>
  </si>
  <si>
    <t>ROUTE: BANTEN- BEKASI</t>
  </si>
  <si>
    <t>NUR HABIBI</t>
  </si>
  <si>
    <t>ROUTE: TANGKAB - KAWARANG</t>
  </si>
  <si>
    <t>ROUTE: SUBANG - CIREBON - TANGSEL</t>
  </si>
  <si>
    <t>ROUTE: JAKARTA BARAT - JAKARTA PUSAT</t>
  </si>
  <si>
    <t>ROUTE: DEPOK - SUKABUMI - CIANJUR</t>
  </si>
  <si>
    <t>ROUTE: JAKARTA TIMUR - CIKARANG</t>
  </si>
  <si>
    <t>ROUTE: JAKARTA UTARA - PURWAKARTA</t>
  </si>
  <si>
    <t>ROUTE: BANTEN - BEKASI</t>
  </si>
  <si>
    <t>ROUTE: TANGKAB - KARAWANG</t>
  </si>
  <si>
    <t>ACHMAD FAUZI</t>
  </si>
  <si>
    <t>RAY FAHMI</t>
  </si>
  <si>
    <t>REKAPAN TOTAL OMSET AGPC JJB (JAKARTA JAWA BARAT)</t>
  </si>
  <si>
    <t>AGPC : BOGOR</t>
  </si>
  <si>
    <t>AGPC</t>
  </si>
  <si>
    <t>AGPS</t>
  </si>
  <si>
    <t>AGPN</t>
  </si>
  <si>
    <t>TGT</t>
  </si>
  <si>
    <t>k04</t>
  </si>
  <si>
    <t>AGPC : JAKTIM-CKR</t>
  </si>
  <si>
    <t>BOBBY</t>
  </si>
  <si>
    <t>-</t>
  </si>
  <si>
    <t>AGPS : TSEL-SUB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</si>
</sst>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7" formatCode="yyyy\-mm"/>
    <numFmt numFmtId="168" formatCode="0.0%"/>
    <numFmt numFmtId="169" formatCode="_(* #,##0_);_(* \(#,##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0"/>
      <name val="Aptos Narrow"/>
      <family val="2"/>
    </font>
    <font>
      <b/>
      <sz val="14"/>
      <color theme="0"/>
      <name val="Aptos Narrow"/>
      <family val="2"/>
    </font>
    <font>
      <sz val="11"/>
      <color theme="1"/>
      <name val="Aptos Narrow"/>
      <family val="2"/>
    </font>
    <font>
      <sz val="10"/>
      <name val="Aptos Narrow"/>
      <family val="2"/>
    </font>
    <font>
      <b/>
      <sz val="11"/>
      <color theme="1"/>
      <name val="Aptos Narrow"/>
      <family val="2"/>
    </font>
    <font>
      <sz val="9"/>
      <color theme="1"/>
      <name val="Aptos Narrow"/>
      <family val="2"/>
    </font>
    <font>
      <sz val="18"/>
      <color theme="1"/>
      <name val="Aptos Narrow"/>
      <family val="2"/>
    </font>
    <font>
      <b/>
      <sz val="16"/>
      <color theme="1"/>
      <name val="Aptos Narrow"/>
      <family val="2"/>
    </font>
    <font>
      <sz val="10"/>
      <color theme="1"/>
      <name val="Aptos Narrow"/>
      <family val="2"/>
    </font>
    <font>
      <b/>
      <sz val="22"/>
      <color theme="0"/>
      <name val="Aptos Narrow"/>
      <family val="2"/>
    </font>
    <font>
      <b/>
      <sz val="24"/>
      <color theme="1"/>
      <name val="Aptos Narrow"/>
      <family val="2"/>
    </font>
    <font>
      <sz val="11"/>
      <name val="Aptos Narrow"/>
      <family val="2"/>
    </font>
    <font>
      <b/>
      <sz val="12"/>
      <color theme="1"/>
      <name val="Aptos Narrow"/>
      <family val="2"/>
    </font>
    <font>
      <b/>
      <sz val="12"/>
      <color theme="0"/>
      <name val="Aptos Narrow"/>
      <family val="2"/>
    </font>
    <font>
      <sz val="12"/>
      <color theme="1"/>
      <name val="Aptos Narrow"/>
      <family val="2"/>
    </font>
    <font>
      <sz val="12"/>
      <name val="Aptos Narrow"/>
      <family val="2"/>
    </font>
    <font>
      <b/>
      <sz val="18"/>
      <color theme="1"/>
      <name val="Aptos Narrow"/>
      <family val="2"/>
    </font>
  </fonts>
  <fills count="2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9F1D1D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121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/>
        <bgColor indexed="64"/>
      </patternFill>
    </fill>
  </fills>
  <borders count="9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FF0000"/>
      </left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 style="thick">
        <color rgb="FFFF0000"/>
      </right>
      <top/>
      <bottom style="thick">
        <color rgb="FFFF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ck">
        <color rgb="FFFF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medium">
        <color indexed="64"/>
      </left>
      <right style="medium">
        <color indexed="64"/>
      </right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rgb="FFFF0000"/>
      </top>
      <bottom style="medium">
        <color indexed="64"/>
      </bottom>
      <diagonal/>
    </border>
    <border>
      <left style="medium">
        <color indexed="64"/>
      </left>
      <right style="thick">
        <color rgb="FFFF0000"/>
      </right>
      <top style="medium">
        <color indexed="64"/>
      </top>
      <bottom/>
      <diagonal/>
    </border>
    <border>
      <left style="medium">
        <color theme="1"/>
      </left>
      <right style="medium">
        <color indexed="64"/>
      </right>
      <top style="thick">
        <color rgb="FFFF0000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ck">
        <color rgb="FFFF0000"/>
      </bottom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FF0000"/>
      </right>
      <top style="medium">
        <color indexed="64"/>
      </top>
      <bottom style="thick">
        <color rgb="FFFF0000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 style="thick">
        <color rgb="FFFF000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theme="1"/>
      </right>
      <top style="medium">
        <color indexed="64"/>
      </top>
      <bottom style="medium">
        <color theme="1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9">
    <xf numFmtId="0" fontId="0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  <xf numFmtId="0" fontId="2" fillId="0" borderId="0"/>
    <xf numFmtId="0" fontId="1" fillId="0" borderId="0"/>
    <xf numFmtId="0" fontId="11" fillId="0" borderId="0"/>
    <xf numFmtId="0" fontId="12" fillId="0" borderId="0"/>
  </cellStyleXfs>
  <cellXfs count="683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3" fontId="0" fillId="0" borderId="0" xfId="0" applyNumberFormat="1"/>
    <xf numFmtId="0" fontId="0" fillId="0" borderId="0" xfId="0" applyAlignment="1">
      <alignment horizontal="center" vertical="center"/>
    </xf>
    <xf numFmtId="168" fontId="0" fillId="0" borderId="0" xfId="0" applyNumberFormat="1"/>
    <xf numFmtId="0" fontId="3" fillId="2" borderId="28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167" fontId="0" fillId="6" borderId="24" xfId="0" applyNumberFormat="1" applyFill="1" applyBorder="1" applyAlignment="1">
      <alignment horizontal="center"/>
    </xf>
    <xf numFmtId="3" fontId="0" fillId="0" borderId="14" xfId="1" applyNumberFormat="1" applyFont="1" applyBorder="1" applyAlignment="1" applyProtection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24" xfId="1" applyNumberFormat="1" applyFont="1" applyBorder="1" applyAlignment="1" applyProtection="1">
      <alignment horizontal="center" vertical="center"/>
    </xf>
    <xf numFmtId="168" fontId="2" fillId="7" borderId="14" xfId="3" applyNumberFormat="1" applyFill="1" applyBorder="1" applyAlignment="1" applyProtection="1">
      <alignment horizontal="center" vertical="center"/>
    </xf>
    <xf numFmtId="9" fontId="0" fillId="0" borderId="24" xfId="3" applyFont="1" applyBorder="1" applyAlignment="1" applyProtection="1">
      <alignment horizontal="center"/>
    </xf>
    <xf numFmtId="9" fontId="0" fillId="0" borderId="27" xfId="3" applyFont="1" applyBorder="1" applyAlignment="1" applyProtection="1">
      <alignment horizontal="center" vertical="center"/>
    </xf>
    <xf numFmtId="9" fontId="0" fillId="0" borderId="14" xfId="3" applyFont="1" applyBorder="1" applyAlignment="1" applyProtection="1">
      <alignment horizontal="center"/>
    </xf>
    <xf numFmtId="3" fontId="0" fillId="0" borderId="44" xfId="1" applyNumberFormat="1" applyFont="1" applyBorder="1" applyAlignment="1" applyProtection="1">
      <alignment horizontal="center" vertical="center"/>
    </xf>
    <xf numFmtId="3" fontId="0" fillId="0" borderId="44" xfId="0" applyNumberFormat="1" applyBorder="1" applyAlignment="1">
      <alignment horizontal="center" vertical="center"/>
    </xf>
    <xf numFmtId="168" fontId="2" fillId="7" borderId="44" xfId="3" applyNumberFormat="1" applyFill="1" applyBorder="1" applyAlignment="1" applyProtection="1">
      <alignment horizontal="center" vertical="center"/>
    </xf>
    <xf numFmtId="9" fontId="0" fillId="0" borderId="44" xfId="3" applyFont="1" applyBorder="1" applyAlignment="1" applyProtection="1">
      <alignment horizontal="center"/>
    </xf>
    <xf numFmtId="0" fontId="3" fillId="2" borderId="28" xfId="0" applyFont="1" applyFill="1" applyBorder="1" applyAlignment="1">
      <alignment horizontal="center"/>
    </xf>
    <xf numFmtId="3" fontId="3" fillId="2" borderId="28" xfId="1" applyNumberFormat="1" applyFont="1" applyFill="1" applyBorder="1" applyAlignment="1" applyProtection="1">
      <alignment horizontal="center" vertical="center"/>
    </xf>
    <xf numFmtId="168" fontId="3" fillId="8" borderId="28" xfId="3" applyNumberFormat="1" applyFont="1" applyFill="1" applyBorder="1" applyAlignment="1" applyProtection="1">
      <alignment horizontal="center" vertical="center"/>
    </xf>
    <xf numFmtId="9" fontId="5" fillId="8" borderId="28" xfId="3" applyFont="1" applyFill="1" applyBorder="1" applyAlignment="1" applyProtection="1">
      <alignment horizontal="center"/>
    </xf>
    <xf numFmtId="9" fontId="5" fillId="8" borderId="30" xfId="3" applyFont="1" applyFill="1" applyBorder="1" applyAlignment="1" applyProtection="1">
      <alignment horizontal="center" vertical="center"/>
    </xf>
    <xf numFmtId="167" fontId="0" fillId="9" borderId="12" xfId="0" applyNumberFormat="1" applyFill="1" applyBorder="1" applyAlignment="1">
      <alignment horizontal="center"/>
    </xf>
    <xf numFmtId="3" fontId="0" fillId="0" borderId="24" xfId="0" applyNumberFormat="1" applyBorder="1" applyAlignment="1">
      <alignment horizontal="center" vertical="center"/>
    </xf>
    <xf numFmtId="168" fontId="2" fillId="7" borderId="24" xfId="3" applyNumberFormat="1" applyFill="1" applyBorder="1" applyAlignment="1" applyProtection="1">
      <alignment horizontal="center" vertical="center"/>
    </xf>
    <xf numFmtId="167" fontId="0" fillId="9" borderId="24" xfId="0" applyNumberFormat="1" applyFill="1" applyBorder="1" applyAlignment="1">
      <alignment horizontal="center"/>
    </xf>
    <xf numFmtId="167" fontId="0" fillId="9" borderId="11" xfId="0" applyNumberFormat="1" applyFill="1" applyBorder="1" applyAlignment="1">
      <alignment horizontal="center"/>
    </xf>
    <xf numFmtId="0" fontId="0" fillId="10" borderId="24" xfId="0" applyFill="1" applyBorder="1" applyAlignment="1">
      <alignment horizontal="center" vertical="center"/>
    </xf>
    <xf numFmtId="3" fontId="0" fillId="10" borderId="24" xfId="1" applyNumberFormat="1" applyFont="1" applyFill="1" applyBorder="1" applyAlignment="1" applyProtection="1">
      <alignment horizontal="center" vertical="center"/>
    </xf>
    <xf numFmtId="3" fontId="0" fillId="3" borderId="31" xfId="1" applyNumberFormat="1" applyFont="1" applyFill="1" applyBorder="1" applyAlignment="1" applyProtection="1">
      <alignment horizontal="center" vertical="center"/>
    </xf>
    <xf numFmtId="168" fontId="2" fillId="3" borderId="32" xfId="3" applyNumberFormat="1" applyFill="1" applyBorder="1" applyAlignment="1" applyProtection="1">
      <alignment horizontal="center" vertical="center"/>
    </xf>
    <xf numFmtId="9" fontId="0" fillId="10" borderId="24" xfId="3" applyFont="1" applyFill="1" applyBorder="1" applyAlignment="1" applyProtection="1">
      <alignment horizontal="center" vertical="center"/>
    </xf>
    <xf numFmtId="9" fontId="0" fillId="10" borderId="33" xfId="3" applyFont="1" applyFill="1" applyBorder="1" applyAlignment="1" applyProtection="1">
      <alignment horizontal="center" vertical="center"/>
    </xf>
    <xf numFmtId="0" fontId="0" fillId="11" borderId="15" xfId="0" applyFill="1" applyBorder="1" applyAlignment="1">
      <alignment horizontal="center" vertical="center"/>
    </xf>
    <xf numFmtId="3" fontId="0" fillId="11" borderId="15" xfId="1" applyNumberFormat="1" applyFont="1" applyFill="1" applyBorder="1" applyAlignment="1" applyProtection="1">
      <alignment horizontal="center" vertical="center"/>
    </xf>
    <xf numFmtId="3" fontId="0" fillId="11" borderId="11" xfId="1" applyNumberFormat="1" applyFont="1" applyFill="1" applyBorder="1" applyAlignment="1" applyProtection="1">
      <alignment horizontal="center" vertical="center"/>
    </xf>
    <xf numFmtId="168" fontId="2" fillId="7" borderId="11" xfId="3" applyNumberFormat="1" applyFill="1" applyBorder="1" applyAlignment="1" applyProtection="1">
      <alignment horizontal="center" vertical="center"/>
    </xf>
    <xf numFmtId="9" fontId="0" fillId="11" borderId="15" xfId="3" applyFont="1" applyFill="1" applyBorder="1" applyAlignment="1" applyProtection="1">
      <alignment horizontal="center" vertical="center"/>
    </xf>
    <xf numFmtId="9" fontId="0" fillId="10" borderId="38" xfId="3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34" xfId="0" applyBorder="1"/>
    <xf numFmtId="0" fontId="0" fillId="0" borderId="36" xfId="0" applyBorder="1"/>
    <xf numFmtId="0" fontId="0" fillId="0" borderId="36" xfId="0" applyBorder="1" applyAlignment="1">
      <alignment horizontal="center" vertical="center"/>
    </xf>
    <xf numFmtId="0" fontId="0" fillId="0" borderId="35" xfId="0" applyBorder="1"/>
    <xf numFmtId="0" fontId="0" fillId="0" borderId="40" xfId="0" applyBorder="1"/>
    <xf numFmtId="0" fontId="0" fillId="0" borderId="41" xfId="0" applyBorder="1"/>
    <xf numFmtId="0" fontId="3" fillId="12" borderId="39" xfId="0" applyFont="1" applyFill="1" applyBorder="1" applyAlignment="1">
      <alignment horizontal="center" vertical="center" wrapText="1"/>
    </xf>
    <xf numFmtId="0" fontId="3" fillId="12" borderId="28" xfId="0" applyFont="1" applyFill="1" applyBorder="1" applyAlignment="1">
      <alignment horizontal="center" vertical="center" wrapText="1"/>
    </xf>
    <xf numFmtId="0" fontId="3" fillId="12" borderId="38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3" fontId="0" fillId="0" borderId="5" xfId="1" applyNumberFormat="1" applyFont="1" applyBorder="1" applyAlignment="1" applyProtection="1">
      <alignment horizontal="center" vertical="center"/>
    </xf>
    <xf numFmtId="3" fontId="0" fillId="0" borderId="20" xfId="1" applyNumberFormat="1" applyFont="1" applyBorder="1" applyAlignment="1" applyProtection="1">
      <alignment horizontal="center" vertical="center"/>
    </xf>
    <xf numFmtId="168" fontId="2" fillId="7" borderId="12" xfId="3" applyNumberFormat="1" applyFill="1" applyBorder="1" applyAlignment="1" applyProtection="1">
      <alignment horizontal="center" vertical="center"/>
    </xf>
    <xf numFmtId="9" fontId="0" fillId="0" borderId="12" xfId="3" applyFont="1" applyBorder="1" applyAlignment="1" applyProtection="1">
      <alignment horizontal="center"/>
    </xf>
    <xf numFmtId="3" fontId="0" fillId="0" borderId="21" xfId="1" applyNumberFormat="1" applyFont="1" applyBorder="1" applyAlignment="1" applyProtection="1">
      <alignment horizontal="center" vertical="center"/>
    </xf>
    <xf numFmtId="3" fontId="0" fillId="0" borderId="67" xfId="1" applyNumberFormat="1" applyFont="1" applyBorder="1" applyAlignment="1" applyProtection="1">
      <alignment horizontal="center" vertical="center"/>
    </xf>
    <xf numFmtId="3" fontId="0" fillId="0" borderId="54" xfId="0" applyNumberFormat="1" applyBorder="1" applyAlignment="1">
      <alignment horizontal="center" vertical="center"/>
    </xf>
    <xf numFmtId="167" fontId="0" fillId="6" borderId="45" xfId="0" applyNumberFormat="1" applyFill="1" applyBorder="1" applyAlignment="1">
      <alignment horizontal="center"/>
    </xf>
    <xf numFmtId="3" fontId="0" fillId="0" borderId="18" xfId="1" applyNumberFormat="1" applyFont="1" applyBorder="1" applyAlignment="1" applyProtection="1">
      <alignment horizontal="center" vertical="center"/>
    </xf>
    <xf numFmtId="3" fontId="0" fillId="0" borderId="8" xfId="1" applyNumberFormat="1" applyFont="1" applyBorder="1" applyAlignment="1" applyProtection="1">
      <alignment horizontal="center" vertical="center"/>
    </xf>
    <xf numFmtId="3" fontId="0" fillId="0" borderId="55" xfId="0" applyNumberFormat="1" applyBorder="1" applyAlignment="1">
      <alignment horizontal="center" vertical="center"/>
    </xf>
    <xf numFmtId="0" fontId="3" fillId="12" borderId="28" xfId="0" applyFont="1" applyFill="1" applyBorder="1" applyAlignment="1">
      <alignment horizontal="center"/>
    </xf>
    <xf numFmtId="3" fontId="3" fillId="12" borderId="42" xfId="1" applyNumberFormat="1" applyFont="1" applyFill="1" applyBorder="1" applyAlignment="1" applyProtection="1">
      <alignment horizontal="center" vertical="center"/>
    </xf>
    <xf numFmtId="3" fontId="3" fillId="12" borderId="28" xfId="1" applyNumberFormat="1" applyFont="1" applyFill="1" applyBorder="1" applyAlignment="1" applyProtection="1">
      <alignment horizontal="center" vertical="center"/>
    </xf>
    <xf numFmtId="3" fontId="3" fillId="12" borderId="22" xfId="1" applyNumberFormat="1" applyFont="1" applyFill="1" applyBorder="1" applyAlignment="1" applyProtection="1">
      <alignment horizontal="center" vertical="center"/>
    </xf>
    <xf numFmtId="168" fontId="2" fillId="7" borderId="28" xfId="3" applyNumberFormat="1" applyFill="1" applyBorder="1" applyAlignment="1" applyProtection="1">
      <alignment horizontal="center" vertical="center"/>
    </xf>
    <xf numFmtId="3" fontId="3" fillId="2" borderId="22" xfId="1" applyNumberFormat="1" applyFont="1" applyFill="1" applyBorder="1" applyAlignment="1" applyProtection="1">
      <alignment horizontal="center" vertical="center"/>
    </xf>
    <xf numFmtId="3" fontId="3" fillId="2" borderId="23" xfId="1" applyNumberFormat="1" applyFont="1" applyFill="1" applyBorder="1" applyAlignment="1" applyProtection="1">
      <alignment horizontal="center" vertical="center"/>
    </xf>
    <xf numFmtId="3" fontId="3" fillId="12" borderId="23" xfId="1" applyNumberFormat="1" applyFont="1" applyFill="1" applyBorder="1" applyAlignment="1" applyProtection="1">
      <alignment horizontal="center" vertical="center"/>
    </xf>
    <xf numFmtId="0" fontId="3" fillId="2" borderId="42" xfId="0" applyFont="1" applyFill="1" applyBorder="1" applyAlignment="1">
      <alignment horizontal="center"/>
    </xf>
    <xf numFmtId="3" fontId="3" fillId="2" borderId="68" xfId="1" applyNumberFormat="1" applyFont="1" applyFill="1" applyBorder="1" applyAlignment="1" applyProtection="1">
      <alignment horizontal="center" vertical="center"/>
    </xf>
    <xf numFmtId="3" fontId="0" fillId="0" borderId="69" xfId="1" applyNumberFormat="1" applyFont="1" applyBorder="1" applyAlignment="1" applyProtection="1">
      <alignment horizontal="center" vertical="center"/>
    </xf>
    <xf numFmtId="3" fontId="0" fillId="0" borderId="33" xfId="0" applyNumberFormat="1" applyBorder="1" applyAlignment="1">
      <alignment horizontal="center" vertical="center"/>
    </xf>
    <xf numFmtId="167" fontId="0" fillId="9" borderId="48" xfId="0" applyNumberFormat="1" applyFill="1" applyBorder="1" applyAlignment="1">
      <alignment horizontal="center"/>
    </xf>
    <xf numFmtId="167" fontId="0" fillId="9" borderId="45" xfId="0" applyNumberFormat="1" applyFill="1" applyBorder="1" applyAlignment="1">
      <alignment horizontal="center"/>
    </xf>
    <xf numFmtId="3" fontId="0" fillId="0" borderId="33" xfId="1" applyNumberFormat="1" applyFont="1" applyBorder="1" applyAlignment="1" applyProtection="1">
      <alignment horizontal="center" vertical="center"/>
    </xf>
    <xf numFmtId="167" fontId="0" fillId="9" borderId="37" xfId="0" applyNumberFormat="1" applyFill="1" applyBorder="1" applyAlignment="1">
      <alignment horizontal="center"/>
    </xf>
    <xf numFmtId="3" fontId="3" fillId="2" borderId="42" xfId="1" applyNumberFormat="1" applyFont="1" applyFill="1" applyBorder="1" applyAlignment="1" applyProtection="1">
      <alignment horizontal="center" vertical="center"/>
    </xf>
    <xf numFmtId="3" fontId="3" fillId="2" borderId="29" xfId="1" applyNumberFormat="1" applyFont="1" applyFill="1" applyBorder="1" applyAlignment="1" applyProtection="1">
      <alignment horizontal="center" vertical="center"/>
    </xf>
    <xf numFmtId="3" fontId="3" fillId="12" borderId="70" xfId="1" applyNumberFormat="1" applyFont="1" applyFill="1" applyBorder="1" applyAlignment="1" applyProtection="1">
      <alignment horizontal="center" vertical="center"/>
    </xf>
    <xf numFmtId="3" fontId="3" fillId="12" borderId="29" xfId="1" applyNumberFormat="1" applyFont="1" applyFill="1" applyBorder="1" applyAlignment="1" applyProtection="1">
      <alignment horizontal="center" vertical="center"/>
    </xf>
    <xf numFmtId="0" fontId="0" fillId="0" borderId="40" xfId="0" applyBorder="1" applyAlignment="1">
      <alignment horizontal="center" vertical="center"/>
    </xf>
    <xf numFmtId="3" fontId="0" fillId="10" borderId="45" xfId="1" applyNumberFormat="1" applyFont="1" applyFill="1" applyBorder="1" applyAlignment="1" applyProtection="1">
      <alignment horizontal="center" vertical="center"/>
    </xf>
    <xf numFmtId="3" fontId="0" fillId="3" borderId="61" xfId="1" applyNumberFormat="1" applyFont="1" applyFill="1" applyBorder="1" applyAlignment="1" applyProtection="1">
      <alignment horizontal="center" vertical="center"/>
    </xf>
    <xf numFmtId="168" fontId="2" fillId="7" borderId="63" xfId="3" applyNumberFormat="1" applyFill="1" applyBorder="1" applyAlignment="1" applyProtection="1">
      <alignment horizontal="center" vertical="center"/>
    </xf>
    <xf numFmtId="9" fontId="0" fillId="10" borderId="62" xfId="3" applyFont="1" applyFill="1" applyBorder="1" applyAlignment="1" applyProtection="1">
      <alignment horizontal="center" vertical="center"/>
    </xf>
    <xf numFmtId="168" fontId="2" fillId="7" borderId="59" xfId="3" applyNumberFormat="1" applyFill="1" applyBorder="1" applyAlignment="1" applyProtection="1">
      <alignment horizontal="center" vertical="center"/>
    </xf>
    <xf numFmtId="9" fontId="0" fillId="10" borderId="49" xfId="3" applyFont="1" applyFill="1" applyBorder="1" applyAlignment="1" applyProtection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10" borderId="45" xfId="0" applyFill="1" applyBorder="1" applyAlignment="1">
      <alignment horizontal="center" vertical="center"/>
    </xf>
    <xf numFmtId="3" fontId="0" fillId="10" borderId="69" xfId="1" applyNumberFormat="1" applyFont="1" applyFill="1" applyBorder="1" applyAlignment="1" applyProtection="1">
      <alignment horizontal="center" vertical="center"/>
    </xf>
    <xf numFmtId="3" fontId="0" fillId="10" borderId="20" xfId="1" applyNumberFormat="1" applyFont="1" applyFill="1" applyBorder="1" applyAlignment="1" applyProtection="1">
      <alignment horizontal="center" vertical="center"/>
    </xf>
    <xf numFmtId="3" fontId="0" fillId="10" borderId="57" xfId="1" applyNumberFormat="1" applyFont="1" applyFill="1" applyBorder="1" applyAlignment="1" applyProtection="1">
      <alignment horizontal="center" vertical="center"/>
    </xf>
    <xf numFmtId="3" fontId="0" fillId="3" borderId="46" xfId="1" applyNumberFormat="1" applyFont="1" applyFill="1" applyBorder="1" applyAlignment="1" applyProtection="1">
      <alignment horizontal="center" vertical="center"/>
    </xf>
    <xf numFmtId="3" fontId="0" fillId="11" borderId="47" xfId="1" applyNumberFormat="1" applyFont="1" applyFill="1" applyBorder="1" applyAlignment="1" applyProtection="1">
      <alignment horizontal="center" vertical="center"/>
    </xf>
    <xf numFmtId="3" fontId="0" fillId="11" borderId="43" xfId="1" applyNumberFormat="1" applyFont="1" applyFill="1" applyBorder="1" applyAlignment="1" applyProtection="1">
      <alignment horizontal="center" vertical="center"/>
    </xf>
    <xf numFmtId="9" fontId="0" fillId="11" borderId="11" xfId="3" applyFont="1" applyFill="1" applyBorder="1" applyAlignment="1" applyProtection="1">
      <alignment horizontal="center" vertical="center"/>
    </xf>
    <xf numFmtId="168" fontId="2" fillId="7" borderId="58" xfId="3" applyNumberFormat="1" applyFill="1" applyBorder="1" applyAlignment="1" applyProtection="1">
      <alignment horizontal="center" vertical="center"/>
    </xf>
    <xf numFmtId="0" fontId="0" fillId="11" borderId="47" xfId="0" applyFill="1" applyBorder="1" applyAlignment="1">
      <alignment horizontal="center" vertical="center"/>
    </xf>
    <xf numFmtId="3" fontId="0" fillId="11" borderId="71" xfId="1" applyNumberFormat="1" applyFont="1" applyFill="1" applyBorder="1" applyAlignment="1" applyProtection="1">
      <alignment horizontal="center" vertical="center"/>
    </xf>
    <xf numFmtId="3" fontId="0" fillId="11" borderId="53" xfId="1" applyNumberFormat="1" applyFont="1" applyFill="1" applyBorder="1" applyAlignment="1" applyProtection="1">
      <alignment horizontal="center" vertical="center"/>
    </xf>
    <xf numFmtId="3" fontId="0" fillId="0" borderId="72" xfId="1" applyNumberFormat="1" applyFont="1" applyBorder="1" applyAlignment="1" applyProtection="1">
      <alignment horizontal="center" vertical="center"/>
    </xf>
    <xf numFmtId="3" fontId="0" fillId="10" borderId="73" xfId="1" applyNumberFormat="1" applyFont="1" applyFill="1" applyBorder="1" applyAlignment="1" applyProtection="1">
      <alignment horizontal="center" vertical="center"/>
    </xf>
    <xf numFmtId="3" fontId="0" fillId="11" borderId="56" xfId="1" applyNumberFormat="1" applyFont="1" applyFill="1" applyBorder="1" applyAlignment="1" applyProtection="1">
      <alignment horizontal="center" vertical="center"/>
    </xf>
    <xf numFmtId="3" fontId="0" fillId="0" borderId="12" xfId="1" applyNumberFormat="1" applyFont="1" applyBorder="1" applyAlignment="1" applyProtection="1">
      <alignment horizontal="center" vertical="center"/>
    </xf>
    <xf numFmtId="3" fontId="0" fillId="0" borderId="10" xfId="1" applyNumberFormat="1" applyFont="1" applyBorder="1" applyAlignment="1" applyProtection="1">
      <alignment horizontal="center" vertical="center"/>
    </xf>
    <xf numFmtId="3" fontId="0" fillId="0" borderId="11" xfId="1" applyNumberFormat="1" applyFont="1" applyBorder="1" applyAlignment="1" applyProtection="1">
      <alignment horizontal="center" vertical="center"/>
    </xf>
    <xf numFmtId="168" fontId="2" fillId="7" borderId="34" xfId="3" applyNumberFormat="1" applyFill="1" applyBorder="1" applyAlignment="1" applyProtection="1">
      <alignment horizontal="center" vertical="center"/>
    </xf>
    <xf numFmtId="3" fontId="0" fillId="11" borderId="60" xfId="1" applyNumberFormat="1" applyFont="1" applyFill="1" applyBorder="1" applyAlignment="1" applyProtection="1">
      <alignment horizontal="center" vertical="center"/>
    </xf>
    <xf numFmtId="0" fontId="0" fillId="0" borderId="37" xfId="0" applyBorder="1"/>
    <xf numFmtId="0" fontId="0" fillId="0" borderId="39" xfId="0" applyBorder="1"/>
    <xf numFmtId="0" fontId="0" fillId="0" borderId="39" xfId="0" applyBorder="1" applyAlignment="1">
      <alignment horizontal="center" vertical="center"/>
    </xf>
    <xf numFmtId="0" fontId="0" fillId="0" borderId="38" xfId="0" applyBorder="1"/>
    <xf numFmtId="168" fontId="3" fillId="8" borderId="29" xfId="3" applyNumberFormat="1" applyFont="1" applyFill="1" applyBorder="1" applyAlignment="1" applyProtection="1">
      <alignment horizontal="center" vertical="center"/>
    </xf>
    <xf numFmtId="0" fontId="3" fillId="2" borderId="39" xfId="0" applyFont="1" applyFill="1" applyBorder="1" applyAlignment="1">
      <alignment horizontal="center" vertical="center" wrapText="1"/>
    </xf>
    <xf numFmtId="168" fontId="2" fillId="7" borderId="5" xfId="3" applyNumberFormat="1" applyFill="1" applyBorder="1" applyAlignment="1" applyProtection="1">
      <alignment horizontal="center" vertical="center"/>
    </xf>
    <xf numFmtId="9" fontId="0" fillId="0" borderId="33" xfId="3" applyFont="1" applyBorder="1" applyAlignment="1" applyProtection="1">
      <alignment horizontal="center" vertical="center"/>
    </xf>
    <xf numFmtId="3" fontId="0" fillId="0" borderId="45" xfId="1" applyNumberFormat="1" applyFont="1" applyBorder="1" applyAlignment="1" applyProtection="1">
      <alignment horizontal="center" vertical="center"/>
    </xf>
    <xf numFmtId="9" fontId="0" fillId="0" borderId="14" xfId="3" applyFont="1" applyBorder="1" applyAlignment="1" applyProtection="1">
      <alignment horizontal="center" vertical="center"/>
    </xf>
    <xf numFmtId="9" fontId="0" fillId="0" borderId="54" xfId="3" applyFont="1" applyBorder="1" applyAlignment="1" applyProtection="1">
      <alignment horizontal="center" vertical="center"/>
    </xf>
    <xf numFmtId="168" fontId="2" fillId="7" borderId="18" xfId="3" applyNumberFormat="1" applyFill="1" applyBorder="1" applyAlignment="1" applyProtection="1">
      <alignment horizontal="center" vertical="center"/>
    </xf>
    <xf numFmtId="9" fontId="0" fillId="0" borderId="44" xfId="3" applyFont="1" applyBorder="1" applyAlignment="1" applyProtection="1">
      <alignment horizontal="center" vertical="center"/>
    </xf>
    <xf numFmtId="9" fontId="0" fillId="0" borderId="55" xfId="3" applyFont="1" applyBorder="1" applyAlignment="1" applyProtection="1">
      <alignment horizontal="center" vertical="center"/>
    </xf>
    <xf numFmtId="168" fontId="3" fillId="2" borderId="22" xfId="3" applyNumberFormat="1" applyFont="1" applyFill="1" applyBorder="1" applyAlignment="1" applyProtection="1">
      <alignment horizontal="center" vertical="center"/>
    </xf>
    <xf numFmtId="9" fontId="5" fillId="2" borderId="28" xfId="3" applyFont="1" applyFill="1" applyBorder="1" applyAlignment="1" applyProtection="1">
      <alignment horizontal="center" vertical="center"/>
    </xf>
    <xf numFmtId="9" fontId="5" fillId="8" borderId="23" xfId="3" applyFont="1" applyFill="1" applyBorder="1" applyAlignment="1" applyProtection="1">
      <alignment horizontal="center" vertical="center"/>
    </xf>
    <xf numFmtId="168" fontId="2" fillId="7" borderId="20" xfId="3" applyNumberFormat="1" applyFill="1" applyBorder="1" applyAlignment="1" applyProtection="1">
      <alignment horizontal="center" vertical="center"/>
    </xf>
    <xf numFmtId="9" fontId="0" fillId="0" borderId="24" xfId="3" applyFont="1" applyBorder="1" applyAlignment="1" applyProtection="1">
      <alignment horizontal="center" vertical="center"/>
    </xf>
    <xf numFmtId="168" fontId="3" fillId="8" borderId="22" xfId="3" applyNumberFormat="1" applyFont="1" applyFill="1" applyBorder="1" applyAlignment="1" applyProtection="1">
      <alignment horizontal="center" vertical="center"/>
    </xf>
    <xf numFmtId="9" fontId="5" fillId="8" borderId="28" xfId="3" applyFont="1" applyFill="1" applyBorder="1" applyAlignment="1" applyProtection="1">
      <alignment horizontal="center" vertical="center"/>
    </xf>
    <xf numFmtId="0" fontId="0" fillId="10" borderId="24" xfId="0" applyFill="1" applyBorder="1" applyAlignment="1">
      <alignment horizontal="center"/>
    </xf>
    <xf numFmtId="3" fontId="0" fillId="3" borderId="51" xfId="1" applyNumberFormat="1" applyFont="1" applyFill="1" applyBorder="1" applyAlignment="1" applyProtection="1">
      <alignment horizontal="center" vertical="center"/>
    </xf>
    <xf numFmtId="168" fontId="2" fillId="3" borderId="52" xfId="3" applyNumberFormat="1" applyFill="1" applyBorder="1" applyAlignment="1" applyProtection="1">
      <alignment horizontal="center" vertical="center"/>
    </xf>
    <xf numFmtId="168" fontId="2" fillId="3" borderId="51" xfId="3" applyNumberFormat="1" applyFill="1" applyBorder="1" applyAlignment="1" applyProtection="1">
      <alignment horizontal="center" vertical="center"/>
    </xf>
    <xf numFmtId="3" fontId="0" fillId="3" borderId="37" xfId="1" applyNumberFormat="1" applyFont="1" applyFill="1" applyBorder="1" applyAlignment="1" applyProtection="1">
      <alignment horizontal="center" vertical="center"/>
    </xf>
    <xf numFmtId="3" fontId="0" fillId="10" borderId="33" xfId="1" applyNumberFormat="1" applyFont="1" applyFill="1" applyBorder="1" applyAlignment="1" applyProtection="1">
      <alignment horizontal="center" vertical="center"/>
    </xf>
    <xf numFmtId="0" fontId="0" fillId="11" borderId="15" xfId="0" applyFill="1" applyBorder="1" applyAlignment="1">
      <alignment horizontal="center"/>
    </xf>
    <xf numFmtId="168" fontId="2" fillId="7" borderId="39" xfId="3" applyNumberFormat="1" applyFill="1" applyBorder="1" applyAlignment="1" applyProtection="1">
      <alignment horizontal="center" vertical="center"/>
    </xf>
    <xf numFmtId="9" fontId="0" fillId="11" borderId="56" xfId="3" applyFont="1" applyFill="1" applyBorder="1" applyAlignment="1" applyProtection="1">
      <alignment horizontal="center" vertical="center"/>
    </xf>
    <xf numFmtId="3" fontId="0" fillId="11" borderId="39" xfId="1" applyNumberFormat="1" applyFont="1" applyFill="1" applyBorder="1" applyAlignment="1" applyProtection="1">
      <alignment horizontal="center" vertical="center"/>
    </xf>
    <xf numFmtId="168" fontId="2" fillId="7" borderId="6" xfId="3" applyNumberFormat="1" applyFill="1" applyBorder="1" applyAlignment="1" applyProtection="1">
      <alignment horizontal="center" vertical="center"/>
    </xf>
    <xf numFmtId="168" fontId="2" fillId="7" borderId="1" xfId="3" applyNumberFormat="1" applyFill="1" applyBorder="1" applyAlignment="1" applyProtection="1">
      <alignment horizontal="center" vertical="center"/>
    </xf>
    <xf numFmtId="168" fontId="2" fillId="7" borderId="21" xfId="3" applyNumberFormat="1" applyFill="1" applyBorder="1" applyAlignment="1" applyProtection="1">
      <alignment horizontal="center" vertical="center"/>
    </xf>
    <xf numFmtId="3" fontId="0" fillId="3" borderId="52" xfId="1" applyNumberFormat="1" applyFont="1" applyFill="1" applyBorder="1" applyAlignment="1" applyProtection="1">
      <alignment horizontal="center" vertical="center"/>
    </xf>
    <xf numFmtId="168" fontId="2" fillId="3" borderId="50" xfId="3" applyNumberFormat="1" applyFill="1" applyBorder="1" applyAlignment="1" applyProtection="1">
      <alignment horizontal="center" vertical="center"/>
    </xf>
    <xf numFmtId="168" fontId="2" fillId="7" borderId="43" xfId="3" applyNumberFormat="1" applyFill="1" applyBorder="1" applyAlignment="1" applyProtection="1">
      <alignment horizontal="center" vertical="center"/>
    </xf>
    <xf numFmtId="3" fontId="0" fillId="0" borderId="0" xfId="1" applyNumberFormat="1" applyFont="1" applyBorder="1" applyAlignment="1" applyProtection="1">
      <alignment horizontal="center" vertical="center"/>
    </xf>
    <xf numFmtId="168" fontId="2" fillId="7" borderId="15" xfId="3" applyNumberFormat="1" applyFill="1" applyBorder="1" applyAlignment="1" applyProtection="1">
      <alignment horizontal="center" vertical="center"/>
    </xf>
    <xf numFmtId="10" fontId="0" fillId="0" borderId="0" xfId="3" applyNumberFormat="1" applyFont="1"/>
    <xf numFmtId="3" fontId="3" fillId="2" borderId="28" xfId="0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9" fontId="0" fillId="0" borderId="0" xfId="3" applyFont="1"/>
    <xf numFmtId="3" fontId="0" fillId="3" borderId="78" xfId="1" applyNumberFormat="1" applyFont="1" applyFill="1" applyBorder="1" applyAlignment="1" applyProtection="1">
      <alignment horizontal="center" vertical="center"/>
    </xf>
    <xf numFmtId="3" fontId="0" fillId="11" borderId="37" xfId="1" applyNumberFormat="1" applyFont="1" applyFill="1" applyBorder="1" applyAlignment="1" applyProtection="1">
      <alignment horizontal="center" vertical="center"/>
    </xf>
    <xf numFmtId="10" fontId="0" fillId="0" borderId="55" xfId="3" applyNumberFormat="1" applyFont="1" applyBorder="1" applyAlignment="1" applyProtection="1">
      <alignment horizontal="center" vertical="center"/>
    </xf>
    <xf numFmtId="166" fontId="13" fillId="0" borderId="0" xfId="0" applyNumberFormat="1" applyFont="1"/>
    <xf numFmtId="168" fontId="0" fillId="0" borderId="27" xfId="3" applyNumberFormat="1" applyFont="1" applyBorder="1" applyAlignment="1" applyProtection="1">
      <alignment horizontal="center" vertical="center"/>
    </xf>
    <xf numFmtId="164" fontId="14" fillId="16" borderId="2" xfId="0" applyNumberFormat="1" applyFont="1" applyFill="1" applyBorder="1" applyAlignment="1">
      <alignment horizontal="center" vertical="center" wrapText="1"/>
    </xf>
    <xf numFmtId="10" fontId="14" fillId="16" borderId="6" xfId="3" applyNumberFormat="1" applyFont="1" applyFill="1" applyBorder="1" applyAlignment="1" applyProtection="1">
      <alignment horizontal="center" vertical="center"/>
    </xf>
    <xf numFmtId="0" fontId="16" fillId="0" borderId="2" xfId="0" applyFont="1" applyBorder="1" applyAlignment="1">
      <alignment horizontal="center"/>
    </xf>
    <xf numFmtId="3" fontId="16" fillId="0" borderId="2" xfId="1" applyNumberFormat="1" applyFont="1" applyBorder="1" applyAlignment="1">
      <alignment horizontal="center"/>
    </xf>
    <xf numFmtId="0" fontId="16" fillId="0" borderId="2" xfId="1" applyNumberFormat="1" applyFont="1" applyBorder="1" applyAlignment="1">
      <alignment horizontal="center"/>
    </xf>
    <xf numFmtId="0" fontId="17" fillId="0" borderId="2" xfId="7" applyFont="1" applyBorder="1" applyAlignment="1">
      <alignment horizontal="center" vertical="center"/>
    </xf>
    <xf numFmtId="3" fontId="16" fillId="0" borderId="2" xfId="6" applyNumberFormat="1" applyFont="1" applyBorder="1" applyAlignment="1">
      <alignment horizontal="center" vertical="center"/>
    </xf>
    <xf numFmtId="3" fontId="16" fillId="0" borderId="2" xfId="6" applyNumberFormat="1" applyFon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10" fontId="16" fillId="0" borderId="2" xfId="3" applyNumberFormat="1" applyFont="1" applyBorder="1" applyAlignment="1">
      <alignment horizontal="center" vertical="center"/>
    </xf>
    <xf numFmtId="3" fontId="16" fillId="0" borderId="2" xfId="1" applyNumberFormat="1" applyFont="1" applyFill="1" applyBorder="1" applyAlignment="1">
      <alignment horizontal="center"/>
    </xf>
    <xf numFmtId="3" fontId="16" fillId="0" borderId="2" xfId="1" applyNumberFormat="1" applyFont="1" applyFill="1" applyBorder="1" applyAlignment="1">
      <alignment horizontal="center" wrapText="1"/>
    </xf>
    <xf numFmtId="0" fontId="14" fillId="16" borderId="2" xfId="0" applyFont="1" applyFill="1" applyBorder="1" applyAlignment="1">
      <alignment horizontal="center"/>
    </xf>
    <xf numFmtId="3" fontId="14" fillId="16" borderId="2" xfId="1" applyNumberFormat="1" applyFont="1" applyFill="1" applyBorder="1" applyAlignment="1">
      <alignment horizontal="center"/>
    </xf>
    <xf numFmtId="0" fontId="14" fillId="16" borderId="2" xfId="1" applyNumberFormat="1" applyFont="1" applyFill="1" applyBorder="1" applyAlignment="1">
      <alignment horizontal="center"/>
    </xf>
    <xf numFmtId="0" fontId="14" fillId="16" borderId="2" xfId="1" applyNumberFormat="1" applyFont="1" applyFill="1" applyBorder="1" applyAlignment="1">
      <alignment horizontal="center" vertical="center"/>
    </xf>
    <xf numFmtId="3" fontId="14" fillId="16" borderId="2" xfId="1" applyNumberFormat="1" applyFont="1" applyFill="1" applyBorder="1" applyAlignment="1">
      <alignment horizontal="center" wrapText="1"/>
    </xf>
    <xf numFmtId="10" fontId="14" fillId="16" borderId="2" xfId="3" applyNumberFormat="1" applyFont="1" applyFill="1" applyBorder="1" applyAlignment="1">
      <alignment horizontal="center"/>
    </xf>
    <xf numFmtId="0" fontId="18" fillId="9" borderId="2" xfId="0" applyFont="1" applyFill="1" applyBorder="1" applyAlignment="1">
      <alignment horizontal="center"/>
    </xf>
    <xf numFmtId="3" fontId="18" fillId="0" borderId="2" xfId="0" applyNumberFormat="1" applyFont="1" applyBorder="1" applyAlignment="1">
      <alignment horizontal="center"/>
    </xf>
    <xf numFmtId="10" fontId="18" fillId="0" borderId="2" xfId="3" applyNumberFormat="1" applyFont="1" applyFill="1" applyBorder="1" applyAlignment="1">
      <alignment horizontal="center" vertical="center"/>
    </xf>
    <xf numFmtId="0" fontId="19" fillId="15" borderId="42" xfId="0" applyFont="1" applyFill="1" applyBorder="1"/>
    <xf numFmtId="14" fontId="16" fillId="15" borderId="23" xfId="0" applyNumberFormat="1" applyFont="1" applyFill="1" applyBorder="1"/>
    <xf numFmtId="3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 wrapText="1"/>
    </xf>
    <xf numFmtId="3" fontId="16" fillId="0" borderId="0" xfId="0" applyNumberFormat="1" applyFont="1"/>
    <xf numFmtId="3" fontId="16" fillId="0" borderId="0" xfId="0" applyNumberFormat="1" applyFont="1" applyAlignment="1">
      <alignment horizontal="center" vertical="center"/>
    </xf>
    <xf numFmtId="168" fontId="16" fillId="0" borderId="0" xfId="0" applyNumberFormat="1" applyFont="1"/>
    <xf numFmtId="0" fontId="16" fillId="0" borderId="0" xfId="0" applyFont="1"/>
    <xf numFmtId="1" fontId="16" fillId="0" borderId="0" xfId="0" applyNumberFormat="1" applyFont="1" applyAlignment="1">
      <alignment horizontal="center"/>
    </xf>
    <xf numFmtId="168" fontId="16" fillId="0" borderId="0" xfId="3" applyNumberFormat="1" applyFont="1"/>
    <xf numFmtId="3" fontId="18" fillId="0" borderId="0" xfId="0" applyNumberFormat="1" applyFont="1" applyAlignment="1">
      <alignment horizontal="center" vertical="center"/>
    </xf>
    <xf numFmtId="168" fontId="18" fillId="0" borderId="0" xfId="0" applyNumberFormat="1" applyFont="1"/>
    <xf numFmtId="0" fontId="18" fillId="0" borderId="0" xfId="0" applyFont="1"/>
    <xf numFmtId="164" fontId="14" fillId="12" borderId="2" xfId="0" applyNumberFormat="1" applyFont="1" applyFill="1" applyBorder="1" applyAlignment="1">
      <alignment horizontal="center" vertical="center" wrapText="1"/>
    </xf>
    <xf numFmtId="10" fontId="14" fillId="12" borderId="6" xfId="3" applyNumberFormat="1" applyFont="1" applyFill="1" applyBorder="1" applyAlignment="1" applyProtection="1">
      <alignment horizontal="center" vertical="center"/>
    </xf>
    <xf numFmtId="3" fontId="18" fillId="0" borderId="0" xfId="0" applyNumberFormat="1" applyFont="1" applyAlignment="1">
      <alignment horizontal="center"/>
    </xf>
    <xf numFmtId="168" fontId="18" fillId="0" borderId="0" xfId="3" applyNumberFormat="1" applyFont="1"/>
    <xf numFmtId="0" fontId="14" fillId="12" borderId="2" xfId="0" applyFont="1" applyFill="1" applyBorder="1" applyAlignment="1">
      <alignment horizontal="center"/>
    </xf>
    <xf numFmtId="3" fontId="14" fillId="12" borderId="2" xfId="1" applyNumberFormat="1" applyFont="1" applyFill="1" applyBorder="1" applyAlignment="1">
      <alignment horizontal="center"/>
    </xf>
    <xf numFmtId="0" fontId="14" fillId="12" borderId="2" xfId="1" applyNumberFormat="1" applyFont="1" applyFill="1" applyBorder="1" applyAlignment="1">
      <alignment horizontal="center"/>
    </xf>
    <xf numFmtId="0" fontId="14" fillId="12" borderId="2" xfId="1" applyNumberFormat="1" applyFont="1" applyFill="1" applyBorder="1" applyAlignment="1">
      <alignment horizontal="center" vertical="center"/>
    </xf>
    <xf numFmtId="3" fontId="14" fillId="12" borderId="2" xfId="1" applyNumberFormat="1" applyFont="1" applyFill="1" applyBorder="1" applyAlignment="1">
      <alignment horizontal="center" wrapText="1"/>
    </xf>
    <xf numFmtId="10" fontId="14" fillId="12" borderId="2" xfId="3" applyNumberFormat="1" applyFont="1" applyFill="1" applyBorder="1" applyAlignment="1">
      <alignment horizontal="center"/>
    </xf>
    <xf numFmtId="4" fontId="16" fillId="0" borderId="0" xfId="0" applyNumberFormat="1" applyFont="1" applyAlignment="1">
      <alignment horizontal="center"/>
    </xf>
    <xf numFmtId="3" fontId="14" fillId="0" borderId="13" xfId="0" applyNumberFormat="1" applyFont="1" applyBorder="1" applyAlignment="1">
      <alignment horizontal="center" vertical="center"/>
    </xf>
    <xf numFmtId="168" fontId="14" fillId="0" borderId="0" xfId="0" applyNumberFormat="1" applyFont="1" applyAlignment="1">
      <alignment horizontal="center" vertical="center"/>
    </xf>
    <xf numFmtId="168" fontId="16" fillId="0" borderId="0" xfId="2" applyNumberFormat="1" applyFont="1" applyFill="1"/>
    <xf numFmtId="3" fontId="14" fillId="0" borderId="0" xfId="0" applyNumberFormat="1" applyFont="1" applyAlignment="1">
      <alignment horizontal="center" vertical="center"/>
    </xf>
    <xf numFmtId="168" fontId="16" fillId="0" borderId="0" xfId="1" applyNumberFormat="1" applyFont="1" applyFill="1" applyBorder="1" applyAlignment="1">
      <alignment horizontal="center"/>
    </xf>
    <xf numFmtId="166" fontId="16" fillId="0" borderId="0" xfId="0" applyNumberFormat="1" applyFont="1"/>
    <xf numFmtId="168" fontId="16" fillId="0" borderId="0" xfId="0" applyNumberFormat="1" applyFont="1" applyAlignment="1">
      <alignment horizontal="center"/>
    </xf>
    <xf numFmtId="168" fontId="16" fillId="0" borderId="0" xfId="3" applyNumberFormat="1" applyFont="1" applyAlignment="1">
      <alignment horizontal="center"/>
    </xf>
    <xf numFmtId="0" fontId="20" fillId="0" borderId="18" xfId="0" applyFont="1" applyBorder="1" applyAlignment="1">
      <alignment vertical="center"/>
    </xf>
    <xf numFmtId="168" fontId="14" fillId="4" borderId="2" xfId="3" applyNumberFormat="1" applyFont="1" applyFill="1" applyBorder="1" applyAlignment="1">
      <alignment horizontal="center" vertical="center" wrapText="1"/>
    </xf>
    <xf numFmtId="10" fontId="14" fillId="4" borderId="2" xfId="3" applyNumberFormat="1" applyFont="1" applyFill="1" applyBorder="1" applyAlignment="1">
      <alignment horizontal="center" vertical="center" wrapText="1"/>
    </xf>
    <xf numFmtId="0" fontId="16" fillId="0" borderId="2" xfId="1" applyNumberFormat="1" applyFont="1" applyBorder="1" applyAlignment="1">
      <alignment horizontal="center" vertical="center"/>
    </xf>
    <xf numFmtId="37" fontId="16" fillId="0" borderId="2" xfId="1" applyNumberFormat="1" applyFont="1" applyBorder="1" applyAlignment="1">
      <alignment horizontal="center"/>
    </xf>
    <xf numFmtId="37" fontId="16" fillId="0" borderId="2" xfId="1" applyNumberFormat="1" applyFont="1" applyBorder="1" applyAlignment="1">
      <alignment horizontal="center" wrapText="1"/>
    </xf>
    <xf numFmtId="10" fontId="16" fillId="0" borderId="2" xfId="3" applyNumberFormat="1" applyFont="1" applyBorder="1" applyAlignment="1">
      <alignment horizontal="center"/>
    </xf>
    <xf numFmtId="3" fontId="16" fillId="0" borderId="2" xfId="0" applyNumberFormat="1" applyFont="1" applyBorder="1" applyAlignment="1">
      <alignment horizontal="center" vertical="center"/>
    </xf>
    <xf numFmtId="10" fontId="16" fillId="0" borderId="2" xfId="3" applyNumberFormat="1" applyFont="1" applyFill="1" applyBorder="1" applyAlignment="1">
      <alignment horizontal="center"/>
    </xf>
    <xf numFmtId="164" fontId="16" fillId="0" borderId="0" xfId="0" applyNumberFormat="1" applyFont="1"/>
    <xf numFmtId="0" fontId="22" fillId="0" borderId="2" xfId="0" applyFont="1" applyBorder="1" applyAlignment="1">
      <alignment horizontal="center"/>
    </xf>
    <xf numFmtId="1" fontId="16" fillId="0" borderId="2" xfId="1" applyNumberFormat="1" applyFont="1" applyBorder="1" applyAlignment="1">
      <alignment horizontal="center"/>
    </xf>
    <xf numFmtId="3" fontId="16" fillId="0" borderId="2" xfId="1" applyNumberFormat="1" applyFont="1" applyBorder="1" applyAlignment="1">
      <alignment horizontal="center" wrapText="1"/>
    </xf>
    <xf numFmtId="0" fontId="14" fillId="4" borderId="2" xfId="0" applyFont="1" applyFill="1" applyBorder="1" applyAlignment="1">
      <alignment horizontal="center"/>
    </xf>
    <xf numFmtId="3" fontId="14" fillId="4" borderId="2" xfId="1" applyNumberFormat="1" applyFont="1" applyFill="1" applyBorder="1" applyAlignment="1">
      <alignment horizontal="center"/>
    </xf>
    <xf numFmtId="1" fontId="14" fillId="4" borderId="2" xfId="1" applyNumberFormat="1" applyFont="1" applyFill="1" applyBorder="1" applyAlignment="1">
      <alignment horizontal="center"/>
    </xf>
    <xf numFmtId="0" fontId="14" fillId="4" borderId="2" xfId="1" applyNumberFormat="1" applyFont="1" applyFill="1" applyBorder="1" applyAlignment="1">
      <alignment horizontal="center"/>
    </xf>
    <xf numFmtId="3" fontId="14" fillId="4" borderId="2" xfId="1" applyNumberFormat="1" applyFont="1" applyFill="1" applyBorder="1" applyAlignment="1">
      <alignment horizontal="center" wrapText="1"/>
    </xf>
    <xf numFmtId="10" fontId="14" fillId="4" borderId="2" xfId="3" applyNumberFormat="1" applyFont="1" applyFill="1" applyBorder="1" applyAlignment="1">
      <alignment horizontal="center" vertical="center"/>
    </xf>
    <xf numFmtId="3" fontId="14" fillId="4" borderId="2" xfId="0" applyNumberFormat="1" applyFont="1" applyFill="1" applyBorder="1" applyAlignment="1">
      <alignment horizontal="center"/>
    </xf>
    <xf numFmtId="10" fontId="14" fillId="4" borderId="2" xfId="3" applyNumberFormat="1" applyFont="1" applyFill="1" applyBorder="1" applyAlignment="1">
      <alignment horizontal="center"/>
    </xf>
    <xf numFmtId="0" fontId="18" fillId="0" borderId="4" xfId="0" applyFont="1" applyBorder="1"/>
    <xf numFmtId="0" fontId="18" fillId="0" borderId="5" xfId="0" applyFont="1" applyBorder="1"/>
    <xf numFmtId="0" fontId="18" fillId="0" borderId="6" xfId="0" applyFont="1" applyBorder="1" applyAlignment="1">
      <alignment horizontal="center"/>
    </xf>
    <xf numFmtId="3" fontId="18" fillId="0" borderId="2" xfId="0" applyNumberFormat="1" applyFont="1" applyBorder="1" applyAlignment="1">
      <alignment horizontal="center" vertical="center"/>
    </xf>
    <xf numFmtId="10" fontId="18" fillId="0" borderId="2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10" fontId="18" fillId="0" borderId="0" xfId="0" applyNumberFormat="1" applyFont="1" applyAlignment="1">
      <alignment horizontal="center"/>
    </xf>
    <xf numFmtId="3" fontId="18" fillId="0" borderId="0" xfId="0" applyNumberFormat="1" applyFont="1"/>
    <xf numFmtId="10" fontId="18" fillId="0" borderId="0" xfId="3" applyNumberFormat="1" applyFont="1" applyFill="1" applyBorder="1" applyAlignment="1">
      <alignment horizontal="center" vertical="center"/>
    </xf>
    <xf numFmtId="10" fontId="16" fillId="0" borderId="0" xfId="0" applyNumberFormat="1" applyFont="1" applyAlignment="1">
      <alignment horizontal="center"/>
    </xf>
    <xf numFmtId="0" fontId="22" fillId="0" borderId="2" xfId="0" applyFont="1" applyBorder="1" applyAlignment="1">
      <alignment horizontal="center" vertical="center"/>
    </xf>
    <xf numFmtId="1" fontId="16" fillId="0" borderId="2" xfId="0" applyNumberFormat="1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/>
    </xf>
    <xf numFmtId="3" fontId="16" fillId="0" borderId="3" xfId="1" applyNumberFormat="1" applyFont="1" applyBorder="1" applyAlignment="1">
      <alignment horizontal="center"/>
    </xf>
    <xf numFmtId="1" fontId="16" fillId="0" borderId="3" xfId="1" applyNumberFormat="1" applyFont="1" applyBorder="1" applyAlignment="1">
      <alignment horizontal="center"/>
    </xf>
    <xf numFmtId="0" fontId="16" fillId="0" borderId="3" xfId="1" applyNumberFormat="1" applyFont="1" applyBorder="1" applyAlignment="1">
      <alignment horizontal="center"/>
    </xf>
    <xf numFmtId="0" fontId="16" fillId="0" borderId="2" xfId="0" applyFont="1" applyBorder="1"/>
    <xf numFmtId="37" fontId="14" fillId="4" borderId="2" xfId="1" applyNumberFormat="1" applyFont="1" applyFill="1" applyBorder="1" applyAlignment="1">
      <alignment horizontal="center"/>
    </xf>
    <xf numFmtId="37" fontId="14" fillId="4" borderId="2" xfId="1" applyNumberFormat="1" applyFont="1" applyFill="1" applyBorder="1" applyAlignment="1">
      <alignment horizontal="center" wrapText="1"/>
    </xf>
    <xf numFmtId="10" fontId="14" fillId="4" borderId="2" xfId="0" applyNumberFormat="1" applyFont="1" applyFill="1" applyBorder="1" applyAlignment="1">
      <alignment horizontal="center"/>
    </xf>
    <xf numFmtId="0" fontId="16" fillId="0" borderId="9" xfId="0" applyFont="1" applyBorder="1"/>
    <xf numFmtId="3" fontId="16" fillId="0" borderId="9" xfId="1" applyNumberFormat="1" applyFont="1" applyBorder="1" applyAlignment="1" applyProtection="1">
      <alignment horizontal="center" vertical="center"/>
    </xf>
    <xf numFmtId="3" fontId="16" fillId="0" borderId="0" xfId="2" applyNumberFormat="1" applyFont="1" applyAlignment="1" applyProtection="1">
      <alignment horizontal="center" vertical="center"/>
    </xf>
    <xf numFmtId="3" fontId="16" fillId="0" borderId="9" xfId="1" applyNumberFormat="1" applyFont="1" applyBorder="1" applyAlignment="1" applyProtection="1">
      <alignment horizontal="center"/>
    </xf>
    <xf numFmtId="3" fontId="16" fillId="0" borderId="9" xfId="0" applyNumberFormat="1" applyFont="1" applyBorder="1" applyAlignment="1">
      <alignment horizontal="center"/>
    </xf>
    <xf numFmtId="10" fontId="16" fillId="0" borderId="9" xfId="3" applyNumberFormat="1" applyFont="1" applyBorder="1" applyAlignment="1" applyProtection="1">
      <alignment horizontal="center"/>
    </xf>
    <xf numFmtId="3" fontId="16" fillId="0" borderId="2" xfId="1" applyNumberFormat="1" applyFont="1" applyBorder="1" applyAlignment="1" applyProtection="1">
      <alignment horizontal="center" vertical="center"/>
    </xf>
    <xf numFmtId="3" fontId="16" fillId="0" borderId="6" xfId="2" applyNumberFormat="1" applyFont="1" applyBorder="1" applyAlignment="1" applyProtection="1">
      <alignment horizontal="center" vertical="center"/>
    </xf>
    <xf numFmtId="3" fontId="16" fillId="0" borderId="2" xfId="1" applyNumberFormat="1" applyFont="1" applyBorder="1" applyAlignment="1" applyProtection="1">
      <alignment horizontal="center"/>
    </xf>
    <xf numFmtId="10" fontId="16" fillId="0" borderId="2" xfId="3" applyNumberFormat="1" applyFont="1" applyBorder="1" applyAlignment="1" applyProtection="1">
      <alignment horizontal="center"/>
    </xf>
    <xf numFmtId="0" fontId="16" fillId="0" borderId="3" xfId="0" applyFont="1" applyBorder="1"/>
    <xf numFmtId="3" fontId="16" fillId="0" borderId="3" xfId="1" applyNumberFormat="1" applyFont="1" applyBorder="1" applyAlignment="1" applyProtection="1">
      <alignment horizontal="center" vertical="center"/>
    </xf>
    <xf numFmtId="3" fontId="16" fillId="0" borderId="1" xfId="2" applyNumberFormat="1" applyFont="1" applyBorder="1" applyAlignment="1" applyProtection="1">
      <alignment horizontal="center" vertical="center"/>
    </xf>
    <xf numFmtId="3" fontId="16" fillId="0" borderId="3" xfId="1" applyNumberFormat="1" applyFont="1" applyBorder="1" applyAlignment="1" applyProtection="1">
      <alignment horizontal="center"/>
    </xf>
    <xf numFmtId="3" fontId="16" fillId="0" borderId="3" xfId="0" applyNumberFormat="1" applyFont="1" applyBorder="1" applyAlignment="1">
      <alignment horizontal="center"/>
    </xf>
    <xf numFmtId="10" fontId="16" fillId="0" borderId="3" xfId="3" applyNumberFormat="1" applyFont="1" applyBorder="1" applyAlignment="1" applyProtection="1">
      <alignment horizontal="center"/>
    </xf>
    <xf numFmtId="3" fontId="16" fillId="0" borderId="0" xfId="1" applyNumberFormat="1" applyFont="1" applyBorder="1" applyAlignment="1" applyProtection="1">
      <alignment horizontal="center" vertical="center"/>
    </xf>
    <xf numFmtId="3" fontId="16" fillId="0" borderId="0" xfId="2" applyNumberFormat="1" applyFont="1" applyBorder="1" applyAlignment="1" applyProtection="1">
      <alignment horizontal="center" vertical="center"/>
    </xf>
    <xf numFmtId="3" fontId="16" fillId="0" borderId="0" xfId="1" applyNumberFormat="1" applyFont="1" applyBorder="1" applyAlignment="1" applyProtection="1">
      <alignment horizontal="center"/>
    </xf>
    <xf numFmtId="10" fontId="16" fillId="0" borderId="0" xfId="3" applyNumberFormat="1" applyFont="1" applyBorder="1" applyAlignment="1" applyProtection="1">
      <alignment horizontal="center"/>
    </xf>
    <xf numFmtId="3" fontId="16" fillId="0" borderId="21" xfId="2" applyNumberFormat="1" applyFont="1" applyBorder="1" applyAlignment="1" applyProtection="1">
      <alignment horizontal="center" vertical="center"/>
    </xf>
    <xf numFmtId="10" fontId="14" fillId="19" borderId="74" xfId="3" applyNumberFormat="1" applyFont="1" applyFill="1" applyBorder="1" applyAlignment="1">
      <alignment horizontal="center" vertical="center"/>
    </xf>
    <xf numFmtId="166" fontId="14" fillId="19" borderId="74" xfId="1" applyNumberFormat="1" applyFont="1" applyFill="1" applyBorder="1" applyProtection="1"/>
    <xf numFmtId="3" fontId="14" fillId="19" borderId="74" xfId="1" applyNumberFormat="1" applyFont="1" applyFill="1" applyBorder="1" applyAlignment="1" applyProtection="1">
      <alignment horizontal="center" vertical="center"/>
    </xf>
    <xf numFmtId="10" fontId="14" fillId="19" borderId="74" xfId="3" applyNumberFormat="1" applyFont="1" applyFill="1" applyBorder="1" applyAlignment="1" applyProtection="1">
      <alignment horizontal="center"/>
    </xf>
    <xf numFmtId="166" fontId="14" fillId="19" borderId="75" xfId="1" applyNumberFormat="1" applyFont="1" applyFill="1" applyBorder="1" applyProtection="1"/>
    <xf numFmtId="3" fontId="14" fillId="19" borderId="75" xfId="1" applyNumberFormat="1" applyFont="1" applyFill="1" applyBorder="1" applyAlignment="1" applyProtection="1">
      <alignment horizontal="center" vertical="center"/>
    </xf>
    <xf numFmtId="10" fontId="14" fillId="19" borderId="75" xfId="3" applyNumberFormat="1" applyFont="1" applyFill="1" applyBorder="1" applyAlignment="1" applyProtection="1">
      <alignment horizontal="center"/>
    </xf>
    <xf numFmtId="0" fontId="14" fillId="18" borderId="2" xfId="0" applyFont="1" applyFill="1" applyBorder="1" applyAlignment="1">
      <alignment horizontal="center"/>
    </xf>
    <xf numFmtId="0" fontId="16" fillId="20" borderId="0" xfId="0" applyFont="1" applyFill="1"/>
    <xf numFmtId="3" fontId="16" fillId="20" borderId="0" xfId="0" applyNumberFormat="1" applyFont="1" applyFill="1" applyAlignment="1">
      <alignment horizontal="center"/>
    </xf>
    <xf numFmtId="0" fontId="16" fillId="20" borderId="0" xfId="0" applyFont="1" applyFill="1" applyAlignment="1">
      <alignment horizontal="center"/>
    </xf>
    <xf numFmtId="0" fontId="16" fillId="20" borderId="0" xfId="0" applyFont="1" applyFill="1" applyAlignment="1">
      <alignment horizontal="center" vertical="center"/>
    </xf>
    <xf numFmtId="164" fontId="16" fillId="20" borderId="0" xfId="0" applyNumberFormat="1" applyFont="1" applyFill="1" applyAlignment="1">
      <alignment horizontal="center"/>
    </xf>
    <xf numFmtId="164" fontId="16" fillId="20" borderId="0" xfId="0" applyNumberFormat="1" applyFont="1" applyFill="1" applyAlignment="1">
      <alignment horizontal="center" wrapText="1"/>
    </xf>
    <xf numFmtId="3" fontId="16" fillId="20" borderId="0" xfId="0" applyNumberFormat="1" applyFont="1" applyFill="1"/>
    <xf numFmtId="3" fontId="16" fillId="20" borderId="0" xfId="0" applyNumberFormat="1" applyFont="1" applyFill="1" applyAlignment="1">
      <alignment horizontal="center" vertical="center"/>
    </xf>
    <xf numFmtId="168" fontId="16" fillId="20" borderId="0" xfId="0" applyNumberFormat="1" applyFont="1" applyFill="1"/>
    <xf numFmtId="1" fontId="16" fillId="20" borderId="0" xfId="0" applyNumberFormat="1" applyFont="1" applyFill="1" applyAlignment="1">
      <alignment horizontal="center"/>
    </xf>
    <xf numFmtId="168" fontId="16" fillId="20" borderId="0" xfId="3" applyNumberFormat="1" applyFont="1" applyFill="1"/>
    <xf numFmtId="168" fontId="14" fillId="16" borderId="2" xfId="0" applyNumberFormat="1" applyFont="1" applyFill="1" applyBorder="1" applyAlignment="1">
      <alignment horizontal="center" vertical="center" wrapText="1"/>
    </xf>
    <xf numFmtId="10" fontId="14" fillId="16" borderId="2" xfId="3" applyNumberFormat="1" applyFont="1" applyFill="1" applyBorder="1" applyAlignment="1" applyProtection="1">
      <alignment horizontal="center" vertical="center"/>
    </xf>
    <xf numFmtId="37" fontId="14" fillId="16" borderId="2" xfId="1" applyNumberFormat="1" applyFont="1" applyFill="1" applyBorder="1" applyAlignment="1">
      <alignment horizontal="center"/>
    </xf>
    <xf numFmtId="37" fontId="14" fillId="16" borderId="2" xfId="1" applyNumberFormat="1" applyFont="1" applyFill="1" applyBorder="1" applyAlignment="1">
      <alignment horizontal="center" wrapText="1"/>
    </xf>
    <xf numFmtId="10" fontId="14" fillId="16" borderId="2" xfId="3" applyNumberFormat="1" applyFont="1" applyFill="1" applyBorder="1" applyAlignment="1">
      <alignment horizontal="center" vertical="center"/>
    </xf>
    <xf numFmtId="10" fontId="14" fillId="16" borderId="2" xfId="0" applyNumberFormat="1" applyFont="1" applyFill="1" applyBorder="1" applyAlignment="1">
      <alignment horizontal="center"/>
    </xf>
    <xf numFmtId="0" fontId="16" fillId="17" borderId="0" xfId="0" applyFont="1" applyFill="1"/>
    <xf numFmtId="0" fontId="25" fillId="0" borderId="2" xfId="7" applyFont="1" applyBorder="1" applyAlignment="1">
      <alignment horizontal="center" vertical="center"/>
    </xf>
    <xf numFmtId="0" fontId="20" fillId="0" borderId="0" xfId="0" applyFont="1"/>
    <xf numFmtId="168" fontId="14" fillId="12" borderId="2" xfId="3" applyNumberFormat="1" applyFont="1" applyFill="1" applyBorder="1" applyAlignment="1">
      <alignment horizontal="center" vertical="center" wrapText="1"/>
    </xf>
    <xf numFmtId="10" fontId="14" fillId="12" borderId="2" xfId="3" applyNumberFormat="1" applyFont="1" applyFill="1" applyBorder="1" applyAlignment="1">
      <alignment horizontal="center" vertical="center" wrapText="1"/>
    </xf>
    <xf numFmtId="1" fontId="14" fillId="12" borderId="2" xfId="1" applyNumberFormat="1" applyFont="1" applyFill="1" applyBorder="1" applyAlignment="1">
      <alignment horizontal="center"/>
    </xf>
    <xf numFmtId="10" fontId="14" fillId="12" borderId="2" xfId="3" applyNumberFormat="1" applyFont="1" applyFill="1" applyBorder="1" applyAlignment="1">
      <alignment horizontal="center" vertical="center"/>
    </xf>
    <xf numFmtId="3" fontId="14" fillId="12" borderId="2" xfId="0" applyNumberFormat="1" applyFont="1" applyFill="1" applyBorder="1" applyAlignment="1">
      <alignment horizontal="center"/>
    </xf>
    <xf numFmtId="37" fontId="14" fillId="12" borderId="2" xfId="1" applyNumberFormat="1" applyFont="1" applyFill="1" applyBorder="1" applyAlignment="1">
      <alignment horizontal="center"/>
    </xf>
    <xf numFmtId="37" fontId="14" fillId="12" borderId="2" xfId="1" applyNumberFormat="1" applyFont="1" applyFill="1" applyBorder="1" applyAlignment="1">
      <alignment horizontal="center" wrapText="1"/>
    </xf>
    <xf numFmtId="10" fontId="14" fillId="12" borderId="2" xfId="0" applyNumberFormat="1" applyFont="1" applyFill="1" applyBorder="1" applyAlignment="1">
      <alignment horizontal="center"/>
    </xf>
    <xf numFmtId="0" fontId="18" fillId="0" borderId="2" xfId="0" applyFont="1" applyBorder="1" applyAlignment="1">
      <alignment horizontal="center"/>
    </xf>
    <xf numFmtId="10" fontId="18" fillId="0" borderId="2" xfId="3" applyNumberFormat="1" applyFont="1" applyBorder="1" applyAlignment="1">
      <alignment horizontal="center"/>
    </xf>
    <xf numFmtId="166" fontId="14" fillId="19" borderId="76" xfId="1" applyNumberFormat="1" applyFont="1" applyFill="1" applyBorder="1" applyProtection="1"/>
    <xf numFmtId="3" fontId="14" fillId="19" borderId="76" xfId="1" applyNumberFormat="1" applyFont="1" applyFill="1" applyBorder="1" applyAlignment="1" applyProtection="1">
      <alignment horizontal="center" vertical="center"/>
    </xf>
    <xf numFmtId="10" fontId="14" fillId="19" borderId="76" xfId="3" applyNumberFormat="1" applyFont="1" applyFill="1" applyBorder="1" applyAlignment="1" applyProtection="1">
      <alignment horizontal="center"/>
    </xf>
    <xf numFmtId="3" fontId="16" fillId="0" borderId="2" xfId="2" applyNumberFormat="1" applyFont="1" applyBorder="1" applyAlignment="1" applyProtection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3" fontId="16" fillId="0" borderId="2" xfId="1" applyNumberFormat="1" applyFont="1" applyBorder="1" applyAlignment="1">
      <alignment horizontal="center" vertical="center"/>
    </xf>
    <xf numFmtId="3" fontId="16" fillId="0" borderId="2" xfId="1" applyNumberFormat="1" applyFont="1" applyFill="1" applyBorder="1" applyAlignment="1">
      <alignment horizontal="center" vertical="center"/>
    </xf>
    <xf numFmtId="3" fontId="16" fillId="0" borderId="2" xfId="1" applyNumberFormat="1" applyFont="1" applyFill="1" applyBorder="1" applyAlignment="1">
      <alignment horizontal="center" vertical="center" wrapText="1"/>
    </xf>
    <xf numFmtId="3" fontId="14" fillId="16" borderId="2" xfId="1" applyNumberFormat="1" applyFont="1" applyFill="1" applyBorder="1" applyAlignment="1">
      <alignment horizontal="center" vertical="center"/>
    </xf>
    <xf numFmtId="3" fontId="14" fillId="16" borderId="2" xfId="1" applyNumberFormat="1" applyFont="1" applyFill="1" applyBorder="1" applyAlignment="1">
      <alignment horizontal="center" vertical="center" wrapText="1"/>
    </xf>
    <xf numFmtId="37" fontId="16" fillId="0" borderId="2" xfId="1" applyNumberFormat="1" applyFont="1" applyBorder="1" applyAlignment="1">
      <alignment horizontal="center" vertical="center"/>
    </xf>
    <xf numFmtId="37" fontId="16" fillId="0" borderId="2" xfId="1" applyNumberFormat="1" applyFont="1" applyBorder="1" applyAlignment="1">
      <alignment horizontal="center" vertical="center" wrapText="1"/>
    </xf>
    <xf numFmtId="10" fontId="16" fillId="0" borderId="2" xfId="3" applyNumberFormat="1" applyFont="1" applyFill="1" applyBorder="1" applyAlignment="1">
      <alignment horizontal="center" vertical="center"/>
    </xf>
    <xf numFmtId="37" fontId="14" fillId="16" borderId="2" xfId="1" applyNumberFormat="1" applyFont="1" applyFill="1" applyBorder="1" applyAlignment="1">
      <alignment horizontal="center" vertical="center"/>
    </xf>
    <xf numFmtId="37" fontId="14" fillId="16" borderId="2" xfId="1" applyNumberFormat="1" applyFont="1" applyFill="1" applyBorder="1" applyAlignment="1">
      <alignment horizontal="center" vertical="center" wrapText="1"/>
    </xf>
    <xf numFmtId="3" fontId="14" fillId="12" borderId="2" xfId="1" applyNumberFormat="1" applyFont="1" applyFill="1" applyBorder="1" applyAlignment="1">
      <alignment horizontal="center" vertical="center"/>
    </xf>
    <xf numFmtId="3" fontId="14" fillId="12" borderId="2" xfId="1" applyNumberFormat="1" applyFont="1" applyFill="1" applyBorder="1" applyAlignment="1">
      <alignment horizontal="center" vertical="center" wrapText="1"/>
    </xf>
    <xf numFmtId="1" fontId="16" fillId="0" borderId="2" xfId="1" applyNumberFormat="1" applyFont="1" applyBorder="1" applyAlignment="1">
      <alignment horizontal="center" vertical="center"/>
    </xf>
    <xf numFmtId="3" fontId="16" fillId="0" borderId="2" xfId="1" applyNumberFormat="1" applyFont="1" applyBorder="1" applyAlignment="1">
      <alignment horizontal="center" vertical="center" wrapText="1"/>
    </xf>
    <xf numFmtId="1" fontId="14" fillId="12" borderId="2" xfId="1" applyNumberFormat="1" applyFont="1" applyFill="1" applyBorder="1" applyAlignment="1">
      <alignment horizontal="center" vertical="center"/>
    </xf>
    <xf numFmtId="3" fontId="16" fillId="0" borderId="21" xfId="1" applyNumberFormat="1" applyFont="1" applyBorder="1" applyAlignment="1" applyProtection="1">
      <alignment horizontal="center" vertical="center"/>
    </xf>
    <xf numFmtId="3" fontId="16" fillId="0" borderId="1" xfId="1" applyNumberFormat="1" applyFont="1" applyBorder="1" applyAlignment="1" applyProtection="1">
      <alignment horizontal="center" vertical="center"/>
    </xf>
    <xf numFmtId="3" fontId="26" fillId="21" borderId="82" xfId="0" applyNumberFormat="1" applyFont="1" applyFill="1" applyBorder="1" applyAlignment="1">
      <alignment horizontal="center" vertical="center"/>
    </xf>
    <xf numFmtId="3" fontId="26" fillId="21" borderId="82" xfId="0" applyNumberFormat="1" applyFont="1" applyFill="1" applyBorder="1" applyAlignment="1">
      <alignment horizontal="center"/>
    </xf>
    <xf numFmtId="10" fontId="26" fillId="21" borderId="82" xfId="3" applyNumberFormat="1" applyFont="1" applyFill="1" applyBorder="1" applyAlignment="1">
      <alignment horizontal="center"/>
    </xf>
    <xf numFmtId="10" fontId="3" fillId="18" borderId="83" xfId="0" applyNumberFormat="1" applyFont="1" applyFill="1" applyBorder="1" applyAlignment="1">
      <alignment horizontal="center" vertical="center"/>
    </xf>
    <xf numFmtId="0" fontId="3" fillId="18" borderId="74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36" xfId="0" applyBorder="1" applyAlignment="1">
      <alignment horizontal="center"/>
    </xf>
    <xf numFmtId="3" fontId="14" fillId="19" borderId="74" xfId="0" applyNumberFormat="1" applyFont="1" applyFill="1" applyBorder="1" applyAlignment="1">
      <alignment horizontal="center" vertical="center"/>
    </xf>
    <xf numFmtId="0" fontId="14" fillId="19" borderId="74" xfId="0" applyFont="1" applyFill="1" applyBorder="1" applyAlignment="1">
      <alignment horizontal="center" vertical="center"/>
    </xf>
    <xf numFmtId="0" fontId="14" fillId="16" borderId="2" xfId="0" applyFont="1" applyFill="1" applyBorder="1" applyAlignment="1">
      <alignment horizontal="center" vertical="center"/>
    </xf>
    <xf numFmtId="3" fontId="14" fillId="16" borderId="2" xfId="0" applyNumberFormat="1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3" fontId="14" fillId="12" borderId="2" xfId="0" applyNumberFormat="1" applyFont="1" applyFill="1" applyBorder="1" applyAlignment="1">
      <alignment horizontal="center" vertical="center"/>
    </xf>
    <xf numFmtId="3" fontId="3" fillId="12" borderId="28" xfId="0" applyNumberFormat="1" applyFont="1" applyFill="1" applyBorder="1" applyAlignment="1">
      <alignment horizontal="center" vertical="center" wrapText="1"/>
    </xf>
    <xf numFmtId="0" fontId="0" fillId="17" borderId="0" xfId="0" applyFill="1"/>
    <xf numFmtId="1" fontId="3" fillId="2" borderId="28" xfId="0" applyNumberFormat="1" applyFont="1" applyFill="1" applyBorder="1" applyAlignment="1">
      <alignment horizontal="center" vertical="center" wrapText="1"/>
    </xf>
    <xf numFmtId="0" fontId="3" fillId="12" borderId="42" xfId="0" applyFont="1" applyFill="1" applyBorder="1" applyAlignment="1">
      <alignment horizontal="center"/>
    </xf>
    <xf numFmtId="3" fontId="0" fillId="0" borderId="88" xfId="1" applyNumberFormat="1" applyFont="1" applyBorder="1" applyAlignment="1" applyProtection="1">
      <alignment horizontal="center" vertical="center"/>
    </xf>
    <xf numFmtId="3" fontId="3" fillId="12" borderId="89" xfId="1" applyNumberFormat="1" applyFont="1" applyFill="1" applyBorder="1" applyAlignment="1" applyProtection="1">
      <alignment horizontal="center" vertical="center"/>
    </xf>
    <xf numFmtId="0" fontId="3" fillId="12" borderId="90" xfId="0" applyFont="1" applyFill="1" applyBorder="1" applyAlignment="1">
      <alignment horizontal="center" vertical="center" wrapText="1"/>
    </xf>
    <xf numFmtId="3" fontId="0" fillId="0" borderId="91" xfId="1" applyNumberFormat="1" applyFont="1" applyBorder="1" applyAlignment="1" applyProtection="1">
      <alignment horizontal="center" vertical="center"/>
    </xf>
    <xf numFmtId="3" fontId="5" fillId="0" borderId="0" xfId="0" applyNumberFormat="1" applyFont="1" applyAlignment="1">
      <alignment horizontal="left"/>
    </xf>
    <xf numFmtId="3" fontId="5" fillId="0" borderId="0" xfId="0" applyNumberFormat="1" applyFont="1" applyAlignment="1">
      <alignment horizontal="center"/>
    </xf>
    <xf numFmtId="10" fontId="5" fillId="0" borderId="0" xfId="3" applyNumberFormat="1" applyFont="1" applyAlignment="1">
      <alignment horizontal="center"/>
    </xf>
    <xf numFmtId="1" fontId="3" fillId="12" borderId="28" xfId="0" applyNumberFormat="1" applyFont="1" applyFill="1" applyBorder="1" applyAlignment="1">
      <alignment horizontal="center" vertical="center" wrapText="1"/>
    </xf>
    <xf numFmtId="1" fontId="3" fillId="12" borderId="23" xfId="0" applyNumberFormat="1" applyFont="1" applyFill="1" applyBorder="1" applyAlignment="1">
      <alignment horizontal="center" vertical="center" wrapText="1"/>
    </xf>
    <xf numFmtId="9" fontId="16" fillId="0" borderId="0" xfId="3" applyFont="1" applyAlignment="1">
      <alignment horizontal="center" vertical="center"/>
    </xf>
    <xf numFmtId="165" fontId="16" fillId="0" borderId="0" xfId="1" applyFont="1"/>
    <xf numFmtId="3" fontId="5" fillId="0" borderId="0" xfId="0" applyNumberFormat="1" applyFont="1"/>
    <xf numFmtId="3" fontId="14" fillId="16" borderId="2" xfId="0" applyNumberFormat="1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3" fontId="14" fillId="16" borderId="3" xfId="0" applyNumberFormat="1" applyFont="1" applyFill="1" applyBorder="1" applyAlignment="1">
      <alignment horizontal="center" vertical="center"/>
    </xf>
    <xf numFmtId="3" fontId="14" fillId="16" borderId="9" xfId="0" applyNumberFormat="1" applyFont="1" applyFill="1" applyBorder="1" applyAlignment="1">
      <alignment horizontal="center" vertical="center"/>
    </xf>
    <xf numFmtId="0" fontId="14" fillId="23" borderId="74" xfId="0" applyFont="1" applyFill="1" applyBorder="1" applyAlignment="1">
      <alignment horizontal="center" vertical="center"/>
    </xf>
    <xf numFmtId="10" fontId="14" fillId="23" borderId="74" xfId="3" applyNumberFormat="1" applyFont="1" applyFill="1" applyBorder="1" applyAlignment="1">
      <alignment horizontal="center" vertical="center"/>
    </xf>
    <xf numFmtId="3" fontId="27" fillId="22" borderId="76" xfId="1" applyNumberFormat="1" applyFont="1" applyFill="1" applyBorder="1" applyAlignment="1" applyProtection="1">
      <alignment horizontal="center" vertical="center"/>
    </xf>
    <xf numFmtId="3" fontId="16" fillId="0" borderId="9" xfId="0" applyNumberFormat="1" applyFont="1" applyBorder="1" applyAlignment="1">
      <alignment horizontal="center" vertical="center"/>
    </xf>
    <xf numFmtId="10" fontId="16" fillId="0" borderId="9" xfId="3" applyNumberFormat="1" applyFont="1" applyBorder="1" applyAlignment="1" applyProtection="1">
      <alignment horizontal="center" vertical="center"/>
    </xf>
    <xf numFmtId="10" fontId="16" fillId="0" borderId="2" xfId="3" applyNumberFormat="1" applyFont="1" applyBorder="1" applyAlignment="1" applyProtection="1">
      <alignment horizontal="center" vertical="center"/>
    </xf>
    <xf numFmtId="166" fontId="27" fillId="22" borderId="76" xfId="1" applyNumberFormat="1" applyFont="1" applyFill="1" applyBorder="1" applyAlignment="1" applyProtection="1">
      <alignment horizontal="center" vertical="center"/>
    </xf>
    <xf numFmtId="10" fontId="27" fillId="22" borderId="76" xfId="3" applyNumberFormat="1" applyFont="1" applyFill="1" applyBorder="1" applyAlignment="1" applyProtection="1">
      <alignment horizontal="center" vertical="center"/>
    </xf>
    <xf numFmtId="0" fontId="16" fillId="17" borderId="0" xfId="0" applyFont="1" applyFill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166" fontId="16" fillId="0" borderId="0" xfId="1" applyNumberFormat="1" applyFont="1"/>
    <xf numFmtId="0" fontId="27" fillId="16" borderId="2" xfId="0" applyFont="1" applyFill="1" applyBorder="1" applyAlignment="1">
      <alignment horizontal="center" vertical="center"/>
    </xf>
    <xf numFmtId="3" fontId="27" fillId="16" borderId="2" xfId="0" applyNumberFormat="1" applyFont="1" applyFill="1" applyBorder="1" applyAlignment="1">
      <alignment horizontal="center" vertical="center"/>
    </xf>
    <xf numFmtId="0" fontId="27" fillId="16" borderId="3" xfId="0" applyFont="1" applyFill="1" applyBorder="1" applyAlignment="1">
      <alignment horizontal="center" vertical="center"/>
    </xf>
    <xf numFmtId="164" fontId="27" fillId="16" borderId="2" xfId="0" applyNumberFormat="1" applyFont="1" applyFill="1" applyBorder="1" applyAlignment="1">
      <alignment horizontal="center" vertical="center" wrapText="1"/>
    </xf>
    <xf numFmtId="10" fontId="27" fillId="16" borderId="6" xfId="3" applyNumberFormat="1" applyFont="1" applyFill="1" applyBorder="1" applyAlignment="1" applyProtection="1">
      <alignment horizontal="center" vertical="center"/>
    </xf>
    <xf numFmtId="0" fontId="28" fillId="0" borderId="2" xfId="0" applyFont="1" applyBorder="1" applyAlignment="1">
      <alignment horizontal="center"/>
    </xf>
    <xf numFmtId="3" fontId="28" fillId="0" borderId="2" xfId="1" applyNumberFormat="1" applyFont="1" applyBorder="1" applyAlignment="1">
      <alignment horizontal="center"/>
    </xf>
    <xf numFmtId="0" fontId="28" fillId="0" borderId="2" xfId="1" applyNumberFormat="1" applyFont="1" applyBorder="1" applyAlignment="1">
      <alignment horizontal="center"/>
    </xf>
    <xf numFmtId="0" fontId="29" fillId="0" borderId="2" xfId="7" applyFont="1" applyBorder="1" applyAlignment="1">
      <alignment horizontal="center" vertical="center"/>
    </xf>
    <xf numFmtId="3" fontId="28" fillId="0" borderId="2" xfId="6" applyNumberFormat="1" applyFont="1" applyBorder="1" applyAlignment="1">
      <alignment horizontal="center" vertical="center"/>
    </xf>
    <xf numFmtId="3" fontId="28" fillId="0" borderId="2" xfId="0" applyNumberFormat="1" applyFont="1" applyBorder="1" applyAlignment="1">
      <alignment horizontal="center"/>
    </xf>
    <xf numFmtId="10" fontId="28" fillId="0" borderId="2" xfId="3" applyNumberFormat="1" applyFont="1" applyBorder="1" applyAlignment="1">
      <alignment horizontal="center" vertical="center"/>
    </xf>
    <xf numFmtId="3" fontId="28" fillId="0" borderId="2" xfId="1" applyNumberFormat="1" applyFont="1" applyFill="1" applyBorder="1" applyAlignment="1">
      <alignment horizontal="center"/>
    </xf>
    <xf numFmtId="0" fontId="27" fillId="16" borderId="2" xfId="0" applyFont="1" applyFill="1" applyBorder="1" applyAlignment="1">
      <alignment horizontal="center"/>
    </xf>
    <xf numFmtId="3" fontId="27" fillId="16" borderId="2" xfId="1" applyNumberFormat="1" applyFont="1" applyFill="1" applyBorder="1" applyAlignment="1">
      <alignment horizontal="center"/>
    </xf>
    <xf numFmtId="0" fontId="27" fillId="16" borderId="2" xfId="1" applyNumberFormat="1" applyFont="1" applyFill="1" applyBorder="1" applyAlignment="1">
      <alignment horizontal="center"/>
    </xf>
    <xf numFmtId="0" fontId="27" fillId="16" borderId="2" xfId="1" applyNumberFormat="1" applyFont="1" applyFill="1" applyBorder="1" applyAlignment="1">
      <alignment horizontal="center" vertical="center"/>
    </xf>
    <xf numFmtId="10" fontId="27" fillId="16" borderId="2" xfId="3" applyNumberFormat="1" applyFont="1" applyFill="1" applyBorder="1" applyAlignment="1">
      <alignment horizontal="center"/>
    </xf>
    <xf numFmtId="0" fontId="26" fillId="9" borderId="2" xfId="0" applyFont="1" applyFill="1" applyBorder="1" applyAlignment="1">
      <alignment horizontal="center"/>
    </xf>
    <xf numFmtId="3" fontId="26" fillId="0" borderId="2" xfId="0" applyNumberFormat="1" applyFont="1" applyBorder="1" applyAlignment="1">
      <alignment horizontal="center"/>
    </xf>
    <xf numFmtId="10" fontId="26" fillId="0" borderId="2" xfId="3" applyNumberFormat="1" applyFont="1" applyFill="1" applyBorder="1" applyAlignment="1">
      <alignment horizontal="center" vertical="center"/>
    </xf>
    <xf numFmtId="9" fontId="28" fillId="0" borderId="0" xfId="0" applyNumberFormat="1" applyFont="1"/>
    <xf numFmtId="4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164" fontId="28" fillId="0" borderId="0" xfId="0" applyNumberFormat="1" applyFont="1" applyAlignment="1">
      <alignment horizontal="center"/>
    </xf>
    <xf numFmtId="3" fontId="28" fillId="0" borderId="0" xfId="0" applyNumberFormat="1" applyFont="1"/>
    <xf numFmtId="0" fontId="28" fillId="0" borderId="0" xfId="0" applyFont="1"/>
    <xf numFmtId="0" fontId="28" fillId="20" borderId="0" xfId="0" applyFont="1" applyFill="1"/>
    <xf numFmtId="3" fontId="28" fillId="20" borderId="0" xfId="0" applyNumberFormat="1" applyFont="1" applyFill="1" applyAlignment="1">
      <alignment horizontal="center"/>
    </xf>
    <xf numFmtId="0" fontId="28" fillId="20" borderId="0" xfId="0" applyFont="1" applyFill="1" applyAlignment="1">
      <alignment horizontal="center"/>
    </xf>
    <xf numFmtId="0" fontId="28" fillId="20" borderId="0" xfId="0" applyFont="1" applyFill="1" applyAlignment="1">
      <alignment horizontal="center" vertical="center"/>
    </xf>
    <xf numFmtId="164" fontId="28" fillId="20" borderId="0" xfId="0" applyNumberFormat="1" applyFont="1" applyFill="1" applyAlignment="1">
      <alignment horizontal="center"/>
    </xf>
    <xf numFmtId="3" fontId="28" fillId="20" borderId="0" xfId="0" applyNumberFormat="1" applyFont="1" applyFill="1"/>
    <xf numFmtId="3" fontId="28" fillId="0" borderId="0" xfId="0" applyNumberFormat="1" applyFont="1" applyAlignment="1">
      <alignment horizontal="center"/>
    </xf>
    <xf numFmtId="168" fontId="27" fillId="16" borderId="2" xfId="0" applyNumberFormat="1" applyFont="1" applyFill="1" applyBorder="1" applyAlignment="1">
      <alignment horizontal="center" vertical="center" wrapText="1"/>
    </xf>
    <xf numFmtId="10" fontId="27" fillId="16" borderId="2" xfId="3" applyNumberFormat="1" applyFont="1" applyFill="1" applyBorder="1" applyAlignment="1" applyProtection="1">
      <alignment horizontal="center" vertical="center"/>
    </xf>
    <xf numFmtId="0" fontId="28" fillId="0" borderId="2" xfId="1" applyNumberFormat="1" applyFont="1" applyBorder="1" applyAlignment="1">
      <alignment horizontal="center" vertical="center"/>
    </xf>
    <xf numFmtId="37" fontId="28" fillId="0" borderId="2" xfId="1" applyNumberFormat="1" applyFont="1" applyBorder="1" applyAlignment="1">
      <alignment horizontal="center"/>
    </xf>
    <xf numFmtId="10" fontId="28" fillId="0" borderId="2" xfId="3" applyNumberFormat="1" applyFont="1" applyBorder="1" applyAlignment="1">
      <alignment horizontal="center"/>
    </xf>
    <xf numFmtId="37" fontId="27" fillId="16" borderId="2" xfId="1" applyNumberFormat="1" applyFont="1" applyFill="1" applyBorder="1" applyAlignment="1">
      <alignment horizontal="center"/>
    </xf>
    <xf numFmtId="0" fontId="26" fillId="0" borderId="2" xfId="0" applyFont="1" applyBorder="1" applyAlignment="1">
      <alignment horizontal="center"/>
    </xf>
    <xf numFmtId="37" fontId="26" fillId="0" borderId="2" xfId="0" applyNumberFormat="1" applyFont="1" applyBorder="1" applyAlignment="1">
      <alignment horizontal="center"/>
    </xf>
    <xf numFmtId="10" fontId="26" fillId="0" borderId="2" xfId="0" applyNumberFormat="1" applyFont="1" applyBorder="1" applyAlignment="1">
      <alignment horizontal="center"/>
    </xf>
    <xf numFmtId="3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10" fontId="28" fillId="0" borderId="0" xfId="0" applyNumberFormat="1" applyFont="1" applyAlignment="1">
      <alignment horizontal="center"/>
    </xf>
    <xf numFmtId="0" fontId="28" fillId="0" borderId="2" xfId="0" applyFont="1" applyBorder="1"/>
    <xf numFmtId="10" fontId="28" fillId="0" borderId="2" xfId="3" applyNumberFormat="1" applyFont="1" applyFill="1" applyBorder="1" applyAlignment="1">
      <alignment horizontal="center"/>
    </xf>
    <xf numFmtId="1" fontId="28" fillId="0" borderId="0" xfId="0" applyNumberFormat="1" applyFont="1" applyAlignment="1">
      <alignment horizontal="center"/>
    </xf>
    <xf numFmtId="0" fontId="27" fillId="12" borderId="2" xfId="0" applyFont="1" applyFill="1" applyBorder="1" applyAlignment="1">
      <alignment horizontal="center" vertical="center"/>
    </xf>
    <xf numFmtId="3" fontId="27" fillId="12" borderId="2" xfId="0" applyNumberFormat="1" applyFont="1" applyFill="1" applyBorder="1" applyAlignment="1">
      <alignment horizontal="center" vertical="center"/>
    </xf>
    <xf numFmtId="0" fontId="27" fillId="12" borderId="3" xfId="0" applyFont="1" applyFill="1" applyBorder="1" applyAlignment="1">
      <alignment horizontal="center" vertical="center"/>
    </xf>
    <xf numFmtId="164" fontId="27" fillId="12" borderId="2" xfId="0" applyNumberFormat="1" applyFont="1" applyFill="1" applyBorder="1" applyAlignment="1">
      <alignment horizontal="center" vertical="center" wrapText="1"/>
    </xf>
    <xf numFmtId="3" fontId="27" fillId="12" borderId="3" xfId="0" applyNumberFormat="1" applyFont="1" applyFill="1" applyBorder="1" applyAlignment="1">
      <alignment horizontal="center" vertical="center"/>
    </xf>
    <xf numFmtId="10" fontId="27" fillId="12" borderId="6" xfId="3" applyNumberFormat="1" applyFont="1" applyFill="1" applyBorder="1" applyAlignment="1" applyProtection="1">
      <alignment horizontal="center" vertical="center"/>
    </xf>
    <xf numFmtId="0" fontId="27" fillId="12" borderId="2" xfId="0" applyFont="1" applyFill="1" applyBorder="1" applyAlignment="1">
      <alignment horizontal="center"/>
    </xf>
    <xf numFmtId="3" fontId="27" fillId="12" borderId="2" xfId="1" applyNumberFormat="1" applyFont="1" applyFill="1" applyBorder="1" applyAlignment="1">
      <alignment horizontal="center"/>
    </xf>
    <xf numFmtId="0" fontId="27" fillId="12" borderId="2" xfId="1" applyNumberFormat="1" applyFont="1" applyFill="1" applyBorder="1" applyAlignment="1">
      <alignment horizontal="center"/>
    </xf>
    <xf numFmtId="0" fontId="27" fillId="12" borderId="2" xfId="1" applyNumberFormat="1" applyFont="1" applyFill="1" applyBorder="1" applyAlignment="1">
      <alignment horizontal="center" vertical="center"/>
    </xf>
    <xf numFmtId="10" fontId="27" fillId="12" borderId="2" xfId="3" applyNumberFormat="1" applyFont="1" applyFill="1" applyBorder="1" applyAlignment="1">
      <alignment horizontal="center"/>
    </xf>
    <xf numFmtId="1" fontId="28" fillId="20" borderId="0" xfId="0" applyNumberFormat="1" applyFont="1" applyFill="1" applyAlignment="1">
      <alignment horizontal="center"/>
    </xf>
    <xf numFmtId="168" fontId="27" fillId="12" borderId="2" xfId="0" applyNumberFormat="1" applyFont="1" applyFill="1" applyBorder="1" applyAlignment="1">
      <alignment horizontal="center" vertical="center" wrapText="1"/>
    </xf>
    <xf numFmtId="10" fontId="27" fillId="12" borderId="2" xfId="3" applyNumberFormat="1" applyFont="1" applyFill="1" applyBorder="1" applyAlignment="1" applyProtection="1">
      <alignment horizontal="center" vertical="center"/>
    </xf>
    <xf numFmtId="37" fontId="27" fillId="12" borderId="2" xfId="1" applyNumberFormat="1" applyFont="1" applyFill="1" applyBorder="1" applyAlignment="1">
      <alignment horizontal="center"/>
    </xf>
    <xf numFmtId="3" fontId="26" fillId="0" borderId="0" xfId="0" applyNumberFormat="1" applyFont="1"/>
    <xf numFmtId="10" fontId="26" fillId="0" borderId="0" xfId="3" applyNumberFormat="1" applyFont="1" applyFill="1" applyBorder="1" applyAlignment="1">
      <alignment horizontal="center" vertical="center"/>
    </xf>
    <xf numFmtId="17" fontId="14" fillId="19" borderId="74" xfId="0" applyNumberFormat="1" applyFont="1" applyFill="1" applyBorder="1" applyAlignment="1">
      <alignment horizontal="center" vertical="center"/>
    </xf>
    <xf numFmtId="167" fontId="0" fillId="0" borderId="0" xfId="0" applyNumberFormat="1"/>
    <xf numFmtId="0" fontId="3" fillId="2" borderId="23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9" fontId="16" fillId="0" borderId="0" xfId="0" applyNumberFormat="1" applyFont="1" applyAlignment="1">
      <alignment horizontal="center" vertical="center"/>
    </xf>
    <xf numFmtId="169" fontId="16" fillId="0" borderId="0" xfId="1" applyNumberFormat="1" applyFont="1"/>
    <xf numFmtId="169" fontId="16" fillId="0" borderId="0" xfId="1" applyNumberFormat="1" applyFont="1" applyAlignment="1">
      <alignment horizontal="center" vertical="center"/>
    </xf>
    <xf numFmtId="169" fontId="0" fillId="0" borderId="0" xfId="1" applyNumberFormat="1" applyFont="1"/>
    <xf numFmtId="169" fontId="16" fillId="0" borderId="0" xfId="0" applyNumberFormat="1" applyFont="1" applyAlignment="1">
      <alignment horizontal="center" vertical="center"/>
    </xf>
    <xf numFmtId="3" fontId="27" fillId="12" borderId="4" xfId="0" applyNumberFormat="1" applyFont="1" applyFill="1" applyBorder="1" applyAlignment="1">
      <alignment horizontal="center" vertical="center"/>
    </xf>
    <xf numFmtId="3" fontId="27" fillId="12" borderId="5" xfId="0" applyNumberFormat="1" applyFont="1" applyFill="1" applyBorder="1" applyAlignment="1">
      <alignment horizontal="center" vertical="center"/>
    </xf>
    <xf numFmtId="3" fontId="27" fillId="12" borderId="6" xfId="0" applyNumberFormat="1" applyFont="1" applyFill="1" applyBorder="1" applyAlignment="1">
      <alignment horizontal="center" vertical="center"/>
    </xf>
    <xf numFmtId="3" fontId="14" fillId="19" borderId="92" xfId="0" applyNumberFormat="1" applyFont="1" applyFill="1" applyBorder="1" applyAlignment="1">
      <alignment horizontal="center" vertical="center"/>
    </xf>
    <xf numFmtId="3" fontId="14" fillId="19" borderId="81" xfId="0" applyNumberFormat="1" applyFont="1" applyFill="1" applyBorder="1" applyAlignment="1">
      <alignment horizontal="center" vertical="center"/>
    </xf>
    <xf numFmtId="3" fontId="14" fillId="19" borderId="83" xfId="0" applyNumberFormat="1" applyFont="1" applyFill="1" applyBorder="1" applyAlignment="1">
      <alignment horizontal="center" vertical="center"/>
    </xf>
    <xf numFmtId="0" fontId="14" fillId="19" borderId="75" xfId="0" applyFont="1" applyFill="1" applyBorder="1" applyAlignment="1">
      <alignment horizontal="center" vertical="center"/>
    </xf>
    <xf numFmtId="0" fontId="14" fillId="19" borderId="76" xfId="0" applyFont="1" applyFill="1" applyBorder="1" applyAlignment="1">
      <alignment horizontal="center" vertical="center"/>
    </xf>
    <xf numFmtId="3" fontId="14" fillId="19" borderId="75" xfId="0" applyNumberFormat="1" applyFont="1" applyFill="1" applyBorder="1" applyAlignment="1">
      <alignment horizontal="center" vertical="center"/>
    </xf>
    <xf numFmtId="3" fontId="14" fillId="19" borderId="76" xfId="0" applyNumberFormat="1" applyFont="1" applyFill="1" applyBorder="1" applyAlignment="1">
      <alignment horizontal="center" vertical="center"/>
    </xf>
    <xf numFmtId="3" fontId="14" fillId="19" borderId="75" xfId="0" applyNumberFormat="1" applyFont="1" applyFill="1" applyBorder="1" applyAlignment="1">
      <alignment horizontal="center" vertical="center" wrapText="1"/>
    </xf>
    <xf numFmtId="3" fontId="14" fillId="19" borderId="76" xfId="0" applyNumberFormat="1" applyFont="1" applyFill="1" applyBorder="1" applyAlignment="1">
      <alignment horizontal="center" vertical="center" wrapText="1"/>
    </xf>
    <xf numFmtId="0" fontId="15" fillId="18" borderId="0" xfId="0" applyFont="1" applyFill="1" applyAlignment="1">
      <alignment horizontal="center" vertical="center"/>
    </xf>
    <xf numFmtId="0" fontId="15" fillId="18" borderId="81" xfId="0" applyFont="1" applyFill="1" applyBorder="1" applyAlignment="1">
      <alignment horizontal="center" vertical="center"/>
    </xf>
    <xf numFmtId="0" fontId="3" fillId="18" borderId="75" xfId="0" applyFont="1" applyFill="1" applyBorder="1" applyAlignment="1">
      <alignment horizontal="center" vertical="center"/>
    </xf>
    <xf numFmtId="0" fontId="3" fillId="18" borderId="76" xfId="0" applyFont="1" applyFill="1" applyBorder="1" applyAlignment="1">
      <alignment horizontal="center" vertical="center"/>
    </xf>
    <xf numFmtId="0" fontId="3" fillId="18" borderId="84" xfId="0" applyFont="1" applyFill="1" applyBorder="1" applyAlignment="1">
      <alignment horizontal="center" vertical="center"/>
    </xf>
    <xf numFmtId="0" fontId="3" fillId="18" borderId="83" xfId="0" applyFont="1" applyFill="1" applyBorder="1" applyAlignment="1">
      <alignment horizontal="center" vertical="center"/>
    </xf>
    <xf numFmtId="3" fontId="3" fillId="18" borderId="75" xfId="0" applyNumberFormat="1" applyFont="1" applyFill="1" applyBorder="1" applyAlignment="1">
      <alignment horizontal="center" vertical="center" wrapText="1"/>
    </xf>
    <xf numFmtId="0" fontId="3" fillId="18" borderId="76" xfId="0" applyFont="1" applyFill="1" applyBorder="1" applyAlignment="1">
      <alignment horizontal="center" vertical="center" wrapText="1"/>
    </xf>
    <xf numFmtId="17" fontId="23" fillId="4" borderId="0" xfId="0" applyNumberFormat="1" applyFont="1" applyFill="1" applyAlignment="1">
      <alignment horizontal="center" vertical="center"/>
    </xf>
    <xf numFmtId="3" fontId="3" fillId="18" borderId="84" xfId="0" applyNumberFormat="1" applyFont="1" applyFill="1" applyBorder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3" fontId="14" fillId="19" borderId="77" xfId="0" applyNumberFormat="1" applyFont="1" applyFill="1" applyBorder="1" applyAlignment="1">
      <alignment horizontal="center" vertical="center"/>
    </xf>
    <xf numFmtId="3" fontId="14" fillId="19" borderId="80" xfId="0" applyNumberFormat="1" applyFont="1" applyFill="1" applyBorder="1" applyAlignment="1">
      <alignment horizontal="center" vertical="center"/>
    </xf>
    <xf numFmtId="3" fontId="14" fillId="19" borderId="79" xfId="0" applyNumberFormat="1" applyFont="1" applyFill="1" applyBorder="1" applyAlignment="1">
      <alignment horizontal="center" vertical="center"/>
    </xf>
    <xf numFmtId="17" fontId="14" fillId="19" borderId="74" xfId="0" applyNumberFormat="1" applyFont="1" applyFill="1" applyBorder="1" applyAlignment="1">
      <alignment horizontal="center" vertical="center"/>
    </xf>
    <xf numFmtId="17" fontId="14" fillId="19" borderId="77" xfId="0" applyNumberFormat="1" applyFont="1" applyFill="1" applyBorder="1" applyAlignment="1">
      <alignment horizontal="center" vertical="center"/>
    </xf>
    <xf numFmtId="17" fontId="14" fillId="19" borderId="79" xfId="0" applyNumberFormat="1" applyFont="1" applyFill="1" applyBorder="1" applyAlignment="1">
      <alignment horizontal="center" vertical="center"/>
    </xf>
    <xf numFmtId="0" fontId="14" fillId="19" borderId="74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7" fillId="12" borderId="0" xfId="0" applyFont="1" applyFill="1" applyAlignment="1">
      <alignment horizontal="center" vertical="center"/>
    </xf>
    <xf numFmtId="0" fontId="5" fillId="5" borderId="12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 wrapText="1"/>
    </xf>
    <xf numFmtId="3" fontId="8" fillId="12" borderId="34" xfId="0" applyNumberFormat="1" applyFont="1" applyFill="1" applyBorder="1" applyAlignment="1">
      <alignment horizontal="center" vertical="center"/>
    </xf>
    <xf numFmtId="0" fontId="8" fillId="12" borderId="36" xfId="0" applyFont="1" applyFill="1" applyBorder="1" applyAlignment="1">
      <alignment horizontal="center" vertical="center"/>
    </xf>
    <xf numFmtId="0" fontId="8" fillId="12" borderId="35" xfId="0" applyFont="1" applyFill="1" applyBorder="1" applyAlignment="1">
      <alignment horizontal="center" vertical="center"/>
    </xf>
    <xf numFmtId="0" fontId="8" fillId="12" borderId="37" xfId="0" applyFont="1" applyFill="1" applyBorder="1" applyAlignment="1">
      <alignment horizontal="center" vertical="center"/>
    </xf>
    <xf numFmtId="0" fontId="8" fillId="12" borderId="39" xfId="0" applyFont="1" applyFill="1" applyBorder="1" applyAlignment="1">
      <alignment horizontal="center" vertical="center"/>
    </xf>
    <xf numFmtId="0" fontId="8" fillId="12" borderId="38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7" fillId="2" borderId="34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39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3" fontId="7" fillId="12" borderId="34" xfId="0" applyNumberFormat="1" applyFont="1" applyFill="1" applyBorder="1" applyAlignment="1">
      <alignment horizontal="center" vertical="center"/>
    </xf>
    <xf numFmtId="0" fontId="7" fillId="12" borderId="36" xfId="0" applyFont="1" applyFill="1" applyBorder="1" applyAlignment="1">
      <alignment horizontal="center" vertical="center"/>
    </xf>
    <xf numFmtId="0" fontId="7" fillId="12" borderId="35" xfId="0" applyFont="1" applyFill="1" applyBorder="1" applyAlignment="1">
      <alignment horizontal="center" vertical="center"/>
    </xf>
    <xf numFmtId="0" fontId="7" fillId="12" borderId="37" xfId="0" applyFont="1" applyFill="1" applyBorder="1" applyAlignment="1">
      <alignment horizontal="center" vertical="center"/>
    </xf>
    <xf numFmtId="0" fontId="7" fillId="12" borderId="39" xfId="0" applyFont="1" applyFill="1" applyBorder="1" applyAlignment="1">
      <alignment horizontal="center" vertical="center"/>
    </xf>
    <xf numFmtId="0" fontId="7" fillId="12" borderId="38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 wrapText="1"/>
    </xf>
    <xf numFmtId="0" fontId="5" fillId="0" borderId="39" xfId="0" applyFont="1" applyBorder="1" applyAlignment="1">
      <alignment horizontal="center"/>
    </xf>
    <xf numFmtId="0" fontId="4" fillId="2" borderId="34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3" fontId="7" fillId="12" borderId="36" xfId="0" applyNumberFormat="1" applyFont="1" applyFill="1" applyBorder="1" applyAlignment="1">
      <alignment horizontal="center" vertical="center"/>
    </xf>
    <xf numFmtId="0" fontId="0" fillId="5" borderId="37" xfId="0" applyFill="1" applyBorder="1" applyAlignment="1">
      <alignment horizontal="center"/>
    </xf>
    <xf numFmtId="0" fontId="3" fillId="2" borderId="29" xfId="0" applyFont="1" applyFill="1" applyBorder="1" applyAlignment="1">
      <alignment horizontal="center" vertical="center" wrapText="1"/>
    </xf>
    <xf numFmtId="0" fontId="6" fillId="2" borderId="42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3" fillId="12" borderId="22" xfId="0" applyFont="1" applyFill="1" applyBorder="1" applyAlignment="1">
      <alignment horizontal="center" vertical="center" wrapText="1"/>
    </xf>
    <xf numFmtId="0" fontId="3" fillId="12" borderId="23" xfId="0" applyFont="1" applyFill="1" applyBorder="1" applyAlignment="1">
      <alignment horizontal="center" vertical="center" wrapText="1"/>
    </xf>
    <xf numFmtId="0" fontId="3" fillId="12" borderId="64" xfId="0" applyFont="1" applyFill="1" applyBorder="1" applyAlignment="1">
      <alignment horizontal="center" vertical="center" wrapText="1"/>
    </xf>
    <xf numFmtId="0" fontId="3" fillId="12" borderId="65" xfId="0" applyFont="1" applyFill="1" applyBorder="1" applyAlignment="1">
      <alignment horizontal="center" vertical="center" wrapText="1"/>
    </xf>
    <xf numFmtId="0" fontId="3" fillId="12" borderId="66" xfId="0" applyFont="1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/>
    </xf>
    <xf numFmtId="0" fontId="5" fillId="5" borderId="48" xfId="0" applyFont="1" applyFill="1" applyBorder="1" applyAlignment="1">
      <alignment horizontal="center" vertical="center" wrapText="1"/>
    </xf>
    <xf numFmtId="0" fontId="3" fillId="12" borderId="42" xfId="0" applyFont="1" applyFill="1" applyBorder="1" applyAlignment="1">
      <alignment horizontal="center" vertical="center" wrapText="1"/>
    </xf>
    <xf numFmtId="0" fontId="3" fillId="2" borderId="85" xfId="0" applyFont="1" applyFill="1" applyBorder="1" applyAlignment="1">
      <alignment horizontal="center" vertical="center" wrapText="1"/>
    </xf>
    <xf numFmtId="0" fontId="3" fillId="2" borderId="86" xfId="0" applyFont="1" applyFill="1" applyBorder="1" applyAlignment="1">
      <alignment horizontal="center" vertical="center" wrapText="1"/>
    </xf>
    <xf numFmtId="0" fontId="3" fillId="2" borderId="87" xfId="0" applyFont="1" applyFill="1" applyBorder="1" applyAlignment="1">
      <alignment horizontal="center" vertical="center" wrapText="1"/>
    </xf>
    <xf numFmtId="0" fontId="0" fillId="5" borderId="45" xfId="0" applyFill="1" applyBorder="1" applyAlignment="1">
      <alignment horizontal="center"/>
    </xf>
    <xf numFmtId="17" fontId="23" fillId="24" borderId="0" xfId="0" applyNumberFormat="1" applyFont="1" applyFill="1" applyAlignment="1">
      <alignment horizontal="center" vertical="center"/>
    </xf>
    <xf numFmtId="0" fontId="23" fillId="24" borderId="0" xfId="0" applyFont="1" applyFill="1" applyAlignment="1">
      <alignment horizontal="center" vertical="center"/>
    </xf>
    <xf numFmtId="3" fontId="14" fillId="23" borderId="77" xfId="0" applyNumberFormat="1" applyFont="1" applyFill="1" applyBorder="1" applyAlignment="1">
      <alignment horizontal="center" vertical="center"/>
    </xf>
    <xf numFmtId="3" fontId="14" fillId="23" borderId="80" xfId="0" applyNumberFormat="1" applyFont="1" applyFill="1" applyBorder="1" applyAlignment="1">
      <alignment horizontal="center" vertical="center"/>
    </xf>
    <xf numFmtId="17" fontId="14" fillId="23" borderId="74" xfId="0" applyNumberFormat="1" applyFont="1" applyFill="1" applyBorder="1" applyAlignment="1">
      <alignment horizontal="center" vertical="center"/>
    </xf>
    <xf numFmtId="0" fontId="14" fillId="23" borderId="75" xfId="0" applyFont="1" applyFill="1" applyBorder="1" applyAlignment="1">
      <alignment horizontal="center" vertical="center"/>
    </xf>
    <xf numFmtId="0" fontId="14" fillId="23" borderId="76" xfId="0" applyFont="1" applyFill="1" applyBorder="1" applyAlignment="1">
      <alignment horizontal="center" vertical="center"/>
    </xf>
    <xf numFmtId="3" fontId="14" fillId="23" borderId="75" xfId="0" applyNumberFormat="1" applyFont="1" applyFill="1" applyBorder="1" applyAlignment="1">
      <alignment horizontal="center" vertical="center"/>
    </xf>
    <xf numFmtId="3" fontId="14" fillId="23" borderId="76" xfId="0" applyNumberFormat="1" applyFont="1" applyFill="1" applyBorder="1" applyAlignment="1">
      <alignment horizontal="center" vertical="center"/>
    </xf>
    <xf numFmtId="3" fontId="14" fillId="23" borderId="75" xfId="0" applyNumberFormat="1" applyFont="1" applyFill="1" applyBorder="1" applyAlignment="1">
      <alignment horizontal="center" vertical="center" wrapText="1"/>
    </xf>
    <xf numFmtId="3" fontId="14" fillId="23" borderId="76" xfId="0" applyNumberFormat="1" applyFont="1" applyFill="1" applyBorder="1" applyAlignment="1">
      <alignment horizontal="center" vertical="center" wrapText="1"/>
    </xf>
    <xf numFmtId="0" fontId="14" fillId="12" borderId="3" xfId="0" applyFont="1" applyFill="1" applyBorder="1" applyAlignment="1">
      <alignment horizontal="center" vertical="center" wrapText="1"/>
    </xf>
    <xf numFmtId="0" fontId="14" fillId="12" borderId="9" xfId="0" applyFont="1" applyFill="1" applyBorder="1" applyAlignment="1">
      <alignment horizontal="center" vertical="center" wrapText="1"/>
    </xf>
    <xf numFmtId="3" fontId="14" fillId="12" borderId="3" xfId="0" applyNumberFormat="1" applyFont="1" applyFill="1" applyBorder="1" applyAlignment="1">
      <alignment horizontal="center" vertical="center" wrapText="1"/>
    </xf>
    <xf numFmtId="3" fontId="14" fillId="12" borderId="9" xfId="0" applyNumberFormat="1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 wrapText="1"/>
    </xf>
    <xf numFmtId="3" fontId="14" fillId="12" borderId="2" xfId="0" applyNumberFormat="1" applyFont="1" applyFill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14" fillId="16" borderId="2" xfId="0" applyFont="1" applyFill="1" applyBorder="1" applyAlignment="1">
      <alignment horizontal="center" vertical="center"/>
    </xf>
    <xf numFmtId="3" fontId="14" fillId="16" borderId="2" xfId="0" applyNumberFormat="1" applyFont="1" applyFill="1" applyBorder="1" applyAlignment="1">
      <alignment horizontal="center" vertical="center"/>
    </xf>
    <xf numFmtId="37" fontId="14" fillId="16" borderId="2" xfId="0" applyNumberFormat="1" applyFont="1" applyFill="1" applyBorder="1" applyAlignment="1">
      <alignment horizontal="center" vertical="center" wrapText="1"/>
    </xf>
    <xf numFmtId="0" fontId="14" fillId="16" borderId="2" xfId="0" applyFont="1" applyFill="1" applyBorder="1" applyAlignment="1">
      <alignment horizontal="center" vertical="center" wrapText="1"/>
    </xf>
    <xf numFmtId="3" fontId="14" fillId="16" borderId="2" xfId="0" applyNumberFormat="1" applyFont="1" applyFill="1" applyBorder="1" applyAlignment="1">
      <alignment horizontal="center" vertical="center" wrapText="1"/>
    </xf>
    <xf numFmtId="0" fontId="14" fillId="12" borderId="3" xfId="0" applyFont="1" applyFill="1" applyBorder="1" applyAlignment="1">
      <alignment horizontal="center" vertical="center"/>
    </xf>
    <xf numFmtId="0" fontId="14" fillId="12" borderId="9" xfId="0" applyFont="1" applyFill="1" applyBorder="1" applyAlignment="1">
      <alignment horizontal="center" vertical="center"/>
    </xf>
    <xf numFmtId="1" fontId="14" fillId="12" borderId="3" xfId="0" applyNumberFormat="1" applyFont="1" applyFill="1" applyBorder="1" applyAlignment="1">
      <alignment horizontal="center" vertical="center"/>
    </xf>
    <xf numFmtId="1" fontId="14" fillId="12" borderId="9" xfId="0" applyNumberFormat="1" applyFont="1" applyFill="1" applyBorder="1" applyAlignment="1">
      <alignment horizontal="center" vertical="center"/>
    </xf>
    <xf numFmtId="3" fontId="14" fillId="12" borderId="3" xfId="0" applyNumberFormat="1" applyFont="1" applyFill="1" applyBorder="1" applyAlignment="1">
      <alignment horizontal="center" vertical="center"/>
    </xf>
    <xf numFmtId="3" fontId="14" fillId="12" borderId="9" xfId="0" applyNumberFormat="1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1" fontId="14" fillId="12" borderId="2" xfId="0" applyNumberFormat="1" applyFont="1" applyFill="1" applyBorder="1" applyAlignment="1">
      <alignment horizontal="center" vertical="center"/>
    </xf>
    <xf numFmtId="3" fontId="14" fillId="12" borderId="2" xfId="0" applyNumberFormat="1" applyFont="1" applyFill="1" applyBorder="1" applyAlignment="1">
      <alignment horizontal="center" vertical="center"/>
    </xf>
    <xf numFmtId="3" fontId="14" fillId="16" borderId="4" xfId="0" applyNumberFormat="1" applyFont="1" applyFill="1" applyBorder="1" applyAlignment="1">
      <alignment horizontal="center" vertical="center"/>
    </xf>
    <xf numFmtId="3" fontId="14" fillId="16" borderId="5" xfId="0" applyNumberFormat="1" applyFont="1" applyFill="1" applyBorder="1" applyAlignment="1">
      <alignment horizontal="center" vertical="center"/>
    </xf>
    <xf numFmtId="3" fontId="14" fillId="16" borderId="6" xfId="0" applyNumberFormat="1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3" fontId="14" fillId="12" borderId="4" xfId="0" applyNumberFormat="1" applyFont="1" applyFill="1" applyBorder="1" applyAlignment="1">
      <alignment horizontal="center" vertical="center"/>
    </xf>
    <xf numFmtId="3" fontId="14" fillId="12" borderId="5" xfId="0" applyNumberFormat="1" applyFont="1" applyFill="1" applyBorder="1" applyAlignment="1">
      <alignment horizontal="center" vertical="center"/>
    </xf>
    <xf numFmtId="3" fontId="14" fillId="12" borderId="6" xfId="0" applyNumberFormat="1" applyFont="1" applyFill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/>
    </xf>
    <xf numFmtId="0" fontId="14" fillId="16" borderId="9" xfId="0" applyFont="1" applyFill="1" applyBorder="1" applyAlignment="1">
      <alignment horizontal="center" vertical="center"/>
    </xf>
    <xf numFmtId="0" fontId="20" fillId="14" borderId="7" xfId="0" applyFont="1" applyFill="1" applyBorder="1" applyAlignment="1">
      <alignment horizontal="center" vertical="center"/>
    </xf>
    <xf numFmtId="0" fontId="20" fillId="14" borderId="10" xfId="0" applyFont="1" applyFill="1" applyBorder="1" applyAlignment="1">
      <alignment horizontal="center" vertical="center"/>
    </xf>
    <xf numFmtId="0" fontId="20" fillId="14" borderId="11" xfId="0" applyFont="1" applyFill="1" applyBorder="1" applyAlignment="1">
      <alignment horizontal="center" vertical="center"/>
    </xf>
    <xf numFmtId="3" fontId="14" fillId="16" borderId="3" xfId="0" applyNumberFormat="1" applyFont="1" applyFill="1" applyBorder="1" applyAlignment="1">
      <alignment horizontal="center" vertical="center"/>
    </xf>
    <xf numFmtId="3" fontId="14" fillId="16" borderId="9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37" fontId="14" fillId="12" borderId="2" xfId="0" applyNumberFormat="1" applyFont="1" applyFill="1" applyBorder="1" applyAlignment="1">
      <alignment horizontal="center" vertical="center" wrapText="1"/>
    </xf>
    <xf numFmtId="37" fontId="14" fillId="12" borderId="3" xfId="0" applyNumberFormat="1" applyFont="1" applyFill="1" applyBorder="1" applyAlignment="1">
      <alignment horizontal="center" vertical="center" wrapText="1"/>
    </xf>
    <xf numFmtId="37" fontId="14" fillId="12" borderId="9" xfId="0" applyNumberFormat="1" applyFont="1" applyFill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27" fillId="12" borderId="3" xfId="0" applyFont="1" applyFill="1" applyBorder="1" applyAlignment="1">
      <alignment horizontal="center" vertical="center"/>
    </xf>
    <xf numFmtId="0" fontId="27" fillId="12" borderId="9" xfId="0" applyFont="1" applyFill="1" applyBorder="1" applyAlignment="1">
      <alignment horizontal="center" vertical="center"/>
    </xf>
    <xf numFmtId="37" fontId="27" fillId="12" borderId="3" xfId="0" applyNumberFormat="1" applyFont="1" applyFill="1" applyBorder="1" applyAlignment="1">
      <alignment horizontal="center" vertical="center" wrapText="1"/>
    </xf>
    <xf numFmtId="37" fontId="27" fillId="12" borderId="9" xfId="0" applyNumberFormat="1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/>
    </xf>
    <xf numFmtId="3" fontId="27" fillId="12" borderId="3" xfId="0" applyNumberFormat="1" applyFont="1" applyFill="1" applyBorder="1" applyAlignment="1">
      <alignment horizontal="center" vertical="center"/>
    </xf>
    <xf numFmtId="3" fontId="27" fillId="12" borderId="9" xfId="0" applyNumberFormat="1" applyFont="1" applyFill="1" applyBorder="1" applyAlignment="1">
      <alignment horizontal="center" vertical="center"/>
    </xf>
    <xf numFmtId="0" fontId="27" fillId="16" borderId="3" xfId="0" applyFont="1" applyFill="1" applyBorder="1" applyAlignment="1">
      <alignment horizontal="center" vertical="center"/>
    </xf>
    <xf numFmtId="0" fontId="27" fillId="16" borderId="9" xfId="0" applyFont="1" applyFill="1" applyBorder="1" applyAlignment="1">
      <alignment horizontal="center" vertical="center"/>
    </xf>
    <xf numFmtId="3" fontId="27" fillId="12" borderId="4" xfId="0" applyNumberFormat="1" applyFont="1" applyFill="1" applyBorder="1" applyAlignment="1">
      <alignment horizontal="center" vertical="center"/>
    </xf>
    <xf numFmtId="3" fontId="27" fillId="12" borderId="5" xfId="0" applyNumberFormat="1" applyFont="1" applyFill="1" applyBorder="1" applyAlignment="1">
      <alignment horizontal="center" vertical="center"/>
    </xf>
    <xf numFmtId="3" fontId="27" fillId="12" borderId="6" xfId="0" applyNumberFormat="1" applyFont="1" applyFill="1" applyBorder="1" applyAlignment="1">
      <alignment horizontal="center" vertical="center"/>
    </xf>
    <xf numFmtId="3" fontId="27" fillId="16" borderId="3" xfId="0" applyNumberFormat="1" applyFont="1" applyFill="1" applyBorder="1" applyAlignment="1">
      <alignment horizontal="center" vertical="center"/>
    </xf>
    <xf numFmtId="3" fontId="27" fillId="16" borderId="9" xfId="0" applyNumberFormat="1" applyFont="1" applyFill="1" applyBorder="1" applyAlignment="1">
      <alignment horizontal="center" vertical="center"/>
    </xf>
    <xf numFmtId="37" fontId="27" fillId="16" borderId="3" xfId="0" applyNumberFormat="1" applyFont="1" applyFill="1" applyBorder="1" applyAlignment="1">
      <alignment horizontal="center" vertical="center" wrapText="1"/>
    </xf>
    <xf numFmtId="37" fontId="27" fillId="16" borderId="9" xfId="0" applyNumberFormat="1" applyFont="1" applyFill="1" applyBorder="1" applyAlignment="1">
      <alignment horizontal="center" vertical="center" wrapText="1"/>
    </xf>
    <xf numFmtId="3" fontId="27" fillId="16" borderId="2" xfId="0" applyNumberFormat="1" applyFont="1" applyFill="1" applyBorder="1" applyAlignment="1">
      <alignment horizontal="center" vertical="center"/>
    </xf>
    <xf numFmtId="0" fontId="27" fillId="16" borderId="2" xfId="0" applyFont="1" applyFill="1" applyBorder="1" applyAlignment="1">
      <alignment horizontal="center" vertical="center"/>
    </xf>
    <xf numFmtId="37" fontId="27" fillId="16" borderId="2" xfId="0" applyNumberFormat="1" applyFont="1" applyFill="1" applyBorder="1" applyAlignment="1">
      <alignment horizontal="center" vertical="center" wrapText="1"/>
    </xf>
    <xf numFmtId="3" fontId="27" fillId="16" borderId="4" xfId="0" applyNumberFormat="1" applyFont="1" applyFill="1" applyBorder="1" applyAlignment="1">
      <alignment horizontal="center" vertical="center"/>
    </xf>
    <xf numFmtId="3" fontId="27" fillId="16" borderId="5" xfId="0" applyNumberFormat="1" applyFont="1" applyFill="1" applyBorder="1" applyAlignment="1">
      <alignment horizontal="center" vertical="center"/>
    </xf>
    <xf numFmtId="3" fontId="27" fillId="16" borderId="6" xfId="0" applyNumberFormat="1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1" fontId="14" fillId="4" borderId="2" xfId="0" applyNumberFormat="1" applyFont="1" applyFill="1" applyBorder="1" applyAlignment="1">
      <alignment horizontal="center" vertical="center"/>
    </xf>
    <xf numFmtId="37" fontId="14" fillId="4" borderId="2" xfId="0" applyNumberFormat="1" applyFont="1" applyFill="1" applyBorder="1" applyAlignment="1">
      <alignment horizontal="center" vertical="center" wrapText="1"/>
    </xf>
    <xf numFmtId="3" fontId="14" fillId="4" borderId="2" xfId="0" applyNumberFormat="1" applyFont="1" applyFill="1" applyBorder="1" applyAlignment="1">
      <alignment horizontal="center" vertical="center"/>
    </xf>
    <xf numFmtId="3" fontId="14" fillId="4" borderId="2" xfId="0" applyNumberFormat="1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1" fontId="14" fillId="4" borderId="3" xfId="0" applyNumberFormat="1" applyFont="1" applyFill="1" applyBorder="1" applyAlignment="1">
      <alignment horizontal="center" vertical="center"/>
    </xf>
    <xf numFmtId="1" fontId="14" fillId="4" borderId="9" xfId="0" applyNumberFormat="1" applyFont="1" applyFill="1" applyBorder="1" applyAlignment="1">
      <alignment horizontal="center" vertical="center"/>
    </xf>
    <xf numFmtId="3" fontId="14" fillId="4" borderId="3" xfId="0" applyNumberFormat="1" applyFont="1" applyFill="1" applyBorder="1" applyAlignment="1">
      <alignment horizontal="center" vertical="center" wrapText="1"/>
    </xf>
    <xf numFmtId="3" fontId="14" fillId="4" borderId="9" xfId="0" applyNumberFormat="1" applyFont="1" applyFill="1" applyBorder="1" applyAlignment="1">
      <alignment horizontal="center" vertical="center" wrapText="1"/>
    </xf>
    <xf numFmtId="3" fontId="14" fillId="4" borderId="3" xfId="0" applyNumberFormat="1" applyFont="1" applyFill="1" applyBorder="1" applyAlignment="1">
      <alignment horizontal="center" vertical="center"/>
    </xf>
    <xf numFmtId="3" fontId="14" fillId="4" borderId="9" xfId="0" applyNumberFormat="1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5" fillId="12" borderId="3" xfId="0" applyFont="1" applyFill="1" applyBorder="1" applyAlignment="1">
      <alignment horizontal="center" vertical="center"/>
    </xf>
    <xf numFmtId="0" fontId="15" fillId="12" borderId="9" xfId="0" applyFont="1" applyFill="1" applyBorder="1" applyAlignment="1">
      <alignment horizontal="center" vertical="center"/>
    </xf>
    <xf numFmtId="0" fontId="15" fillId="16" borderId="3" xfId="0" applyFont="1" applyFill="1" applyBorder="1" applyAlignment="1">
      <alignment horizontal="center" vertical="center"/>
    </xf>
    <xf numFmtId="0" fontId="15" fillId="16" borderId="9" xfId="0" applyFont="1" applyFill="1" applyBorder="1" applyAlignment="1">
      <alignment horizontal="center" vertical="center"/>
    </xf>
  </cellXfs>
  <cellStyles count="9">
    <cellStyle name="Comma" xfId="1" builtinId="3"/>
    <cellStyle name="Comma [0]" xfId="2" builtinId="6"/>
    <cellStyle name="Normal" xfId="0" builtinId="0"/>
    <cellStyle name="Normal 2" xfId="5" xr:uid="{7148D67C-EF8E-431D-AF02-EAF35169A4C0}"/>
    <cellStyle name="Normal 3" xfId="4" xr:uid="{6FEE6A48-A777-4059-8D28-30BC4D06379E}"/>
    <cellStyle name="Normal 4" xfId="6" xr:uid="{7EE15C74-81DF-463A-B3CD-0F3810D94185}"/>
    <cellStyle name="Normal 5" xfId="7" xr:uid="{9B3F789D-1EE4-4677-8BBA-DFCFE7ECB445}"/>
    <cellStyle name="Normal 6" xfId="8" xr:uid="{573ECAAA-59E4-4880-9D93-42F7A4087BE2}"/>
    <cellStyle name="Percent" xfId="3" builtinId="5"/>
  </cellStyles>
  <dxfs count="17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12121"/>
      <color rgb="FF2A7057"/>
      <color rgb="FF9F1D1D"/>
      <color rgb="FFD41F16"/>
      <color rgb="FFF96767"/>
      <color rgb="FFCE0A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0F37-E9DA-4F5C-9CC1-46B75A5BFE1B}">
  <sheetPr>
    <tabColor rgb="FFC00000"/>
    <pageSetUpPr fitToPage="1"/>
  </sheetPr>
  <dimension ref="A2:AA68"/>
  <sheetViews>
    <sheetView showGridLines="0" zoomScale="56" zoomScaleNormal="70" workbookViewId="0">
      <selection activeCell="K2" sqref="K2:U23"/>
    </sheetView>
  </sheetViews>
  <sheetFormatPr defaultRowHeight="14.5" x14ac:dyDescent="0.35"/>
  <cols>
    <col min="1" max="1" width="13.1796875" bestFit="1" customWidth="1"/>
    <col min="2" max="2" width="10" bestFit="1" customWidth="1"/>
    <col min="3" max="5" width="17.54296875" bestFit="1" customWidth="1"/>
    <col min="6" max="6" width="15.81640625" customWidth="1"/>
    <col min="7" max="7" width="7" bestFit="1" customWidth="1"/>
    <col min="8" max="8" width="11.1796875" bestFit="1" customWidth="1"/>
    <col min="9" max="9" width="9.1796875" bestFit="1" customWidth="1"/>
    <col min="10" max="10" width="5.54296875" customWidth="1"/>
    <col min="11" max="11" width="12.453125" bestFit="1" customWidth="1"/>
    <col min="12" max="13" width="17.54296875" bestFit="1" customWidth="1"/>
    <col min="14" max="14" width="17.54296875" customWidth="1"/>
    <col min="15" max="17" width="14.6328125" customWidth="1"/>
    <col min="18" max="18" width="17.6328125" customWidth="1"/>
    <col min="19" max="21" width="9.1796875" customWidth="1"/>
    <col min="22" max="22" width="18.453125" bestFit="1" customWidth="1"/>
    <col min="23" max="23" width="13.54296875" bestFit="1" customWidth="1"/>
    <col min="24" max="24" width="9.81640625" bestFit="1" customWidth="1"/>
    <col min="25" max="25" width="13.26953125" bestFit="1" customWidth="1"/>
    <col min="26" max="26" width="14.26953125" bestFit="1" customWidth="1"/>
  </cols>
  <sheetData>
    <row r="2" spans="1:23" ht="14.5" customHeight="1" x14ac:dyDescent="0.35">
      <c r="B2" s="497" t="s">
        <v>0</v>
      </c>
      <c r="C2" s="497"/>
      <c r="D2" s="497"/>
      <c r="E2" s="497"/>
      <c r="F2" s="497"/>
      <c r="G2" s="497"/>
      <c r="H2" s="497"/>
      <c r="I2" s="497"/>
      <c r="K2" s="497" t="s">
        <v>1</v>
      </c>
      <c r="L2" s="497"/>
      <c r="M2" s="497"/>
      <c r="N2" s="497"/>
      <c r="O2" s="497"/>
      <c r="P2" s="497"/>
      <c r="Q2" s="497"/>
      <c r="R2" s="497"/>
      <c r="S2" s="497"/>
      <c r="T2" s="497"/>
      <c r="U2" s="497"/>
    </row>
    <row r="3" spans="1:23" ht="15" customHeight="1" x14ac:dyDescent="0.35">
      <c r="B3" s="497"/>
      <c r="C3" s="497"/>
      <c r="D3" s="497"/>
      <c r="E3" s="497"/>
      <c r="F3" s="497"/>
      <c r="G3" s="497"/>
      <c r="H3" s="497"/>
      <c r="I3" s="497"/>
      <c r="K3" s="497"/>
      <c r="L3" s="497"/>
      <c r="M3" s="497"/>
      <c r="N3" s="497"/>
      <c r="O3" s="497"/>
      <c r="P3" s="497"/>
      <c r="Q3" s="497"/>
      <c r="R3" s="497"/>
      <c r="S3" s="497"/>
      <c r="T3" s="497"/>
      <c r="U3" s="497"/>
    </row>
    <row r="4" spans="1:23" ht="8.5" customHeight="1" thickBot="1" x14ac:dyDescent="0.4"/>
    <row r="5" spans="1:23" ht="15" customHeight="1" thickBot="1" x14ac:dyDescent="0.4">
      <c r="B5" s="498" t="s">
        <v>2</v>
      </c>
      <c r="C5" s="500" t="s">
        <v>3</v>
      </c>
      <c r="D5" s="500"/>
      <c r="E5" s="500"/>
      <c r="F5" s="500"/>
      <c r="G5" s="501"/>
      <c r="H5" s="502" t="s">
        <v>4</v>
      </c>
      <c r="I5" s="501"/>
      <c r="K5" s="503" t="s">
        <v>2</v>
      </c>
      <c r="L5" s="500" t="s">
        <v>144</v>
      </c>
      <c r="M5" s="500"/>
      <c r="N5" s="500"/>
      <c r="O5" s="500"/>
      <c r="P5" s="500"/>
      <c r="Q5" s="500"/>
      <c r="R5" s="500"/>
      <c r="S5" s="501"/>
      <c r="T5" s="502" t="s">
        <v>4</v>
      </c>
      <c r="U5" s="501"/>
    </row>
    <row r="6" spans="1:23" ht="15" thickBot="1" x14ac:dyDescent="0.4">
      <c r="B6" s="499"/>
      <c r="C6" s="6">
        <v>2024</v>
      </c>
      <c r="D6" s="6">
        <v>2025</v>
      </c>
      <c r="E6" s="155" t="s">
        <v>5</v>
      </c>
      <c r="F6" s="6">
        <v>2026</v>
      </c>
      <c r="G6" s="6" t="s">
        <v>6</v>
      </c>
      <c r="H6" s="6" t="s">
        <v>8</v>
      </c>
      <c r="I6" s="7" t="s">
        <v>7</v>
      </c>
      <c r="K6" s="504"/>
      <c r="L6" s="506">
        <v>2024</v>
      </c>
      <c r="M6" s="506">
        <v>2025</v>
      </c>
      <c r="N6" s="508">
        <v>2026</v>
      </c>
      <c r="O6" s="509"/>
      <c r="P6" s="509"/>
      <c r="Q6" s="509"/>
      <c r="R6" s="509"/>
      <c r="S6" s="510"/>
      <c r="T6" s="506" t="s">
        <v>8</v>
      </c>
      <c r="U6" s="506" t="s">
        <v>7</v>
      </c>
    </row>
    <row r="7" spans="1:23" ht="15" thickBot="1" x14ac:dyDescent="0.4">
      <c r="B7" s="8" t="s">
        <v>9</v>
      </c>
      <c r="C7" s="10">
        <f>SUM(L8,C31,C53)</f>
        <v>24159186786</v>
      </c>
      <c r="D7" s="10">
        <f>SUM(M8,D31,TELE!D8,D53)</f>
        <v>21337690605</v>
      </c>
      <c r="E7" s="10">
        <f>SUM(N8,E31,TELE!E8,E53)</f>
        <v>40920000000</v>
      </c>
      <c r="F7" s="11">
        <f>SUM(R8,F31,TELE!F8,F53)</f>
        <v>25826447454.787403</v>
      </c>
      <c r="G7" s="12">
        <f t="shared" ref="G7:G22" si="0">IFERROR(F7/E7,0)</f>
        <v>0.63114485471132464</v>
      </c>
      <c r="H7" s="13">
        <f t="shared" ref="H7:H22" si="1">IFERROR(F7/C7-1,0)</f>
        <v>6.901145653435492E-2</v>
      </c>
      <c r="I7" s="14">
        <f t="shared" ref="I7:I22" si="2">IFERROR(F7/D7-1,0)</f>
        <v>0.21036751037788348</v>
      </c>
      <c r="K7" s="505"/>
      <c r="L7" s="507"/>
      <c r="M7" s="507"/>
      <c r="N7" s="155" t="s">
        <v>192</v>
      </c>
      <c r="O7" s="459" t="s">
        <v>189</v>
      </c>
      <c r="P7" s="6" t="s">
        <v>190</v>
      </c>
      <c r="Q7" s="6" t="s">
        <v>191</v>
      </c>
      <c r="R7" s="6" t="s">
        <v>77</v>
      </c>
      <c r="S7" s="460" t="s">
        <v>6</v>
      </c>
      <c r="T7" s="507"/>
      <c r="U7" s="507"/>
    </row>
    <row r="8" spans="1:23" x14ac:dyDescent="0.35">
      <c r="B8" s="8" t="s">
        <v>10</v>
      </c>
      <c r="C8" s="10">
        <f t="shared" ref="C8:C12" si="3">SUM(L9,C32,C54)</f>
        <v>23396499193</v>
      </c>
      <c r="D8" s="10">
        <f>SUM(M9,D32,TELE!D9,D54)</f>
        <v>26684172922</v>
      </c>
      <c r="E8" s="10">
        <f>SUM(N9,E32,TELE!E9,E54)</f>
        <v>37800000000</v>
      </c>
      <c r="F8" s="11">
        <f>SUM(R9,F32,TELE!F9,F54)</f>
        <v>26436474846.097397</v>
      </c>
      <c r="G8" s="12">
        <f t="shared" si="0"/>
        <v>0.69937764143114811</v>
      </c>
      <c r="H8" s="15">
        <f t="shared" si="1"/>
        <v>0.12993292834198567</v>
      </c>
      <c r="I8" s="14">
        <f t="shared" si="2"/>
        <v>-9.282583973153069E-3</v>
      </c>
      <c r="K8" s="8" t="s">
        <v>9</v>
      </c>
      <c r="L8" s="10">
        <f>AGPN!D6+AGPc!D6+AGPs!D5</f>
        <v>22585261686</v>
      </c>
      <c r="M8" s="10">
        <f>AGPN!E6+AGPc!E6+AGPs!E5</f>
        <v>20342621421</v>
      </c>
      <c r="N8" s="10">
        <f>AGPN!F6+AGPc!F6+AGPs!F5</f>
        <v>36880000000</v>
      </c>
      <c r="O8" s="10">
        <f>AGPc!G6</f>
        <v>9944665030.6396008</v>
      </c>
      <c r="P8" s="10">
        <f>AGPs!G5</f>
        <v>8901434145.4358006</v>
      </c>
      <c r="Q8" s="10">
        <f>AGPN!G6</f>
        <v>5016540388</v>
      </c>
      <c r="R8" s="10">
        <f>AGPN!G6+AGPc!G6+AGPs!G5</f>
        <v>23862639564.075401</v>
      </c>
      <c r="S8" s="12">
        <f t="shared" ref="S8:S23" si="4">IFERROR(R8/N8,0)</f>
        <v>0.64703469533827007</v>
      </c>
      <c r="T8" s="13">
        <f t="shared" ref="T8:T23" si="5">IFERROR(R8/L8-1,0)</f>
        <v>5.655802867527604E-2</v>
      </c>
      <c r="U8" s="14">
        <f t="shared" ref="U8:U23" si="6">IFERROR(R8/M8-1,0)</f>
        <v>0.17303660478298211</v>
      </c>
    </row>
    <row r="9" spans="1:23" x14ac:dyDescent="0.35">
      <c r="A9" s="3"/>
      <c r="B9" s="8" t="s">
        <v>11</v>
      </c>
      <c r="C9" s="10">
        <f t="shared" si="3"/>
        <v>24938302602</v>
      </c>
      <c r="D9" s="10">
        <f>SUM(M10,D33,TELE!D10,D55)</f>
        <v>22450328228</v>
      </c>
      <c r="E9" s="10">
        <f>SUM(N10,E33,TELE!E10,E55)</f>
        <v>37800000000</v>
      </c>
      <c r="F9" s="11">
        <f>SUM(R10,F33,TELE!F10,F55)</f>
        <v>13791552047.210699</v>
      </c>
      <c r="G9" s="12">
        <f t="shared" si="0"/>
        <v>0.36485587426483329</v>
      </c>
      <c r="H9" s="15">
        <f t="shared" si="1"/>
        <v>-0.44697310529447798</v>
      </c>
      <c r="I9" s="14">
        <f t="shared" si="2"/>
        <v>-0.38568595046152132</v>
      </c>
      <c r="K9" s="8" t="s">
        <v>10</v>
      </c>
      <c r="L9" s="10">
        <f>AGPN!D7+AGPc!D7+AGPs!D6</f>
        <v>21889752258</v>
      </c>
      <c r="M9" s="10">
        <f>AGPN!E7+AGPc!E7+AGPs!E6</f>
        <v>24547717344</v>
      </c>
      <c r="N9" s="10">
        <f>AGPN!F7+AGPc!F7+AGPs!F6</f>
        <v>33760000000</v>
      </c>
      <c r="O9" s="10">
        <f>AGPc!G7</f>
        <v>10890747766.420799</v>
      </c>
      <c r="P9" s="10">
        <f>AGPs!G6</f>
        <v>8188542210.0445995</v>
      </c>
      <c r="Q9" s="10">
        <f>AGPN!G7</f>
        <v>5030983084.8828001</v>
      </c>
      <c r="R9" s="11">
        <f>AGPN!G7+AGPc!G7+AGPs!G6</f>
        <v>24110273061.348198</v>
      </c>
      <c r="S9" s="12">
        <f t="shared" si="4"/>
        <v>0.71416685608258879</v>
      </c>
      <c r="T9" s="15">
        <f t="shared" si="5"/>
        <v>0.10144111167528957</v>
      </c>
      <c r="U9" s="14">
        <f t="shared" si="6"/>
        <v>-1.7820161301422277E-2</v>
      </c>
    </row>
    <row r="10" spans="1:23" x14ac:dyDescent="0.35">
      <c r="B10" s="8" t="s">
        <v>12</v>
      </c>
      <c r="C10" s="10">
        <f t="shared" si="3"/>
        <v>15761115621</v>
      </c>
      <c r="D10" s="10">
        <f>SUM(M11,D34,TELE!D11,D56)</f>
        <v>21371627964</v>
      </c>
      <c r="E10" s="10">
        <f>SUM(N11,E34,TELE!E11,E56)</f>
        <v>40380000000</v>
      </c>
      <c r="F10" s="11">
        <f>SUM(R11,F34,TELE!F11,F56)</f>
        <v>25128711269.145496</v>
      </c>
      <c r="G10" s="12">
        <f t="shared" si="0"/>
        <v>0.62230587590751596</v>
      </c>
      <c r="H10" s="15">
        <f t="shared" si="1"/>
        <v>0.5943485139887037</v>
      </c>
      <c r="I10" s="14">
        <f t="shared" si="2"/>
        <v>0.17579771234433861</v>
      </c>
      <c r="K10" s="8" t="s">
        <v>11</v>
      </c>
      <c r="L10" s="10">
        <f>AGPN!D8+AGPc!D8+AGPs!D7</f>
        <v>22899608218</v>
      </c>
      <c r="M10" s="10">
        <f>AGPN!E8+AGPc!E8+AGPs!E7</f>
        <v>20716698521</v>
      </c>
      <c r="N10" s="10">
        <f>AGPN!F8+AGPc!F8+AGPs!F7</f>
        <v>33760000000</v>
      </c>
      <c r="O10" s="10">
        <f>AGPc!G8</f>
        <v>5271588929.4695997</v>
      </c>
      <c r="P10" s="10">
        <f>AGPs!G7</f>
        <v>4562552087.9057999</v>
      </c>
      <c r="Q10" s="10">
        <f>AGPN!G8</f>
        <v>2304160127.2806005</v>
      </c>
      <c r="R10" s="11">
        <f>AGPN!G8+AGPc!G8+AGPs!G7</f>
        <v>12138301144.656</v>
      </c>
      <c r="S10" s="12">
        <f t="shared" si="4"/>
        <v>0.35954683485355449</v>
      </c>
      <c r="T10" s="15">
        <f t="shared" si="5"/>
        <v>-0.46993411288517961</v>
      </c>
      <c r="U10" s="14">
        <f t="shared" si="6"/>
        <v>-0.41408129618955902</v>
      </c>
    </row>
    <row r="11" spans="1:23" x14ac:dyDescent="0.35">
      <c r="B11" s="8" t="s">
        <v>13</v>
      </c>
      <c r="C11" s="10">
        <f t="shared" si="3"/>
        <v>24487748149</v>
      </c>
      <c r="D11" s="10">
        <f>SUM(M12,D35,TELE!D12,D57)</f>
        <v>26482379609</v>
      </c>
      <c r="E11" s="10">
        <f>SUM(N12,E35,TELE!E12,E57)</f>
        <v>37260000000</v>
      </c>
      <c r="F11" s="11">
        <f>SUM(R12,F35,TELE!F12,F57)</f>
        <v>21173631075.448097</v>
      </c>
      <c r="G11" s="12">
        <f t="shared" si="0"/>
        <v>0.56826707126806486</v>
      </c>
      <c r="H11" s="15">
        <f t="shared" si="1"/>
        <v>-0.13533776374154849</v>
      </c>
      <c r="I11" s="14">
        <f t="shared" si="2"/>
        <v>-0.20046342556571961</v>
      </c>
      <c r="K11" s="8" t="s">
        <v>12</v>
      </c>
      <c r="L11" s="10">
        <f>AGPN!D9+AGPc!D9+AGPs!D8</f>
        <v>14758281711</v>
      </c>
      <c r="M11" s="10">
        <f>AGPN!E9+AGPc!E9+AGPs!E8</f>
        <v>19831812491</v>
      </c>
      <c r="N11" s="10">
        <f>AGPN!F9+AGPc!F9+AGPs!F8</f>
        <v>36880000000</v>
      </c>
      <c r="O11" s="10">
        <f>AGPc!G9</f>
        <v>9103181216.2157993</v>
      </c>
      <c r="P11" s="10">
        <f>AGPs!G8</f>
        <v>8837646784.5141983</v>
      </c>
      <c r="Q11" s="10">
        <f>AGPN!G9</f>
        <v>4817172271.6711988</v>
      </c>
      <c r="R11" s="11">
        <f>AGPN!G9+AGPc!G9+AGPs!G8</f>
        <v>22758000272.401196</v>
      </c>
      <c r="S11" s="12">
        <f t="shared" si="4"/>
        <v>0.61708243688723419</v>
      </c>
      <c r="T11" s="15">
        <f t="shared" si="5"/>
        <v>0.54204945521799131</v>
      </c>
      <c r="U11" s="14">
        <f t="shared" si="6"/>
        <v>0.14755019404954273</v>
      </c>
    </row>
    <row r="12" spans="1:23" ht="15" thickBot="1" x14ac:dyDescent="0.4">
      <c r="A12" s="3"/>
      <c r="B12" s="8" t="s">
        <v>14</v>
      </c>
      <c r="C12" s="10">
        <f t="shared" si="3"/>
        <v>28664608260</v>
      </c>
      <c r="D12" s="10">
        <f>SUM(M13,D36,TELE!D13,D58)</f>
        <v>23629392392</v>
      </c>
      <c r="E12" s="10">
        <f>SUM(N13,E36,TELE!E13,E58)</f>
        <v>37260000000</v>
      </c>
      <c r="F12" s="11">
        <f>SUM(R13,F36,TELE!F13,F58)</f>
        <v>24014237141.382801</v>
      </c>
      <c r="G12" s="18">
        <f t="shared" si="0"/>
        <v>0.64450448581274289</v>
      </c>
      <c r="H12" s="19">
        <f t="shared" si="1"/>
        <v>-0.16223389751000206</v>
      </c>
      <c r="I12" s="14">
        <f t="shared" si="2"/>
        <v>1.6286696796871336E-2</v>
      </c>
      <c r="K12" s="8" t="s">
        <v>13</v>
      </c>
      <c r="L12" s="10">
        <f>AGPN!D10+AGPc!D10+AGPs!D9</f>
        <v>22730316307</v>
      </c>
      <c r="M12" s="10">
        <f>AGPN!E10+AGPc!E10+AGPs!E9</f>
        <v>24484721143</v>
      </c>
      <c r="N12" s="10">
        <f>AGPN!F10+AGPc!F10+AGPs!F9</f>
        <v>33760000000</v>
      </c>
      <c r="O12" s="10">
        <f>AGPc!G10</f>
        <v>9594542995.5242977</v>
      </c>
      <c r="P12" s="10">
        <f>AGPs!G9</f>
        <v>6101845773.2462997</v>
      </c>
      <c r="Q12" s="10">
        <f>AGPN!G10</f>
        <v>3257543945.3184004</v>
      </c>
      <c r="R12" s="11">
        <f>AGPN!G10+AGPc!G10+AGPs!G9</f>
        <v>18953932714.088997</v>
      </c>
      <c r="S12" s="12">
        <f t="shared" si="4"/>
        <v>0.56143165622301527</v>
      </c>
      <c r="T12" s="15">
        <f t="shared" si="5"/>
        <v>-0.16613862921687683</v>
      </c>
      <c r="U12" s="14">
        <f t="shared" si="6"/>
        <v>-0.22588733588629062</v>
      </c>
      <c r="V12" s="3"/>
    </row>
    <row r="13" spans="1:23" ht="15" thickBot="1" x14ac:dyDescent="0.4">
      <c r="A13" s="154"/>
      <c r="B13" s="20" t="s">
        <v>15</v>
      </c>
      <c r="C13" s="21">
        <f>SUM(C7:C12)</f>
        <v>141407460611</v>
      </c>
      <c r="D13" s="21">
        <f>SUM(D7:D12)</f>
        <v>141955591720</v>
      </c>
      <c r="E13" s="21">
        <f>SUM(E7:E12)</f>
        <v>231420000000</v>
      </c>
      <c r="F13" s="21">
        <f>SUM(F7:F12)</f>
        <v>136371053834.07188</v>
      </c>
      <c r="G13" s="22">
        <f t="shared" si="0"/>
        <v>0.58927946518914476</v>
      </c>
      <c r="H13" s="23">
        <f t="shared" si="1"/>
        <v>-3.5616273392977793E-2</v>
      </c>
      <c r="I13" s="24">
        <f t="shared" si="2"/>
        <v>-3.9340034571821114E-2</v>
      </c>
      <c r="K13" s="8" t="s">
        <v>14</v>
      </c>
      <c r="L13" s="10">
        <f>AGPN!D11+AGPc!D11+AGPs!D10</f>
        <v>26527508857</v>
      </c>
      <c r="M13" s="10">
        <f>AGPN!E11+AGPc!E11+AGPs!E10</f>
        <v>22071306489</v>
      </c>
      <c r="N13" s="10">
        <f>AGPN!F11+AGPc!F11+AGPs!F10</f>
        <v>33760000000</v>
      </c>
      <c r="O13" s="10">
        <f>AGPc!G11</f>
        <v>9688776885.2033997</v>
      </c>
      <c r="P13" s="10">
        <f>AGPs!G10</f>
        <v>7982887332.4799004</v>
      </c>
      <c r="Q13" s="10">
        <f>AGPN!G11</f>
        <v>3443739523.5591984</v>
      </c>
      <c r="R13" s="11">
        <f>AGPN!G11+AGPc!G11+AGPs!G10</f>
        <v>21115403741.2425</v>
      </c>
      <c r="S13" s="18">
        <f t="shared" si="4"/>
        <v>0.62545627195623521</v>
      </c>
      <c r="T13" s="19">
        <f t="shared" si="5"/>
        <v>-0.20401859612721873</v>
      </c>
      <c r="U13" s="14">
        <f t="shared" si="6"/>
        <v>-4.3309749163870648E-2</v>
      </c>
    </row>
    <row r="14" spans="1:23" ht="15" thickBot="1" x14ac:dyDescent="0.4">
      <c r="B14" s="25" t="s">
        <v>16</v>
      </c>
      <c r="C14" s="10">
        <f t="shared" ref="C14:C19" si="7">SUM(L15,C38,C60)</f>
        <v>25468635015</v>
      </c>
      <c r="D14" s="10">
        <f>SUM(M15,D38,TELE!D15,D60)</f>
        <v>25871489943</v>
      </c>
      <c r="E14" s="10">
        <f>SUM(N15,E38,TELE!E15,E60)</f>
        <v>37260000000</v>
      </c>
      <c r="F14" s="11">
        <f>SUM(R15,F38,TELE!F15,F60)</f>
        <v>28407979513.755001</v>
      </c>
      <c r="G14" s="27">
        <f t="shared" si="0"/>
        <v>0.76242564449154593</v>
      </c>
      <c r="H14" s="13">
        <f t="shared" si="1"/>
        <v>0.11541036639866431</v>
      </c>
      <c r="I14" s="14">
        <f t="shared" si="2"/>
        <v>9.8041882255076374E-2</v>
      </c>
      <c r="K14" s="20" t="s">
        <v>15</v>
      </c>
      <c r="L14" s="21">
        <f>SUM(L8:L13)</f>
        <v>131390729037</v>
      </c>
      <c r="M14" s="21">
        <f>SUM(M8:M13)</f>
        <v>131994877409</v>
      </c>
      <c r="N14" s="21">
        <f>SUM(N8:N13)</f>
        <v>208800000000</v>
      </c>
      <c r="O14" s="21">
        <f t="shared" ref="O14:Q14" si="8">SUM(O8:O13)</f>
        <v>54493502823.473503</v>
      </c>
      <c r="P14" s="21">
        <f t="shared" si="8"/>
        <v>44574908333.626602</v>
      </c>
      <c r="Q14" s="21">
        <f t="shared" si="8"/>
        <v>23870139340.712204</v>
      </c>
      <c r="R14" s="21">
        <f>SUM(R8:R13)</f>
        <v>122938550497.81229</v>
      </c>
      <c r="S14" s="22">
        <f t="shared" si="4"/>
        <v>0.58878616138798989</v>
      </c>
      <c r="T14" s="23">
        <f t="shared" si="5"/>
        <v>-6.4328576309273355E-2</v>
      </c>
      <c r="U14" s="24">
        <f t="shared" si="6"/>
        <v>-6.8611199835624914E-2</v>
      </c>
      <c r="V14" s="3"/>
      <c r="W14" s="3"/>
    </row>
    <row r="15" spans="1:23" x14ac:dyDescent="0.35">
      <c r="A15">
        <f>(F15-F14)/F14</f>
        <v>-0.19156412191547564</v>
      </c>
      <c r="B15" s="28" t="s">
        <v>17</v>
      </c>
      <c r="C15" s="10">
        <f t="shared" si="7"/>
        <v>26335746702</v>
      </c>
      <c r="D15" s="10">
        <f>SUM(M16,D39,TELE!D16,D61)</f>
        <v>26006146126</v>
      </c>
      <c r="E15" s="10">
        <f>SUM(N16,E39,TELE!E16,E61)</f>
        <v>40380000000</v>
      </c>
      <c r="F15" s="11">
        <f>SUM(R16,F39,TELE!F16,F61)</f>
        <v>22966029862.809704</v>
      </c>
      <c r="G15" s="12">
        <f t="shared" si="0"/>
        <v>0.56874764395269206</v>
      </c>
      <c r="H15" s="15">
        <f t="shared" si="1"/>
        <v>-0.12795220417784436</v>
      </c>
      <c r="I15" s="14">
        <f t="shared" si="2"/>
        <v>-0.11689991467635796</v>
      </c>
      <c r="K15" s="25" t="s">
        <v>16</v>
      </c>
      <c r="L15" s="10">
        <f>AGPN!D13+AGPc!D13+AGPs!D12</f>
        <v>23599006137</v>
      </c>
      <c r="M15" s="10">
        <f>AGPN!E13+AGPc!E13+AGPs!E12</f>
        <v>23901112453</v>
      </c>
      <c r="N15" s="10">
        <f>AGPN!F13+AGPc!F13+AGPs!F12</f>
        <v>33760000000</v>
      </c>
      <c r="O15" s="10">
        <f>AGPc!G13</f>
        <v>11441452309.0513</v>
      </c>
      <c r="P15" s="10">
        <f>AGPs!G12</f>
        <v>9437757615.5867996</v>
      </c>
      <c r="Q15" s="10">
        <f>AGPN!G13</f>
        <v>4926376011.1497002</v>
      </c>
      <c r="R15" s="11">
        <f>AGPN!G13+AGPc!G13+AGPs!G12</f>
        <v>25805585935.7878</v>
      </c>
      <c r="S15" s="27">
        <f t="shared" si="4"/>
        <v>0.76438346966196091</v>
      </c>
      <c r="T15" s="13">
        <f t="shared" si="5"/>
        <v>9.3503081696655999E-2</v>
      </c>
      <c r="U15" s="14">
        <f t="shared" si="6"/>
        <v>7.9681374100591507E-2</v>
      </c>
      <c r="V15" s="3"/>
    </row>
    <row r="16" spans="1:23" x14ac:dyDescent="0.35">
      <c r="B16" s="28" t="s">
        <v>18</v>
      </c>
      <c r="C16" s="10">
        <f t="shared" si="7"/>
        <v>25507315030</v>
      </c>
      <c r="D16" s="10">
        <f>SUM(M17,D40,TELE!D17,D62)</f>
        <v>25955151907</v>
      </c>
      <c r="E16" s="10">
        <f>SUM(N17,E40,TELE!E17,E62)</f>
        <v>37260000000</v>
      </c>
      <c r="F16" s="11">
        <f>SUM(R17,F40,TELE!F17,F62)</f>
        <v>17829153304.899899</v>
      </c>
      <c r="G16" s="12">
        <f t="shared" si="0"/>
        <v>0.4785065299221658</v>
      </c>
      <c r="H16" s="15">
        <f t="shared" si="1"/>
        <v>-0.30101803016387885</v>
      </c>
      <c r="I16" s="14">
        <f t="shared" si="2"/>
        <v>-0.31307844512782657</v>
      </c>
      <c r="K16" s="28" t="s">
        <v>17</v>
      </c>
      <c r="L16" s="10">
        <f>AGPN!D14+AGPc!D14+AGPs!D13</f>
        <v>24281662045</v>
      </c>
      <c r="M16" s="10">
        <f>AGPN!E14+AGPc!E14+AGPs!E13</f>
        <v>23729834895</v>
      </c>
      <c r="N16" s="10">
        <f>AGPN!F14+AGPc!F14+AGPs!F13</f>
        <v>36880000000</v>
      </c>
      <c r="O16" s="10">
        <f>AGPc!G14</f>
        <v>10463407849.179899</v>
      </c>
      <c r="P16" s="10">
        <f>AGPs!G13</f>
        <v>7139498964.3480005</v>
      </c>
      <c r="Q16" s="10">
        <f>AGPN!G14</f>
        <v>3659960957.0970998</v>
      </c>
      <c r="R16" s="11">
        <f>AGPN!G14+AGPc!G14+AGPs!G13</f>
        <v>21262867770.625</v>
      </c>
      <c r="S16" s="12">
        <f t="shared" si="4"/>
        <v>0.57654196775013555</v>
      </c>
      <c r="T16" s="15">
        <f t="shared" si="5"/>
        <v>-0.12432403798308445</v>
      </c>
      <c r="U16" s="14">
        <f t="shared" si="6"/>
        <v>-0.10396056842750312</v>
      </c>
      <c r="W16" s="154">
        <f>(R16-R15)/R15</f>
        <v>-0.17603623403345592</v>
      </c>
    </row>
    <row r="17" spans="2:21" x14ac:dyDescent="0.35">
      <c r="B17" s="28" t="s">
        <v>19</v>
      </c>
      <c r="C17" s="10">
        <f t="shared" si="7"/>
        <v>26172805118</v>
      </c>
      <c r="D17" s="10">
        <f>SUM(M18,D41,TELE!D18,D63)</f>
        <v>25882344879</v>
      </c>
      <c r="E17" s="10">
        <f>SUM(N18,E41,TELE!E18,E63)</f>
        <v>40380000000</v>
      </c>
      <c r="F17" s="11">
        <f>SUM(R18,F41,TELE!F18,F63)</f>
        <v>0</v>
      </c>
      <c r="G17" s="12">
        <f t="shared" si="0"/>
        <v>0</v>
      </c>
      <c r="H17" s="15">
        <f t="shared" si="1"/>
        <v>-1</v>
      </c>
      <c r="I17" s="14">
        <f t="shared" si="2"/>
        <v>-1</v>
      </c>
      <c r="K17" s="28" t="s">
        <v>18</v>
      </c>
      <c r="L17" s="10">
        <f>AGPN!D15+AGPc!D15+AGPs!D14</f>
        <v>23356680661</v>
      </c>
      <c r="M17" s="10">
        <f>AGPN!E15+AGPc!E15+AGPs!E14</f>
        <v>23843988531</v>
      </c>
      <c r="N17" s="10">
        <f>AGPN!F15+AGPc!F15+AGPs!F14</f>
        <v>33760000000</v>
      </c>
      <c r="O17" s="10">
        <f>AGPc!G15</f>
        <v>7771803446.7894001</v>
      </c>
      <c r="P17" s="10">
        <f>AGPs!G14</f>
        <v>6412417047.9421005</v>
      </c>
      <c r="Q17" s="10">
        <f>AGPN!G15</f>
        <v>3080079093.6008987</v>
      </c>
      <c r="R17" s="11">
        <f>AGPN!G15+AGPc!G15+AGPs!G14</f>
        <v>17264299588.332397</v>
      </c>
      <c r="S17" s="12">
        <f t="shared" si="4"/>
        <v>0.51138328164491698</v>
      </c>
      <c r="T17" s="15">
        <f t="shared" si="5"/>
        <v>-0.26084104848170497</v>
      </c>
      <c r="U17" s="14">
        <f t="shared" si="6"/>
        <v>-0.27594749654040596</v>
      </c>
    </row>
    <row r="18" spans="2:21" x14ac:dyDescent="0.35">
      <c r="B18" s="28" t="s">
        <v>20</v>
      </c>
      <c r="C18" s="10">
        <f t="shared" si="7"/>
        <v>24806895809</v>
      </c>
      <c r="D18" s="10">
        <f>SUM(M19,D42,TELE!D19,D64)</f>
        <v>23982150334</v>
      </c>
      <c r="E18" s="10">
        <f>SUM(N19,E42,TELE!E19,E64)</f>
        <v>37260000000</v>
      </c>
      <c r="F18" s="11">
        <f>SUM(R19,F42,TELE!F19,F64)</f>
        <v>0</v>
      </c>
      <c r="G18" s="12">
        <f t="shared" si="0"/>
        <v>0</v>
      </c>
      <c r="H18" s="15">
        <f t="shared" si="1"/>
        <v>-1</v>
      </c>
      <c r="I18" s="14">
        <f t="shared" si="2"/>
        <v>-1</v>
      </c>
      <c r="K18" s="28" t="s">
        <v>19</v>
      </c>
      <c r="L18" s="10">
        <f>AGPN!D16+AGPc!D16+AGPs!D15</f>
        <v>24757990009</v>
      </c>
      <c r="M18" s="10">
        <f>AGPN!E16+AGPc!E16+AGPs!E15</f>
        <v>23392221486</v>
      </c>
      <c r="N18" s="10">
        <f>AGPN!F16+AGPc!F16+AGPs!F15</f>
        <v>36880000000</v>
      </c>
      <c r="O18" s="10">
        <f>AGPc!G16</f>
        <v>0</v>
      </c>
      <c r="P18" s="10">
        <f>AGPs!G15</f>
        <v>0</v>
      </c>
      <c r="Q18" s="10">
        <f>AGPN!G16</f>
        <v>0</v>
      </c>
      <c r="R18" s="11">
        <f>AGPN!G16+AGPc!G16+AGPs!G15</f>
        <v>0</v>
      </c>
      <c r="S18" s="12">
        <f t="shared" si="4"/>
        <v>0</v>
      </c>
      <c r="T18" s="15">
        <f t="shared" si="5"/>
        <v>-1</v>
      </c>
      <c r="U18" s="14">
        <f t="shared" si="6"/>
        <v>-1</v>
      </c>
    </row>
    <row r="19" spans="2:21" ht="15" thickBot="1" x14ac:dyDescent="0.4">
      <c r="B19" s="29" t="s">
        <v>21</v>
      </c>
      <c r="C19" s="10">
        <f t="shared" si="7"/>
        <v>25551616179</v>
      </c>
      <c r="D19" s="10">
        <f>SUM(M20,D43,TELE!D20,D65)</f>
        <v>26847129519</v>
      </c>
      <c r="E19" s="10">
        <f>SUM(N20,E43,TELE!E20,E65)</f>
        <v>37260000000</v>
      </c>
      <c r="F19" s="11">
        <f>SUM(R20,F43,TELE!F20,F65)</f>
        <v>0</v>
      </c>
      <c r="G19" s="18">
        <f t="shared" si="0"/>
        <v>0</v>
      </c>
      <c r="H19" s="19">
        <f t="shared" si="1"/>
        <v>-1</v>
      </c>
      <c r="I19" s="14">
        <f t="shared" si="2"/>
        <v>-1</v>
      </c>
      <c r="K19" s="28" t="s">
        <v>20</v>
      </c>
      <c r="L19" s="10">
        <f>AGPN!D17+AGPc!D17+AGPs!D16</f>
        <v>22982352166</v>
      </c>
      <c r="M19" s="10">
        <f>AGPN!E17+AGPc!E17+AGPs!E16</f>
        <v>21338105910</v>
      </c>
      <c r="N19" s="10">
        <f>AGPN!F17+AGPc!F17+AGPs!F16</f>
        <v>33760000000</v>
      </c>
      <c r="O19" s="10">
        <f>AGPc!G17</f>
        <v>0</v>
      </c>
      <c r="P19" s="10">
        <f>AGPs!G16</f>
        <v>0</v>
      </c>
      <c r="Q19" s="10">
        <f>AGPN!G17</f>
        <v>0</v>
      </c>
      <c r="R19" s="11">
        <f>AGPN!G17+AGPc!G17+AGPs!G16</f>
        <v>0</v>
      </c>
      <c r="S19" s="12">
        <f t="shared" si="4"/>
        <v>0</v>
      </c>
      <c r="T19" s="15">
        <f t="shared" si="5"/>
        <v>-1</v>
      </c>
      <c r="U19" s="14">
        <f t="shared" si="6"/>
        <v>-1</v>
      </c>
    </row>
    <row r="20" spans="2:21" ht="15" thickBot="1" x14ac:dyDescent="0.4">
      <c r="B20" s="20" t="s">
        <v>22</v>
      </c>
      <c r="C20" s="21">
        <f>SUM(C14:C19)</f>
        <v>153843013853</v>
      </c>
      <c r="D20" s="21">
        <f>SUM(D14:D19)</f>
        <v>154544412708</v>
      </c>
      <c r="E20" s="21">
        <f>SUM(E14:E19)</f>
        <v>229800000000</v>
      </c>
      <c r="F20" s="21">
        <f>SUM(F14:F19)</f>
        <v>69203162681.4646</v>
      </c>
      <c r="G20" s="22">
        <f t="shared" si="0"/>
        <v>0.30114518138148216</v>
      </c>
      <c r="H20" s="23">
        <f t="shared" si="1"/>
        <v>-0.55017026156553606</v>
      </c>
      <c r="I20" s="24">
        <f t="shared" si="2"/>
        <v>-0.55221181103312511</v>
      </c>
      <c r="K20" s="29" t="s">
        <v>21</v>
      </c>
      <c r="L20" s="10">
        <f>AGPN!D18+AGPc!D18+AGPs!D17</f>
        <v>23453987016</v>
      </c>
      <c r="M20" s="10">
        <f>AGPN!E18+AGPc!E18+AGPs!E17</f>
        <v>24093261177</v>
      </c>
      <c r="N20" s="10">
        <f>AGPN!F18+AGPc!F18+AGPs!F17</f>
        <v>33760000000</v>
      </c>
      <c r="O20" s="10">
        <f>AGPc!G18</f>
        <v>0</v>
      </c>
      <c r="P20" s="10">
        <f>AGPs!G17</f>
        <v>0</v>
      </c>
      <c r="Q20" s="10">
        <f>AGPN!G18</f>
        <v>0</v>
      </c>
      <c r="R20" s="11">
        <f>AGPN!G18+AGPc!G18+AGPs!G17</f>
        <v>0</v>
      </c>
      <c r="S20" s="18">
        <f t="shared" si="4"/>
        <v>0</v>
      </c>
      <c r="T20" s="19">
        <f t="shared" si="5"/>
        <v>-1</v>
      </c>
      <c r="U20" s="14">
        <f t="shared" si="6"/>
        <v>-1</v>
      </c>
    </row>
    <row r="21" spans="2:21" ht="15" thickBot="1" x14ac:dyDescent="0.4">
      <c r="B21" s="30" t="s">
        <v>23</v>
      </c>
      <c r="C21" s="31">
        <f>C13+C20</f>
        <v>295250474464</v>
      </c>
      <c r="D21" s="31">
        <f>D13+D20</f>
        <v>296500004428</v>
      </c>
      <c r="E21" s="31">
        <f>E13+E20</f>
        <v>461220000000</v>
      </c>
      <c r="F21" s="32">
        <f>F13+F20</f>
        <v>205574216515.5365</v>
      </c>
      <c r="G21" s="33">
        <f t="shared" si="0"/>
        <v>0.44571834811052535</v>
      </c>
      <c r="H21" s="34">
        <f t="shared" si="1"/>
        <v>-0.30372942875455988</v>
      </c>
      <c r="I21" s="35">
        <f t="shared" si="2"/>
        <v>-0.30666369832902751</v>
      </c>
      <c r="K21" s="20" t="s">
        <v>22</v>
      </c>
      <c r="L21" s="21">
        <f>SUM(L15:L20)</f>
        <v>142431678034</v>
      </c>
      <c r="M21" s="21">
        <f>SUM(M15:M20)</f>
        <v>140298524452</v>
      </c>
      <c r="N21" s="21">
        <f>SUM(N15:N20)</f>
        <v>208800000000</v>
      </c>
      <c r="O21" s="21">
        <f t="shared" ref="O21:Q21" si="9">SUM(O15:O20)</f>
        <v>29676663605.020599</v>
      </c>
      <c r="P21" s="21">
        <f t="shared" si="9"/>
        <v>22989673627.8769</v>
      </c>
      <c r="Q21" s="21">
        <f t="shared" si="9"/>
        <v>11666416061.847698</v>
      </c>
      <c r="R21" s="21">
        <f>SUM(R15:R20)</f>
        <v>64332753294.745193</v>
      </c>
      <c r="S21" s="22">
        <f t="shared" si="4"/>
        <v>0.30810705600931604</v>
      </c>
      <c r="T21" s="23">
        <f t="shared" si="5"/>
        <v>-0.54832552573460336</v>
      </c>
      <c r="U21" s="24">
        <f t="shared" si="6"/>
        <v>-0.54145809055350969</v>
      </c>
    </row>
    <row r="22" spans="2:21" ht="15.5" thickTop="1" thickBot="1" x14ac:dyDescent="0.4">
      <c r="B22" s="36" t="s">
        <v>24</v>
      </c>
      <c r="C22" s="37">
        <f>IFERROR(AVERAGE(C7:C12,C14:C19),0)</f>
        <v>24604206205.333332</v>
      </c>
      <c r="D22" s="37">
        <f>IFERROR(AVERAGE(D7:D12,D14:D19),0)</f>
        <v>24708333702.333332</v>
      </c>
      <c r="E22" s="37">
        <f>IFERROR(AVERAGE(E7:E12,E14:E19),0)</f>
        <v>38435000000</v>
      </c>
      <c r="F22" s="38">
        <f>IFERROR(AVERAGE(F7:F12,F14:F19),0)</f>
        <v>17131184709.628038</v>
      </c>
      <c r="G22" s="39">
        <f t="shared" si="0"/>
        <v>0.44571834811052524</v>
      </c>
      <c r="H22" s="40">
        <f t="shared" si="1"/>
        <v>-0.30372942875455999</v>
      </c>
      <c r="I22" s="41">
        <f t="shared" si="2"/>
        <v>-0.30666369832902751</v>
      </c>
      <c r="K22" s="30" t="s">
        <v>23</v>
      </c>
      <c r="L22" s="31">
        <f>L14+L21</f>
        <v>273822407071</v>
      </c>
      <c r="M22" s="31">
        <f>M14+M21</f>
        <v>272293401861</v>
      </c>
      <c r="N22" s="31">
        <f>N14+N21</f>
        <v>417600000000</v>
      </c>
      <c r="O22" s="31">
        <f t="shared" ref="O22:Q22" si="10">O14+O21</f>
        <v>84170166428.49411</v>
      </c>
      <c r="P22" s="31">
        <f t="shared" si="10"/>
        <v>67564581961.503502</v>
      </c>
      <c r="Q22" s="31">
        <f t="shared" si="10"/>
        <v>35536555402.559906</v>
      </c>
      <c r="R22" s="32">
        <f>R14+R21</f>
        <v>187271303792.5575</v>
      </c>
      <c r="S22" s="33">
        <f t="shared" si="4"/>
        <v>0.44844660869865299</v>
      </c>
      <c r="T22" s="34">
        <f t="shared" si="5"/>
        <v>-0.31608480914420012</v>
      </c>
      <c r="U22" s="35">
        <f t="shared" si="6"/>
        <v>-0.31224443004257763</v>
      </c>
    </row>
    <row r="23" spans="2:21" ht="15" thickBot="1" x14ac:dyDescent="0.4">
      <c r="K23" s="36" t="s">
        <v>24</v>
      </c>
      <c r="L23" s="37">
        <f>IFERROR(AVERAGE(L8:L13,L15:L20),0)</f>
        <v>22818533922.583332</v>
      </c>
      <c r="M23" s="37">
        <f>IFERROR(AVERAGE(M8:M13,M15:M20),0)</f>
        <v>22691116821.75</v>
      </c>
      <c r="N23" s="37">
        <f>IFERROR(AVERAGE(N8:N13,N15:N20),0)</f>
        <v>34800000000</v>
      </c>
      <c r="O23" s="37">
        <f t="shared" ref="O23:Q23" si="11">IFERROR(AVERAGE(O8:O13,O15:O20),0)</f>
        <v>7014180535.7078409</v>
      </c>
      <c r="P23" s="37">
        <f t="shared" si="11"/>
        <v>5630381830.1252918</v>
      </c>
      <c r="Q23" s="37">
        <f t="shared" si="11"/>
        <v>2961379616.879992</v>
      </c>
      <c r="R23" s="38">
        <f>IFERROR(AVERAGE(R8:R13,R15:R20),0)</f>
        <v>15605941982.713125</v>
      </c>
      <c r="S23" s="39">
        <f t="shared" si="4"/>
        <v>0.44844660869865305</v>
      </c>
      <c r="T23" s="40">
        <f t="shared" si="5"/>
        <v>-0.31608480914420001</v>
      </c>
      <c r="U23" s="41">
        <f t="shared" si="6"/>
        <v>-0.31224443004257763</v>
      </c>
    </row>
    <row r="26" spans="2:21" x14ac:dyDescent="0.35">
      <c r="B26" s="497" t="s">
        <v>25</v>
      </c>
      <c r="C26" s="497"/>
      <c r="D26" s="497"/>
      <c r="E26" s="497"/>
      <c r="F26" s="497"/>
      <c r="G26" s="497"/>
      <c r="H26" s="497"/>
      <c r="I26" s="497"/>
    </row>
    <row r="27" spans="2:21" x14ac:dyDescent="0.35">
      <c r="B27" s="497"/>
      <c r="C27" s="497"/>
      <c r="D27" s="497"/>
      <c r="E27" s="497"/>
      <c r="F27" s="497"/>
      <c r="G27" s="497"/>
      <c r="H27" s="497"/>
      <c r="I27" s="497"/>
      <c r="T27" s="5"/>
    </row>
    <row r="28" spans="2:21" ht="8.15" customHeight="1" thickBot="1" x14ac:dyDescent="0.4"/>
    <row r="29" spans="2:21" ht="15" thickBot="1" x14ac:dyDescent="0.4">
      <c r="B29" s="498" t="s">
        <v>2</v>
      </c>
      <c r="C29" s="500" t="s">
        <v>25</v>
      </c>
      <c r="D29" s="500"/>
      <c r="E29" s="500"/>
      <c r="F29" s="500"/>
      <c r="G29" s="501"/>
      <c r="H29" s="502" t="s">
        <v>4</v>
      </c>
      <c r="I29" s="501"/>
    </row>
    <row r="30" spans="2:21" ht="17.149999999999999" customHeight="1" thickBot="1" x14ac:dyDescent="0.4">
      <c r="B30" s="499"/>
      <c r="C30" s="6">
        <v>2024</v>
      </c>
      <c r="D30" s="6">
        <v>2025</v>
      </c>
      <c r="E30" s="155" t="s">
        <v>5</v>
      </c>
      <c r="F30" s="6">
        <v>2026</v>
      </c>
      <c r="G30" s="6" t="s">
        <v>6</v>
      </c>
      <c r="H30" s="6" t="s">
        <v>8</v>
      </c>
      <c r="I30" s="7" t="s">
        <v>7</v>
      </c>
      <c r="T30" s="2"/>
      <c r="U30" s="156"/>
    </row>
    <row r="31" spans="2:21" x14ac:dyDescent="0.35">
      <c r="B31" s="8" t="s">
        <v>9</v>
      </c>
      <c r="C31" s="10">
        <v>1351861125</v>
      </c>
      <c r="D31" s="10">
        <v>761652488</v>
      </c>
      <c r="E31" s="10">
        <v>2500000000</v>
      </c>
      <c r="F31" s="11">
        <v>1477950999.2811012</v>
      </c>
      <c r="G31" s="12">
        <f t="shared" ref="G31:G46" si="12">IFERROR(F31/E31,0)</f>
        <v>0.59118039971244052</v>
      </c>
      <c r="H31" s="13">
        <f t="shared" ref="H31:H46" si="13">IFERROR(F31/C31-1,0)</f>
        <v>9.3271321994040868E-2</v>
      </c>
      <c r="I31" s="14">
        <f t="shared" ref="I31:I46" si="14">IFERROR(F31/D31-1,0)</f>
        <v>0.94045318904164232</v>
      </c>
      <c r="T31" s="2"/>
      <c r="U31" s="156"/>
    </row>
    <row r="32" spans="2:21" x14ac:dyDescent="0.35">
      <c r="B32" s="8" t="s">
        <v>10</v>
      </c>
      <c r="C32" s="10">
        <v>1313326478</v>
      </c>
      <c r="D32" s="10">
        <v>1842823977</v>
      </c>
      <c r="E32" s="10">
        <v>2500000000</v>
      </c>
      <c r="F32" s="11">
        <v>1658312623.1571021</v>
      </c>
      <c r="G32" s="12">
        <f t="shared" si="12"/>
        <v>0.66332504926284086</v>
      </c>
      <c r="H32" s="15">
        <f t="shared" si="13"/>
        <v>0.26268117709959249</v>
      </c>
      <c r="I32" s="14">
        <f t="shared" si="14"/>
        <v>-0.10012424200344439</v>
      </c>
      <c r="T32" s="371"/>
      <c r="U32" s="156"/>
    </row>
    <row r="33" spans="1:27" x14ac:dyDescent="0.35">
      <c r="A33" s="3"/>
      <c r="B33" s="8" t="s">
        <v>11</v>
      </c>
      <c r="C33" s="10">
        <v>1843100790</v>
      </c>
      <c r="D33" s="10">
        <v>1501617641</v>
      </c>
      <c r="E33" s="10">
        <v>2500000000</v>
      </c>
      <c r="F33" s="11">
        <v>901188113.37590051</v>
      </c>
      <c r="G33" s="12">
        <f t="shared" si="12"/>
        <v>0.36047524535036019</v>
      </c>
      <c r="H33" s="15">
        <f t="shared" si="13"/>
        <v>-0.5110478394532616</v>
      </c>
      <c r="I33" s="14">
        <f t="shared" si="14"/>
        <v>-0.39985513704024167</v>
      </c>
      <c r="T33" s="2"/>
      <c r="U33" s="161"/>
    </row>
    <row r="34" spans="1:27" x14ac:dyDescent="0.35">
      <c r="B34" s="8" t="s">
        <v>12</v>
      </c>
      <c r="C34" s="10">
        <v>810730679</v>
      </c>
      <c r="D34" s="10">
        <v>1057406211</v>
      </c>
      <c r="E34" s="10">
        <v>2500000000</v>
      </c>
      <c r="F34" s="11">
        <v>1422555277.1048021</v>
      </c>
      <c r="G34" s="12">
        <f t="shared" si="12"/>
        <v>0.56902211084192089</v>
      </c>
      <c r="H34" s="15">
        <f t="shared" si="13"/>
        <v>0.75465825329252412</v>
      </c>
      <c r="I34" s="14">
        <f t="shared" si="14"/>
        <v>0.34532525183437013</v>
      </c>
      <c r="T34" s="3"/>
    </row>
    <row r="35" spans="1:27" x14ac:dyDescent="0.35">
      <c r="B35" s="8" t="s">
        <v>13</v>
      </c>
      <c r="C35" s="10">
        <v>1514360126</v>
      </c>
      <c r="D35" s="10">
        <v>1745544024</v>
      </c>
      <c r="E35" s="10">
        <v>2500000000</v>
      </c>
      <c r="F35" s="11">
        <v>1480398406.1559</v>
      </c>
      <c r="G35" s="12">
        <f t="shared" si="12"/>
        <v>0.59215936246236001</v>
      </c>
      <c r="H35" s="15">
        <f t="shared" si="13"/>
        <v>-2.242644880898037E-2</v>
      </c>
      <c r="I35" s="14">
        <f t="shared" si="14"/>
        <v>-0.15189855666688135</v>
      </c>
      <c r="T35" s="154"/>
    </row>
    <row r="36" spans="1:27" ht="15" thickBot="1" x14ac:dyDescent="0.4">
      <c r="B36" s="8" t="s">
        <v>14</v>
      </c>
      <c r="C36" s="17">
        <v>1861002962</v>
      </c>
      <c r="D36" s="17">
        <v>1281644123</v>
      </c>
      <c r="E36" s="10">
        <v>2500000000</v>
      </c>
      <c r="F36" s="11">
        <v>1701492036.6798997</v>
      </c>
      <c r="G36" s="18">
        <f t="shared" si="12"/>
        <v>0.68059681467195987</v>
      </c>
      <c r="H36" s="19">
        <f t="shared" si="13"/>
        <v>-8.5712343600289342E-2</v>
      </c>
      <c r="I36" s="14">
        <f t="shared" si="14"/>
        <v>0.32758540857437346</v>
      </c>
    </row>
    <row r="37" spans="1:27" ht="15" thickBot="1" x14ac:dyDescent="0.4">
      <c r="B37" s="20" t="s">
        <v>15</v>
      </c>
      <c r="C37" s="21">
        <f>SUM(C31:C36)</f>
        <v>8694382160</v>
      </c>
      <c r="D37" s="21">
        <f>SUM(D31:D36)</f>
        <v>8190688464</v>
      </c>
      <c r="E37" s="21">
        <f>SUM(E31:E36)</f>
        <v>15000000000</v>
      </c>
      <c r="F37" s="21">
        <f>SUM(F31:F36)</f>
        <v>8641897455.7547054</v>
      </c>
      <c r="G37" s="22">
        <f t="shared" si="12"/>
        <v>0.57612649705031371</v>
      </c>
      <c r="H37" s="23">
        <f t="shared" si="13"/>
        <v>-6.0366226466049833E-3</v>
      </c>
      <c r="I37" s="24">
        <f t="shared" si="14"/>
        <v>5.5088042200344356E-2</v>
      </c>
      <c r="T37" s="3"/>
      <c r="U37" s="154"/>
    </row>
    <row r="38" spans="1:27" x14ac:dyDescent="0.35">
      <c r="B38" s="25" t="s">
        <v>16</v>
      </c>
      <c r="C38" s="26">
        <v>1666498542</v>
      </c>
      <c r="D38" s="26">
        <v>1358009119</v>
      </c>
      <c r="E38" s="10">
        <v>2500000000</v>
      </c>
      <c r="F38" s="11">
        <v>1773839712.9135995</v>
      </c>
      <c r="G38" s="27">
        <f t="shared" si="12"/>
        <v>0.70953588516543975</v>
      </c>
      <c r="H38" s="13">
        <f t="shared" si="13"/>
        <v>6.441120001507894E-2</v>
      </c>
      <c r="I38" s="14">
        <f t="shared" si="14"/>
        <v>0.3062060394850703</v>
      </c>
    </row>
    <row r="39" spans="1:27" x14ac:dyDescent="0.35">
      <c r="B39" s="28" t="s">
        <v>17</v>
      </c>
      <c r="C39" s="10">
        <v>1717173680</v>
      </c>
      <c r="D39" s="10">
        <v>1683837778</v>
      </c>
      <c r="E39" s="10">
        <v>2500000000</v>
      </c>
      <c r="F39" s="11">
        <v>829257148.90930009</v>
      </c>
      <c r="G39" s="12">
        <f t="shared" si="12"/>
        <v>0.33170285956372003</v>
      </c>
      <c r="H39" s="15">
        <f t="shared" si="13"/>
        <v>-0.51708021234677903</v>
      </c>
      <c r="I39" s="14">
        <f t="shared" si="14"/>
        <v>-0.5075195724054482</v>
      </c>
    </row>
    <row r="40" spans="1:27" x14ac:dyDescent="0.35">
      <c r="B40" s="28" t="s">
        <v>18</v>
      </c>
      <c r="C40" s="10">
        <v>1702529602</v>
      </c>
      <c r="D40" s="10">
        <v>1577780609</v>
      </c>
      <c r="E40" s="10">
        <v>2500000000</v>
      </c>
      <c r="F40" s="11">
        <v>0</v>
      </c>
      <c r="G40" s="12">
        <f t="shared" si="12"/>
        <v>0</v>
      </c>
      <c r="H40" s="15">
        <f t="shared" si="13"/>
        <v>-1</v>
      </c>
      <c r="I40" s="14">
        <f t="shared" si="14"/>
        <v>-1</v>
      </c>
      <c r="K40" s="3"/>
    </row>
    <row r="41" spans="1:27" x14ac:dyDescent="0.35">
      <c r="B41" s="28" t="s">
        <v>19</v>
      </c>
      <c r="C41" s="10">
        <v>1095384981</v>
      </c>
      <c r="D41" s="10">
        <v>2019064235</v>
      </c>
      <c r="E41" s="10">
        <v>2500000000</v>
      </c>
      <c r="F41" s="11">
        <v>0</v>
      </c>
      <c r="G41" s="12">
        <f t="shared" si="12"/>
        <v>0</v>
      </c>
      <c r="H41" s="15">
        <f t="shared" si="13"/>
        <v>-1</v>
      </c>
      <c r="I41" s="14">
        <f t="shared" si="14"/>
        <v>-1</v>
      </c>
      <c r="K41" s="3"/>
    </row>
    <row r="42" spans="1:27" x14ac:dyDescent="0.35">
      <c r="B42" s="28" t="s">
        <v>20</v>
      </c>
      <c r="C42" s="10">
        <v>1354726476</v>
      </c>
      <c r="D42" s="10">
        <v>2118384627</v>
      </c>
      <c r="E42" s="10">
        <v>2500000000</v>
      </c>
      <c r="F42" s="11">
        <v>0</v>
      </c>
      <c r="G42" s="12">
        <f t="shared" si="12"/>
        <v>0</v>
      </c>
      <c r="H42" s="15">
        <f t="shared" si="13"/>
        <v>-1</v>
      </c>
      <c r="I42" s="14">
        <f t="shared" si="14"/>
        <v>-1</v>
      </c>
      <c r="K42" s="3"/>
    </row>
    <row r="43" spans="1:27" ht="15" thickBot="1" x14ac:dyDescent="0.4">
      <c r="B43" s="29" t="s">
        <v>21</v>
      </c>
      <c r="C43" s="11">
        <v>1789557012</v>
      </c>
      <c r="D43" s="11">
        <v>2362184036</v>
      </c>
      <c r="E43" s="10">
        <v>2500000000</v>
      </c>
      <c r="F43" s="11">
        <v>0</v>
      </c>
      <c r="G43" s="18">
        <f t="shared" si="12"/>
        <v>0</v>
      </c>
      <c r="H43" s="19">
        <f t="shared" si="13"/>
        <v>-1</v>
      </c>
      <c r="I43" s="14">
        <f t="shared" si="14"/>
        <v>-1</v>
      </c>
      <c r="K43" s="3"/>
    </row>
    <row r="44" spans="1:27" ht="15" thickBot="1" x14ac:dyDescent="0.4">
      <c r="B44" s="20" t="s">
        <v>22</v>
      </c>
      <c r="C44" s="21">
        <f>SUM(C38:C43)</f>
        <v>9325870293</v>
      </c>
      <c r="D44" s="21">
        <f>SUM(D38:D43)</f>
        <v>11119260404</v>
      </c>
      <c r="E44" s="21">
        <f>SUM(E38:E43)</f>
        <v>15000000000</v>
      </c>
      <c r="F44" s="21">
        <f>SUM(F38:F43)</f>
        <v>2603096861.8228998</v>
      </c>
      <c r="G44" s="22">
        <f t="shared" si="12"/>
        <v>0.17353979078819332</v>
      </c>
      <c r="H44" s="23">
        <f t="shared" si="13"/>
        <v>-0.72087357211296577</v>
      </c>
      <c r="I44" s="24">
        <f t="shared" si="14"/>
        <v>-0.76589298503284697</v>
      </c>
      <c r="K44" s="3"/>
    </row>
    <row r="45" spans="1:27" ht="15" thickBot="1" x14ac:dyDescent="0.4">
      <c r="B45" s="30" t="s">
        <v>23</v>
      </c>
      <c r="C45" s="31">
        <f>C37+C44</f>
        <v>18020252453</v>
      </c>
      <c r="D45" s="31">
        <f>D37+D44</f>
        <v>19309948868</v>
      </c>
      <c r="E45" s="31">
        <f>E37+E44</f>
        <v>30000000000</v>
      </c>
      <c r="F45" s="32">
        <f>F37+F44</f>
        <v>11244994317.577606</v>
      </c>
      <c r="G45" s="33">
        <f t="shared" si="12"/>
        <v>0.37483314391925354</v>
      </c>
      <c r="H45" s="34">
        <f t="shared" si="13"/>
        <v>-0.37598020078206251</v>
      </c>
      <c r="I45" s="35">
        <f t="shared" si="14"/>
        <v>-0.41765799617353982</v>
      </c>
      <c r="K45" s="3"/>
    </row>
    <row r="46" spans="1:27" ht="15.5" thickTop="1" thickBot="1" x14ac:dyDescent="0.4">
      <c r="B46" s="36" t="s">
        <v>24</v>
      </c>
      <c r="C46" s="37">
        <f>IFERROR(AVERAGE(C31:C36,C38:C43),0)</f>
        <v>1501687704.4166667</v>
      </c>
      <c r="D46" s="37">
        <f>IFERROR(AVERAGE(D31:D36,D38:D43),0)</f>
        <v>1609162405.6666667</v>
      </c>
      <c r="E46" s="37">
        <f>IFERROR(AVERAGE(E31:E36,E38:E43),0)</f>
        <v>2500000000</v>
      </c>
      <c r="F46" s="38">
        <f>IFERROR(AVERAGE(F31:F36,F38:F43),0)</f>
        <v>937082859.79813373</v>
      </c>
      <c r="G46" s="39">
        <f t="shared" si="12"/>
        <v>0.37483314391925349</v>
      </c>
      <c r="H46" s="40">
        <f t="shared" si="13"/>
        <v>-0.37598020078206262</v>
      </c>
      <c r="I46" s="41">
        <f t="shared" si="14"/>
        <v>-0.41765799617353994</v>
      </c>
      <c r="K46" s="3"/>
    </row>
    <row r="47" spans="1:27" x14ac:dyDescent="0.35">
      <c r="F47" s="458"/>
      <c r="K47" s="3"/>
    </row>
    <row r="48" spans="1:27" ht="14.5" customHeight="1" x14ac:dyDescent="0.35">
      <c r="B48" s="497" t="s">
        <v>148</v>
      </c>
      <c r="C48" s="497"/>
      <c r="D48" s="497"/>
      <c r="E48" s="497"/>
      <c r="F48" s="497"/>
      <c r="G48" s="497"/>
      <c r="H48" s="497"/>
      <c r="I48" s="497"/>
      <c r="K48" s="3"/>
      <c r="T48" s="364"/>
      <c r="U48" s="365"/>
      <c r="V48" s="366"/>
      <c r="Y48" s="364"/>
      <c r="Z48" s="365"/>
      <c r="AA48" s="366"/>
    </row>
    <row r="49" spans="1:21" ht="14.5" customHeight="1" x14ac:dyDescent="0.35">
      <c r="B49" s="497"/>
      <c r="C49" s="497"/>
      <c r="D49" s="497"/>
      <c r="E49" s="497"/>
      <c r="F49" s="497"/>
      <c r="G49" s="497"/>
      <c r="H49" s="497"/>
      <c r="I49" s="497"/>
      <c r="T49" s="5"/>
    </row>
    <row r="50" spans="1:21" ht="8.15" customHeight="1" thickBot="1" x14ac:dyDescent="0.4"/>
    <row r="51" spans="1:21" ht="15" customHeight="1" thickBot="1" x14ac:dyDescent="0.4">
      <c r="B51" s="498" t="s">
        <v>2</v>
      </c>
      <c r="C51" s="500" t="s">
        <v>148</v>
      </c>
      <c r="D51" s="500"/>
      <c r="E51" s="500"/>
      <c r="F51" s="500"/>
      <c r="G51" s="501"/>
      <c r="H51" s="502" t="s">
        <v>4</v>
      </c>
      <c r="I51" s="501"/>
      <c r="K51" s="3">
        <f>SUM(F36,F58)</f>
        <v>2300216870.7704997</v>
      </c>
    </row>
    <row r="52" spans="1:21" ht="17.149999999999999" customHeight="1" thickBot="1" x14ac:dyDescent="0.4">
      <c r="B52" s="499"/>
      <c r="C52" s="6">
        <v>2024</v>
      </c>
      <c r="D52" s="6">
        <v>2025</v>
      </c>
      <c r="E52" s="155" t="s">
        <v>5</v>
      </c>
      <c r="F52" s="6">
        <v>2026</v>
      </c>
      <c r="G52" s="6" t="s">
        <v>6</v>
      </c>
      <c r="H52" s="6" t="s">
        <v>8</v>
      </c>
      <c r="I52" s="7" t="s">
        <v>7</v>
      </c>
      <c r="K52" s="3">
        <f>SUM(F38,F60)</f>
        <v>2030192920.1830995</v>
      </c>
      <c r="T52" s="2"/>
      <c r="U52" s="156"/>
    </row>
    <row r="53" spans="1:21" x14ac:dyDescent="0.35">
      <c r="B53" s="8" t="s">
        <v>9</v>
      </c>
      <c r="C53" s="10">
        <v>222063975</v>
      </c>
      <c r="D53" s="10">
        <v>233416696</v>
      </c>
      <c r="E53" s="10">
        <v>500000000</v>
      </c>
      <c r="F53" s="11">
        <v>333524448.43089998</v>
      </c>
      <c r="G53" s="12">
        <f t="shared" ref="G53:G68" si="15">IFERROR(F53/E53,0)</f>
        <v>0.66704889686179991</v>
      </c>
      <c r="H53" s="13">
        <f t="shared" ref="H53:H68" si="16">IFERROR(F53/C53-1,0)</f>
        <v>0.5019295607533818</v>
      </c>
      <c r="I53" s="14">
        <f t="shared" ref="I53:I68" si="17">IFERROR(F53/D53-1,0)</f>
        <v>0.42887999935917165</v>
      </c>
      <c r="T53" s="2"/>
      <c r="U53" s="156"/>
    </row>
    <row r="54" spans="1:21" x14ac:dyDescent="0.35">
      <c r="B54" s="8" t="s">
        <v>10</v>
      </c>
      <c r="C54" s="10">
        <v>193420457</v>
      </c>
      <c r="D54" s="10">
        <v>293631601</v>
      </c>
      <c r="E54" s="10">
        <v>500000000</v>
      </c>
      <c r="F54" s="11">
        <v>456586959.66439998</v>
      </c>
      <c r="G54" s="12">
        <f t="shared" si="15"/>
        <v>0.91317391932879999</v>
      </c>
      <c r="H54" s="15">
        <f t="shared" si="16"/>
        <v>1.3605929111438297</v>
      </c>
      <c r="I54" s="14">
        <f t="shared" si="17"/>
        <v>0.55496533107960677</v>
      </c>
      <c r="T54" s="2"/>
      <c r="U54" s="156"/>
    </row>
    <row r="55" spans="1:21" x14ac:dyDescent="0.35">
      <c r="A55" s="3"/>
      <c r="B55" s="8" t="s">
        <v>11</v>
      </c>
      <c r="C55" s="10">
        <v>195593594</v>
      </c>
      <c r="D55" s="10">
        <v>232012066</v>
      </c>
      <c r="E55" s="10">
        <v>500000000</v>
      </c>
      <c r="F55" s="11">
        <v>539074873.41400003</v>
      </c>
      <c r="G55" s="12">
        <f t="shared" si="15"/>
        <v>1.0781497468280001</v>
      </c>
      <c r="H55" s="15">
        <f t="shared" si="16"/>
        <v>1.7560967738749156</v>
      </c>
      <c r="I55" s="14">
        <f t="shared" si="17"/>
        <v>1.3234777514286695</v>
      </c>
      <c r="T55" s="2"/>
      <c r="U55" s="161"/>
    </row>
    <row r="56" spans="1:21" x14ac:dyDescent="0.35">
      <c r="B56" s="8" t="s">
        <v>12</v>
      </c>
      <c r="C56" s="10">
        <v>192103231</v>
      </c>
      <c r="D56" s="10">
        <v>482409262</v>
      </c>
      <c r="E56" s="10">
        <v>500000000</v>
      </c>
      <c r="F56" s="11">
        <v>386664654.40489995</v>
      </c>
      <c r="G56" s="12">
        <f t="shared" si="15"/>
        <v>0.77332930880979989</v>
      </c>
      <c r="H56" s="15">
        <f t="shared" si="16"/>
        <v>1.0127962054157225</v>
      </c>
      <c r="I56" s="14">
        <f t="shared" si="17"/>
        <v>-0.19847174409163815</v>
      </c>
    </row>
    <row r="57" spans="1:21" x14ac:dyDescent="0.35">
      <c r="B57" s="8" t="s">
        <v>13</v>
      </c>
      <c r="C57" s="10">
        <v>243071716</v>
      </c>
      <c r="D57" s="10">
        <v>245160569</v>
      </c>
      <c r="E57" s="10">
        <v>500000000</v>
      </c>
      <c r="F57" s="11">
        <v>227394278.03629991</v>
      </c>
      <c r="G57" s="12">
        <f t="shared" si="15"/>
        <v>0.45478855607259983</v>
      </c>
      <c r="H57" s="15">
        <f t="shared" si="16"/>
        <v>-6.4497170718538444E-2</v>
      </c>
      <c r="I57" s="14">
        <f t="shared" si="17"/>
        <v>-7.2467978990944815E-2</v>
      </c>
      <c r="L57" s="154"/>
    </row>
    <row r="58" spans="1:21" ht="15" thickBot="1" x14ac:dyDescent="0.4">
      <c r="A58" s="3"/>
      <c r="B58" s="8" t="s">
        <v>14</v>
      </c>
      <c r="C58" s="17">
        <v>276096441</v>
      </c>
      <c r="D58" s="17">
        <v>232189494</v>
      </c>
      <c r="E58" s="10">
        <v>500000000</v>
      </c>
      <c r="F58" s="11">
        <v>598724834.09060001</v>
      </c>
      <c r="G58" s="18">
        <f t="shared" si="15"/>
        <v>1.1974496681812001</v>
      </c>
      <c r="H58" s="19">
        <f t="shared" si="16"/>
        <v>1.1685351391059764</v>
      </c>
      <c r="I58" s="14">
        <f t="shared" si="17"/>
        <v>1.5786043277677329</v>
      </c>
    </row>
    <row r="59" spans="1:21" ht="15" thickBot="1" x14ac:dyDescent="0.4">
      <c r="A59" s="154"/>
      <c r="B59" s="20" t="s">
        <v>15</v>
      </c>
      <c r="C59" s="21">
        <f>SUM(C53:C58)</f>
        <v>1322349414</v>
      </c>
      <c r="D59" s="21">
        <f>SUM(D53:D58)</f>
        <v>1718819688</v>
      </c>
      <c r="E59" s="21">
        <f>SUM(E53:E58)</f>
        <v>3000000000</v>
      </c>
      <c r="F59" s="21">
        <f>SUM(F53:F58)</f>
        <v>2541970048.0410995</v>
      </c>
      <c r="G59" s="22">
        <f t="shared" si="15"/>
        <v>0.84732334934703313</v>
      </c>
      <c r="H59" s="23">
        <f t="shared" si="16"/>
        <v>0.92231343783171948</v>
      </c>
      <c r="I59" s="24">
        <f t="shared" si="17"/>
        <v>0.4789044283050472</v>
      </c>
    </row>
    <row r="60" spans="1:21" x14ac:dyDescent="0.35">
      <c r="B60" s="25" t="s">
        <v>16</v>
      </c>
      <c r="C60" s="26">
        <v>203130336</v>
      </c>
      <c r="D60" s="26">
        <v>560620155</v>
      </c>
      <c r="E60" s="10">
        <v>500000000</v>
      </c>
      <c r="F60" s="11">
        <v>256353207.26949996</v>
      </c>
      <c r="G60" s="27">
        <f t="shared" si="15"/>
        <v>0.5127064145389999</v>
      </c>
      <c r="H60" s="13">
        <f t="shared" si="16"/>
        <v>0.26201340635551329</v>
      </c>
      <c r="I60" s="14">
        <f t="shared" si="17"/>
        <v>-0.54273280226698239</v>
      </c>
    </row>
    <row r="61" spans="1:21" x14ac:dyDescent="0.35">
      <c r="B61" s="28" t="s">
        <v>17</v>
      </c>
      <c r="C61" s="10">
        <v>336910977</v>
      </c>
      <c r="D61" s="10">
        <v>543338621</v>
      </c>
      <c r="E61" s="10">
        <v>500000000</v>
      </c>
      <c r="F61" s="11">
        <v>213905587.6627</v>
      </c>
      <c r="G61" s="12">
        <f t="shared" si="15"/>
        <v>0.42781117532539997</v>
      </c>
      <c r="H61" s="15">
        <f t="shared" si="16"/>
        <v>-0.36509760065579577</v>
      </c>
      <c r="I61" s="14">
        <f t="shared" si="17"/>
        <v>-0.60631256569059544</v>
      </c>
    </row>
    <row r="62" spans="1:21" x14ac:dyDescent="0.35">
      <c r="B62" s="28" t="s">
        <v>18</v>
      </c>
      <c r="C62" s="10">
        <v>448104767</v>
      </c>
      <c r="D62" s="10">
        <v>444301138</v>
      </c>
      <c r="E62" s="10">
        <v>500000000</v>
      </c>
      <c r="F62" s="11">
        <v>0</v>
      </c>
      <c r="G62" s="12">
        <f t="shared" si="15"/>
        <v>0</v>
      </c>
      <c r="H62" s="15">
        <f t="shared" si="16"/>
        <v>-1</v>
      </c>
      <c r="I62" s="14">
        <f t="shared" si="17"/>
        <v>-1</v>
      </c>
    </row>
    <row r="63" spans="1:21" x14ac:dyDescent="0.35">
      <c r="B63" s="28" t="s">
        <v>19</v>
      </c>
      <c r="C63" s="10">
        <v>319430128</v>
      </c>
      <c r="D63" s="10">
        <v>334861118</v>
      </c>
      <c r="E63" s="10">
        <v>500000000</v>
      </c>
      <c r="F63" s="11">
        <v>0</v>
      </c>
      <c r="G63" s="12">
        <f t="shared" si="15"/>
        <v>0</v>
      </c>
      <c r="H63" s="15">
        <f t="shared" si="16"/>
        <v>-1</v>
      </c>
      <c r="I63" s="14">
        <f t="shared" si="17"/>
        <v>-1</v>
      </c>
    </row>
    <row r="64" spans="1:21" x14ac:dyDescent="0.35">
      <c r="B64" s="28" t="s">
        <v>20</v>
      </c>
      <c r="C64" s="10">
        <v>469817167</v>
      </c>
      <c r="D64" s="10">
        <v>355694977</v>
      </c>
      <c r="E64" s="10">
        <v>500000000</v>
      </c>
      <c r="F64" s="11">
        <v>0</v>
      </c>
      <c r="G64" s="12">
        <f t="shared" si="15"/>
        <v>0</v>
      </c>
      <c r="H64" s="15">
        <f t="shared" si="16"/>
        <v>-1</v>
      </c>
      <c r="I64" s="14">
        <f t="shared" si="17"/>
        <v>-1</v>
      </c>
    </row>
    <row r="65" spans="2:9" ht="15" thickBot="1" x14ac:dyDescent="0.4">
      <c r="B65" s="29" t="s">
        <v>21</v>
      </c>
      <c r="C65" s="11">
        <v>308072151</v>
      </c>
      <c r="D65" s="11">
        <v>269374610</v>
      </c>
      <c r="E65" s="10">
        <v>500000000</v>
      </c>
      <c r="F65" s="11">
        <v>0</v>
      </c>
      <c r="G65" s="18">
        <f t="shared" si="15"/>
        <v>0</v>
      </c>
      <c r="H65" s="19">
        <f t="shared" si="16"/>
        <v>-1</v>
      </c>
      <c r="I65" s="14">
        <f t="shared" si="17"/>
        <v>-1</v>
      </c>
    </row>
    <row r="66" spans="2:9" ht="15" thickBot="1" x14ac:dyDescent="0.4">
      <c r="B66" s="20" t="s">
        <v>22</v>
      </c>
      <c r="C66" s="21">
        <f>SUM(C60:C65)</f>
        <v>2085465526</v>
      </c>
      <c r="D66" s="21">
        <f>SUM(D60:D65)</f>
        <v>2508190619</v>
      </c>
      <c r="E66" s="21">
        <f>SUM(E60:E65)</f>
        <v>3000000000</v>
      </c>
      <c r="F66" s="21">
        <f>SUM(F60:F65)</f>
        <v>470258794.93219995</v>
      </c>
      <c r="G66" s="22">
        <f t="shared" si="15"/>
        <v>0.15675293164406665</v>
      </c>
      <c r="H66" s="23">
        <f t="shared" si="16"/>
        <v>-0.77450656025267717</v>
      </c>
      <c r="I66" s="24">
        <f t="shared" si="17"/>
        <v>-0.81251074325455808</v>
      </c>
    </row>
    <row r="67" spans="2:9" ht="15" thickBot="1" x14ac:dyDescent="0.4">
      <c r="B67" s="30" t="s">
        <v>23</v>
      </c>
      <c r="C67" s="31">
        <f>C59+C66</f>
        <v>3407814940</v>
      </c>
      <c r="D67" s="31">
        <f>D59+D66</f>
        <v>4227010307</v>
      </c>
      <c r="E67" s="31">
        <f>E59+E66</f>
        <v>6000000000</v>
      </c>
      <c r="F67" s="32">
        <f>F59+F66</f>
        <v>3012228842.9732995</v>
      </c>
      <c r="G67" s="33">
        <f t="shared" si="15"/>
        <v>0.50203814049554996</v>
      </c>
      <c r="H67" s="34">
        <f t="shared" si="16"/>
        <v>-0.11608203614093571</v>
      </c>
      <c r="I67" s="35">
        <f t="shared" si="17"/>
        <v>-0.28738549844910533</v>
      </c>
    </row>
    <row r="68" spans="2:9" ht="15.5" thickTop="1" thickBot="1" x14ac:dyDescent="0.4">
      <c r="B68" s="36" t="s">
        <v>24</v>
      </c>
      <c r="C68" s="37">
        <f>IFERROR(AVERAGE(C53:C58,C60:C65),0)</f>
        <v>283984578.33333331</v>
      </c>
      <c r="D68" s="37">
        <f>IFERROR(AVERAGE(D53:D58,D60:D65),0)</f>
        <v>352250858.91666669</v>
      </c>
      <c r="E68" s="37">
        <f>IFERROR(AVERAGE(E53:E58,E60:E65),0)</f>
        <v>500000000</v>
      </c>
      <c r="F68" s="38">
        <f>IFERROR(AVERAGE(F53:F58,F60:F65),0)</f>
        <v>251019070.24777496</v>
      </c>
      <c r="G68" s="39">
        <f t="shared" si="15"/>
        <v>0.50203814049554996</v>
      </c>
      <c r="H68" s="40">
        <f t="shared" si="16"/>
        <v>-0.1160820361409356</v>
      </c>
      <c r="I68" s="41">
        <f t="shared" si="17"/>
        <v>-0.28738549844910533</v>
      </c>
    </row>
  </sheetData>
  <mergeCells count="21">
    <mergeCell ref="T5:U5"/>
    <mergeCell ref="B29:B30"/>
    <mergeCell ref="H29:I29"/>
    <mergeCell ref="C29:G29"/>
    <mergeCell ref="B2:I3"/>
    <mergeCell ref="B5:B6"/>
    <mergeCell ref="C5:G5"/>
    <mergeCell ref="H5:I5"/>
    <mergeCell ref="L5:S5"/>
    <mergeCell ref="K2:U3"/>
    <mergeCell ref="K5:K7"/>
    <mergeCell ref="M6:M7"/>
    <mergeCell ref="L6:L7"/>
    <mergeCell ref="U6:U7"/>
    <mergeCell ref="T6:T7"/>
    <mergeCell ref="N6:S6"/>
    <mergeCell ref="B48:I49"/>
    <mergeCell ref="B51:B52"/>
    <mergeCell ref="C51:G51"/>
    <mergeCell ref="H51:I51"/>
    <mergeCell ref="B26:I27"/>
  </mergeCells>
  <conditionalFormatting sqref="G7:G22">
    <cfRule type="cellIs" dxfId="171" priority="69" stopIfTrue="1" operator="lessThan">
      <formula>0.9</formula>
    </cfRule>
    <cfRule type="cellIs" dxfId="170" priority="70" stopIfTrue="1" operator="greaterThan">
      <formula>1</formula>
    </cfRule>
    <cfRule type="cellIs" dxfId="169" priority="71" stopIfTrue="1" operator="greaterThan">
      <formula>0.9</formula>
    </cfRule>
  </conditionalFormatting>
  <conditionalFormatting sqref="G31:G46">
    <cfRule type="cellIs" dxfId="168" priority="49" stopIfTrue="1" operator="lessThan">
      <formula>0.9</formula>
    </cfRule>
    <cfRule type="cellIs" dxfId="167" priority="50" stopIfTrue="1" operator="greaterThan">
      <formula>1</formula>
    </cfRule>
    <cfRule type="cellIs" dxfId="166" priority="51" stopIfTrue="1" operator="greaterThan">
      <formula>0.9</formula>
    </cfRule>
  </conditionalFormatting>
  <conditionalFormatting sqref="G53:G68">
    <cfRule type="cellIs" dxfId="165" priority="13" stopIfTrue="1" operator="lessThan">
      <formula>0.9</formula>
    </cfRule>
    <cfRule type="cellIs" dxfId="164" priority="14" stopIfTrue="1" operator="greaterThan">
      <formula>1</formula>
    </cfRule>
    <cfRule type="cellIs" dxfId="163" priority="15" stopIfTrue="1" operator="greaterThan">
      <formula>0.9</formula>
    </cfRule>
  </conditionalFormatting>
  <conditionalFormatting sqref="H7:I22">
    <cfRule type="cellIs" dxfId="162" priority="72" operator="greaterThan">
      <formula>0</formula>
    </cfRule>
    <cfRule type="cellIs" dxfId="161" priority="73" operator="lessThan">
      <formula>0</formula>
    </cfRule>
  </conditionalFormatting>
  <conditionalFormatting sqref="H31:I46">
    <cfRule type="cellIs" dxfId="160" priority="52" operator="greaterThan">
      <formula>0</formula>
    </cfRule>
    <cfRule type="cellIs" dxfId="159" priority="53" operator="lessThan">
      <formula>0</formula>
    </cfRule>
  </conditionalFormatting>
  <conditionalFormatting sqref="H53:I68">
    <cfRule type="cellIs" dxfId="158" priority="16" operator="greaterThan">
      <formula>0</formula>
    </cfRule>
    <cfRule type="cellIs" dxfId="157" priority="17" operator="lessThan">
      <formula>0</formula>
    </cfRule>
  </conditionalFormatting>
  <conditionalFormatting sqref="S8:S23">
    <cfRule type="cellIs" dxfId="156" priority="64" stopIfTrue="1" operator="lessThan">
      <formula>0.9</formula>
    </cfRule>
    <cfRule type="cellIs" dxfId="155" priority="65" stopIfTrue="1" operator="greaterThan">
      <formula>1</formula>
    </cfRule>
    <cfRule type="cellIs" dxfId="154" priority="66" stopIfTrue="1" operator="greaterThan">
      <formula>0.9</formula>
    </cfRule>
  </conditionalFormatting>
  <conditionalFormatting sqref="T8:U23">
    <cfRule type="cellIs" dxfId="153" priority="67" operator="greaterThan">
      <formula>0</formula>
    </cfRule>
    <cfRule type="cellIs" dxfId="152" priority="68" operator="lessThan">
      <formula>0</formula>
    </cfRule>
  </conditionalFormatting>
  <conditionalFormatting sqref="V48">
    <cfRule type="cellIs" dxfId="151" priority="20" operator="greaterThan">
      <formula>0</formula>
    </cfRule>
    <cfRule type="cellIs" dxfId="150" priority="21" operator="lessThan">
      <formula>0</formula>
    </cfRule>
  </conditionalFormatting>
  <conditionalFormatting sqref="AA48">
    <cfRule type="cellIs" dxfId="149" priority="18" operator="greaterThan">
      <formula>0</formula>
    </cfRule>
    <cfRule type="cellIs" dxfId="148" priority="19" operator="lessThan">
      <formula>0</formula>
    </cfRule>
  </conditionalFormatting>
  <printOptions horizontalCentered="1"/>
  <pageMargins left="0" right="0" top="0.19685039370078741" bottom="0" header="0" footer="0"/>
  <pageSetup paperSize="9" scale="58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2FB8D-7FE4-4511-A9AD-32B50E034F4A}">
  <sheetPr>
    <tabColor rgb="FFC00000"/>
  </sheetPr>
  <dimension ref="A3:AG30"/>
  <sheetViews>
    <sheetView showGridLines="0" workbookViewId="0">
      <selection activeCell="I14" sqref="I14"/>
    </sheetView>
  </sheetViews>
  <sheetFormatPr defaultRowHeight="14.5" x14ac:dyDescent="0.35"/>
  <cols>
    <col min="1" max="1" width="12.453125" bestFit="1" customWidth="1"/>
    <col min="2" max="2" width="2.54296875" customWidth="1"/>
    <col min="3" max="3" width="9.81640625" style="1" bestFit="1" customWidth="1"/>
    <col min="4" max="6" width="16.1796875" customWidth="1"/>
    <col min="7" max="7" width="7.81640625" customWidth="1"/>
    <col min="8" max="8" width="2.54296875" customWidth="1"/>
    <col min="9" max="9" width="12.453125" bestFit="1" customWidth="1"/>
    <col min="10" max="10" width="16.1796875" customWidth="1"/>
    <col min="11" max="11" width="7.81640625" customWidth="1"/>
    <col min="12" max="13" width="9.1796875" customWidth="1"/>
    <col min="14" max="14" width="2.54296875" customWidth="1"/>
    <col min="15" max="15" width="14.1796875" customWidth="1"/>
    <col min="16" max="16" width="2.81640625" customWidth="1"/>
    <col min="17" max="17" width="9.81640625" bestFit="1" customWidth="1"/>
    <col min="18" max="21" width="16.1796875" customWidth="1"/>
    <col min="22" max="22" width="7.81640625" style="1" customWidth="1"/>
    <col min="23" max="24" width="9.1796875" style="1" customWidth="1"/>
    <col min="25" max="25" width="2.54296875" customWidth="1"/>
    <col min="26" max="26" width="9.81640625" bestFit="1" customWidth="1"/>
    <col min="27" max="30" width="16.1796875" customWidth="1"/>
    <col min="31" max="31" width="7.81640625" style="1" customWidth="1"/>
    <col min="32" max="33" width="9.1796875" style="1" customWidth="1"/>
    <col min="34" max="34" width="2.81640625" customWidth="1"/>
    <col min="35" max="35" width="13.1796875" bestFit="1" customWidth="1"/>
  </cols>
  <sheetData>
    <row r="3" spans="1:33" ht="14.5" customHeight="1" x14ac:dyDescent="0.35">
      <c r="C3" s="497" t="s">
        <v>26</v>
      </c>
      <c r="D3" s="497"/>
      <c r="E3" s="497"/>
      <c r="F3" s="497"/>
      <c r="G3" s="497"/>
      <c r="V3"/>
      <c r="W3"/>
      <c r="X3"/>
      <c r="AE3"/>
      <c r="AF3"/>
      <c r="AG3"/>
    </row>
    <row r="4" spans="1:33" ht="14.5" customHeight="1" x14ac:dyDescent="0.35">
      <c r="C4" s="497"/>
      <c r="D4" s="497"/>
      <c r="E4" s="497"/>
      <c r="F4" s="497"/>
      <c r="G4" s="497"/>
      <c r="V4"/>
      <c r="W4"/>
      <c r="X4"/>
      <c r="AE4"/>
      <c r="AF4"/>
      <c r="AG4"/>
    </row>
    <row r="5" spans="1:33" ht="15" thickBot="1" x14ac:dyDescent="0.4">
      <c r="C5"/>
      <c r="V5"/>
      <c r="W5"/>
      <c r="X5"/>
      <c r="AE5"/>
      <c r="AF5"/>
      <c r="AG5"/>
    </row>
    <row r="6" spans="1:33" ht="15" customHeight="1" thickBot="1" x14ac:dyDescent="0.4">
      <c r="C6" s="498" t="s">
        <v>2</v>
      </c>
      <c r="D6" s="500" t="s">
        <v>27</v>
      </c>
      <c r="E6" s="500"/>
      <c r="F6" s="500"/>
      <c r="G6" s="501"/>
      <c r="Q6" s="1"/>
      <c r="R6" s="1"/>
      <c r="S6" s="1"/>
      <c r="V6"/>
      <c r="W6"/>
      <c r="X6"/>
      <c r="Z6" s="1"/>
      <c r="AA6" s="1"/>
      <c r="AB6" s="1"/>
      <c r="AE6"/>
      <c r="AF6"/>
      <c r="AG6"/>
    </row>
    <row r="7" spans="1:33" ht="15" thickBot="1" x14ac:dyDescent="0.4">
      <c r="C7" s="499"/>
      <c r="D7" s="6">
        <v>2025</v>
      </c>
      <c r="E7" s="155" t="s">
        <v>5</v>
      </c>
      <c r="F7" s="6">
        <v>2026</v>
      </c>
      <c r="G7" s="6" t="s">
        <v>6</v>
      </c>
      <c r="Q7" s="1"/>
      <c r="R7" s="1"/>
      <c r="S7" s="1"/>
      <c r="V7"/>
      <c r="W7"/>
      <c r="X7"/>
      <c r="Z7" s="1"/>
      <c r="AA7" s="1"/>
      <c r="AB7" s="1"/>
      <c r="AE7"/>
      <c r="AF7"/>
      <c r="AG7"/>
    </row>
    <row r="8" spans="1:33" x14ac:dyDescent="0.35">
      <c r="C8" s="8" t="s">
        <v>9</v>
      </c>
      <c r="D8" s="10">
        <v>0</v>
      </c>
      <c r="E8" s="10">
        <v>1040000000</v>
      </c>
      <c r="F8" s="11">
        <v>152332443</v>
      </c>
      <c r="G8" s="12">
        <f t="shared" ref="G8:G22" si="0">IFERROR(F8/E8,0)</f>
        <v>0.14647350288461539</v>
      </c>
      <c r="Q8" s="1"/>
      <c r="R8" s="1"/>
      <c r="S8" s="1"/>
      <c r="V8"/>
      <c r="W8"/>
      <c r="X8"/>
      <c r="Z8" s="1"/>
      <c r="AA8" s="1"/>
      <c r="AB8" s="1"/>
      <c r="AE8"/>
      <c r="AF8"/>
      <c r="AG8"/>
    </row>
    <row r="9" spans="1:33" x14ac:dyDescent="0.35">
      <c r="C9" s="8" t="s">
        <v>10</v>
      </c>
      <c r="D9" s="10">
        <v>0</v>
      </c>
      <c r="E9" s="10">
        <v>1040000000</v>
      </c>
      <c r="F9" s="11">
        <v>211302201.9277001</v>
      </c>
      <c r="G9" s="12">
        <f t="shared" si="0"/>
        <v>0.2031751941612501</v>
      </c>
      <c r="Q9" s="1"/>
      <c r="R9" s="1"/>
      <c r="S9" s="1"/>
      <c r="V9"/>
      <c r="W9"/>
      <c r="X9"/>
      <c r="Z9" s="1"/>
      <c r="AA9" s="1"/>
      <c r="AB9" s="1"/>
      <c r="AE9"/>
      <c r="AF9"/>
      <c r="AG9"/>
    </row>
    <row r="10" spans="1:33" x14ac:dyDescent="0.35">
      <c r="A10" s="3"/>
      <c r="C10" s="8" t="s">
        <v>11</v>
      </c>
      <c r="D10" s="10">
        <v>0</v>
      </c>
      <c r="E10" s="10">
        <v>1040000000</v>
      </c>
      <c r="F10" s="11">
        <v>212987915.76480004</v>
      </c>
      <c r="G10" s="12">
        <f t="shared" si="0"/>
        <v>0.20479607285076928</v>
      </c>
      <c r="Q10" s="1"/>
      <c r="R10" s="1"/>
      <c r="S10" s="1"/>
      <c r="V10"/>
      <c r="W10"/>
      <c r="X10"/>
      <c r="Z10" s="1"/>
      <c r="AA10" s="1"/>
      <c r="AB10" s="1"/>
      <c r="AE10"/>
      <c r="AF10"/>
      <c r="AG10"/>
    </row>
    <row r="11" spans="1:33" x14ac:dyDescent="0.35">
      <c r="C11" s="8" t="s">
        <v>12</v>
      </c>
      <c r="D11" s="10">
        <v>0</v>
      </c>
      <c r="E11" s="10">
        <v>500000000</v>
      </c>
      <c r="F11" s="11">
        <v>561491065.23459983</v>
      </c>
      <c r="G11" s="12">
        <f t="shared" si="0"/>
        <v>1.1229821304691996</v>
      </c>
      <c r="I11" s="3"/>
      <c r="Q11" s="1"/>
      <c r="R11" s="1"/>
      <c r="S11" s="1"/>
      <c r="V11"/>
      <c r="W11"/>
      <c r="X11"/>
      <c r="Z11" s="1"/>
      <c r="AA11" s="1"/>
      <c r="AB11" s="1"/>
      <c r="AE11"/>
      <c r="AF11"/>
      <c r="AG11"/>
    </row>
    <row r="12" spans="1:33" x14ac:dyDescent="0.35">
      <c r="C12" s="8" t="s">
        <v>13</v>
      </c>
      <c r="D12" s="10">
        <v>6953873</v>
      </c>
      <c r="E12" s="10">
        <v>500000000</v>
      </c>
      <c r="F12" s="11">
        <v>511905677.16690016</v>
      </c>
      <c r="G12" s="12">
        <f t="shared" si="0"/>
        <v>1.0238113543338003</v>
      </c>
      <c r="I12" s="154"/>
      <c r="Q12" s="1"/>
      <c r="R12" s="1"/>
      <c r="S12" s="1"/>
      <c r="V12"/>
      <c r="W12"/>
      <c r="X12"/>
      <c r="Z12" s="1"/>
      <c r="AA12" s="1"/>
      <c r="AB12" s="1"/>
      <c r="AE12"/>
      <c r="AF12"/>
      <c r="AG12"/>
    </row>
    <row r="13" spans="1:33" ht="15" thickBot="1" x14ac:dyDescent="0.4">
      <c r="C13" s="8" t="s">
        <v>14</v>
      </c>
      <c r="D13" s="10">
        <v>44252286</v>
      </c>
      <c r="E13" s="10">
        <v>500000000</v>
      </c>
      <c r="F13" s="11">
        <f>'TELE-Harian'!E14</f>
        <v>598616529.36979997</v>
      </c>
      <c r="G13" s="18">
        <f t="shared" si="0"/>
        <v>1.1972330587395998</v>
      </c>
      <c r="Q13" s="1"/>
      <c r="R13" s="1"/>
      <c r="S13" s="1"/>
      <c r="V13"/>
      <c r="W13"/>
      <c r="X13"/>
      <c r="Z13" s="1"/>
      <c r="AA13" s="1"/>
      <c r="AB13" s="1"/>
      <c r="AE13"/>
      <c r="AF13"/>
      <c r="AG13"/>
    </row>
    <row r="14" spans="1:33" ht="15" thickBot="1" x14ac:dyDescent="0.4">
      <c r="C14" s="20" t="s">
        <v>15</v>
      </c>
      <c r="D14" s="21">
        <f>SUM(D8:D13)</f>
        <v>51206159</v>
      </c>
      <c r="E14" s="21">
        <f>SUM(E8:E13)</f>
        <v>4620000000</v>
      </c>
      <c r="F14" s="21">
        <f>SUM(F8:F13)</f>
        <v>2248635832.4638</v>
      </c>
      <c r="G14" s="22">
        <f t="shared" si="0"/>
        <v>0.48671771265450214</v>
      </c>
      <c r="Q14" s="1"/>
      <c r="R14" s="1"/>
      <c r="S14" s="1"/>
      <c r="V14"/>
      <c r="W14"/>
      <c r="X14"/>
      <c r="Z14" s="1"/>
      <c r="AA14" s="1"/>
      <c r="AB14" s="1"/>
      <c r="AE14"/>
      <c r="AF14"/>
      <c r="AG14"/>
    </row>
    <row r="15" spans="1:33" x14ac:dyDescent="0.35">
      <c r="C15" s="25" t="s">
        <v>16</v>
      </c>
      <c r="D15" s="10">
        <v>51748216</v>
      </c>
      <c r="E15" s="10">
        <v>500000000</v>
      </c>
      <c r="F15" s="11">
        <f>'TELE-Harian'!E26</f>
        <v>572200657.78410017</v>
      </c>
      <c r="G15" s="27">
        <f t="shared" si="0"/>
        <v>1.1444013155682002</v>
      </c>
      <c r="U15" s="1"/>
      <c r="W15"/>
      <c r="X15"/>
      <c r="AD15" s="1"/>
      <c r="AF15"/>
      <c r="AG15"/>
    </row>
    <row r="16" spans="1:33" x14ac:dyDescent="0.35">
      <c r="C16" s="28" t="s">
        <v>17</v>
      </c>
      <c r="D16" s="10">
        <v>49134832</v>
      </c>
      <c r="E16" s="10">
        <v>500000000</v>
      </c>
      <c r="F16" s="11">
        <f>'TELE-Harian'!E37</f>
        <v>659999355.6127001</v>
      </c>
      <c r="G16" s="12">
        <f t="shared" si="0"/>
        <v>1.3199987112254001</v>
      </c>
      <c r="I16" s="3"/>
      <c r="U16" s="1"/>
      <c r="W16"/>
      <c r="X16"/>
      <c r="AD16" s="1"/>
      <c r="AF16"/>
      <c r="AG16"/>
    </row>
    <row r="17" spans="3:33" x14ac:dyDescent="0.35">
      <c r="C17" s="28" t="s">
        <v>18</v>
      </c>
      <c r="D17" s="10">
        <v>89081629</v>
      </c>
      <c r="E17" s="10">
        <v>500000000</v>
      </c>
      <c r="F17" s="11">
        <f>'TELE-Harian'!E48</f>
        <v>564853716.56750011</v>
      </c>
      <c r="G17" s="12">
        <f t="shared" si="0"/>
        <v>1.1297074331350003</v>
      </c>
      <c r="U17" s="1"/>
      <c r="W17"/>
      <c r="X17"/>
      <c r="AD17" s="1"/>
      <c r="AF17"/>
      <c r="AG17"/>
    </row>
    <row r="18" spans="3:33" x14ac:dyDescent="0.35">
      <c r="C18" s="28" t="s">
        <v>19</v>
      </c>
      <c r="D18" s="10">
        <v>136198040</v>
      </c>
      <c r="E18" s="10">
        <v>500000000</v>
      </c>
      <c r="F18" s="11">
        <v>0</v>
      </c>
      <c r="G18" s="12">
        <f t="shared" si="0"/>
        <v>0</v>
      </c>
      <c r="U18" s="1"/>
      <c r="W18"/>
      <c r="X18"/>
      <c r="AD18" s="1"/>
      <c r="AF18"/>
      <c r="AG18"/>
    </row>
    <row r="19" spans="3:33" x14ac:dyDescent="0.35">
      <c r="C19" s="28" t="s">
        <v>20</v>
      </c>
      <c r="D19" s="10">
        <v>169964820</v>
      </c>
      <c r="E19" s="10">
        <v>500000000</v>
      </c>
      <c r="F19" s="11">
        <v>0</v>
      </c>
      <c r="G19" s="12">
        <f t="shared" si="0"/>
        <v>0</v>
      </c>
      <c r="H19" s="156"/>
      <c r="U19" s="1"/>
      <c r="W19"/>
      <c r="X19"/>
      <c r="AD19" s="1"/>
      <c r="AF19"/>
      <c r="AG19"/>
    </row>
    <row r="20" spans="3:33" ht="15" thickBot="1" x14ac:dyDescent="0.4">
      <c r="C20" s="29" t="s">
        <v>21</v>
      </c>
      <c r="D20" s="10">
        <v>122309696</v>
      </c>
      <c r="E20" s="10">
        <v>500000000</v>
      </c>
      <c r="F20" s="11">
        <v>0</v>
      </c>
      <c r="G20" s="18">
        <f t="shared" si="0"/>
        <v>0</v>
      </c>
      <c r="U20" s="1"/>
      <c r="W20"/>
      <c r="X20"/>
      <c r="AD20" s="1"/>
      <c r="AF20"/>
      <c r="AG20"/>
    </row>
    <row r="21" spans="3:33" ht="15" thickBot="1" x14ac:dyDescent="0.4">
      <c r="C21" s="20" t="s">
        <v>22</v>
      </c>
      <c r="D21" s="21">
        <f>SUM(D15:D20)</f>
        <v>618437233</v>
      </c>
      <c r="E21" s="21">
        <f>SUM(E15:E20)</f>
        <v>3000000000</v>
      </c>
      <c r="F21" s="21">
        <f>SUM(F15:F20)</f>
        <v>1797053729.9643004</v>
      </c>
      <c r="G21" s="22">
        <f t="shared" si="0"/>
        <v>0.59901790998810012</v>
      </c>
      <c r="U21" s="1"/>
      <c r="W21"/>
      <c r="X21"/>
      <c r="AD21" s="1"/>
      <c r="AF21"/>
      <c r="AG21"/>
    </row>
    <row r="22" spans="3:33" ht="15" thickBot="1" x14ac:dyDescent="0.4">
      <c r="C22" s="30" t="s">
        <v>23</v>
      </c>
      <c r="D22" s="31">
        <f>D14+D21</f>
        <v>669643392</v>
      </c>
      <c r="E22" s="31">
        <f>E14+E21</f>
        <v>7620000000</v>
      </c>
      <c r="F22" s="32">
        <f>F14+F21</f>
        <v>4045689562.4281006</v>
      </c>
      <c r="G22" s="33">
        <f t="shared" si="0"/>
        <v>0.53093038877009191</v>
      </c>
      <c r="U22" s="1"/>
      <c r="W22"/>
      <c r="X22"/>
      <c r="AD22" s="1"/>
      <c r="AF22"/>
      <c r="AG22"/>
    </row>
    <row r="23" spans="3:33" ht="15.5" thickTop="1" thickBot="1" x14ac:dyDescent="0.4">
      <c r="C23" s="36" t="s">
        <v>24</v>
      </c>
      <c r="D23" s="37">
        <f>IFERROR(AVERAGE(D12:D13,D15:D20),0)</f>
        <v>83705424</v>
      </c>
      <c r="E23" s="37">
        <f>IFERROR(AVERAGE(E8:E13,E15:E20),0)</f>
        <v>635000000</v>
      </c>
      <c r="F23" s="38">
        <f>IFERROR(AVERAGE(F8:F13,F15:F20),0)</f>
        <v>337140796.86900836</v>
      </c>
      <c r="G23" s="39">
        <f>IFERROR(F23/E23,0)</f>
        <v>0.53093038877009191</v>
      </c>
      <c r="U23" s="1"/>
      <c r="W23"/>
      <c r="X23"/>
      <c r="AD23" s="1"/>
      <c r="AF23"/>
      <c r="AG23"/>
    </row>
    <row r="24" spans="3:33" x14ac:dyDescent="0.35">
      <c r="U24" s="1"/>
      <c r="W24"/>
      <c r="X24"/>
      <c r="AD24" s="1"/>
      <c r="AF24"/>
      <c r="AG24"/>
    </row>
    <row r="25" spans="3:33" x14ac:dyDescent="0.35">
      <c r="L25" s="154"/>
    </row>
    <row r="26" spans="3:33" x14ac:dyDescent="0.35">
      <c r="L26" s="154"/>
    </row>
    <row r="27" spans="3:33" x14ac:dyDescent="0.35">
      <c r="J27" s="156"/>
      <c r="L27" s="154"/>
    </row>
    <row r="28" spans="3:33" x14ac:dyDescent="0.35">
      <c r="C28"/>
      <c r="D28" s="4"/>
      <c r="E28" s="4"/>
      <c r="F28" s="4"/>
      <c r="G28" s="1"/>
      <c r="R28" s="4"/>
      <c r="S28" s="4"/>
      <c r="T28" s="4"/>
      <c r="U28" s="4"/>
    </row>
    <row r="29" spans="3:33" x14ac:dyDescent="0.35">
      <c r="D29" s="3"/>
      <c r="E29" s="3"/>
      <c r="F29" s="3"/>
      <c r="G29" s="3"/>
      <c r="R29" s="3"/>
      <c r="S29" s="3"/>
      <c r="T29" s="3"/>
      <c r="V29"/>
      <c r="W29"/>
      <c r="X29"/>
    </row>
    <row r="30" spans="3:33" x14ac:dyDescent="0.35">
      <c r="F30" s="3"/>
      <c r="G30" s="3"/>
    </row>
  </sheetData>
  <mergeCells count="3">
    <mergeCell ref="C3:G4"/>
    <mergeCell ref="C6:C7"/>
    <mergeCell ref="D6:G6"/>
  </mergeCells>
  <conditionalFormatting sqref="G8:G23">
    <cfRule type="cellIs" dxfId="147" priority="1" stopIfTrue="1" operator="lessThan">
      <formula>0.9</formula>
    </cfRule>
    <cfRule type="cellIs" dxfId="146" priority="2" stopIfTrue="1" operator="greaterThan">
      <formula>1</formula>
    </cfRule>
    <cfRule type="cellIs" dxfId="145" priority="3" stopIfTrue="1" operator="greaterThan">
      <formula>0.9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2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2C785-5735-4887-B6CB-30338121B380}">
  <sheetPr>
    <tabColor rgb="FFC00000"/>
    <pageSetUpPr fitToPage="1"/>
  </sheetPr>
  <dimension ref="A3:AM82"/>
  <sheetViews>
    <sheetView showGridLines="0" topLeftCell="A27" zoomScale="70" zoomScaleNormal="70" workbookViewId="0">
      <selection activeCell="L19" sqref="L19"/>
    </sheetView>
  </sheetViews>
  <sheetFormatPr defaultRowHeight="14.5" x14ac:dyDescent="0.35"/>
  <cols>
    <col min="1" max="1" width="12.453125" bestFit="1" customWidth="1"/>
    <col min="2" max="2" width="2.54296875" customWidth="1"/>
    <col min="3" max="3" width="9.81640625" style="1" bestFit="1" customWidth="1"/>
    <col min="4" max="7" width="16.1796875" customWidth="1"/>
    <col min="8" max="8" width="7.81640625" customWidth="1"/>
    <col min="9" max="10" width="9.1796875" customWidth="1"/>
    <col min="11" max="11" width="2.54296875" customWidth="1"/>
    <col min="12" max="12" width="12.453125" bestFit="1" customWidth="1"/>
    <col min="13" max="16" width="16.1796875" customWidth="1"/>
    <col min="17" max="17" width="7.81640625" customWidth="1"/>
    <col min="18" max="19" width="9.1796875" customWidth="1"/>
    <col min="20" max="20" width="2.54296875" customWidth="1"/>
    <col min="21" max="21" width="14.1796875" customWidth="1"/>
    <col min="22" max="22" width="2.81640625" customWidth="1"/>
    <col min="23" max="23" width="9.81640625" bestFit="1" customWidth="1"/>
    <col min="24" max="27" width="16.1796875" customWidth="1"/>
    <col min="28" max="28" width="7.81640625" style="1" customWidth="1"/>
    <col min="29" max="30" width="9.1796875" style="1" customWidth="1"/>
    <col min="31" max="31" width="2.54296875" customWidth="1"/>
    <col min="32" max="32" width="9.81640625" bestFit="1" customWidth="1"/>
    <col min="33" max="36" width="16.1796875" customWidth="1"/>
    <col min="37" max="37" width="7.81640625" style="1" customWidth="1"/>
    <col min="38" max="39" width="9.1796875" style="1" customWidth="1"/>
    <col min="40" max="40" width="2.81640625" customWidth="1"/>
    <col min="41" max="41" width="13.1796875" bestFit="1" customWidth="1"/>
  </cols>
  <sheetData>
    <row r="3" spans="1:39" ht="15" thickBot="1" x14ac:dyDescent="0.4"/>
    <row r="4" spans="1:39" ht="15" customHeight="1" thickBot="1" x14ac:dyDescent="0.4">
      <c r="C4" s="498" t="s">
        <v>2</v>
      </c>
      <c r="D4" s="502" t="s">
        <v>157</v>
      </c>
      <c r="E4" s="500"/>
      <c r="F4" s="500"/>
      <c r="G4" s="500"/>
      <c r="H4" s="501"/>
      <c r="I4" s="502" t="s">
        <v>4</v>
      </c>
      <c r="J4" s="501"/>
      <c r="W4" s="1"/>
      <c r="X4" s="1"/>
      <c r="Y4" s="1"/>
      <c r="AB4"/>
      <c r="AC4"/>
      <c r="AD4"/>
      <c r="AF4" s="1"/>
      <c r="AG4" s="1"/>
      <c r="AH4" s="1"/>
      <c r="AK4"/>
      <c r="AL4"/>
      <c r="AM4"/>
    </row>
    <row r="5" spans="1:39" ht="15" thickBot="1" x14ac:dyDescent="0.4">
      <c r="C5" s="499"/>
      <c r="D5" s="6">
        <v>2024</v>
      </c>
      <c r="E5" s="6">
        <v>2025</v>
      </c>
      <c r="F5" s="155" t="s">
        <v>5</v>
      </c>
      <c r="G5" s="6">
        <v>2026</v>
      </c>
      <c r="H5" s="6" t="s">
        <v>6</v>
      </c>
      <c r="I5" s="6" t="s">
        <v>8</v>
      </c>
      <c r="J5" s="7" t="s">
        <v>7</v>
      </c>
      <c r="W5" s="1"/>
      <c r="X5" s="1"/>
      <c r="Y5" s="1"/>
      <c r="AB5"/>
      <c r="AC5"/>
      <c r="AD5"/>
      <c r="AF5" s="1"/>
      <c r="AG5" s="1"/>
      <c r="AH5" s="1"/>
      <c r="AK5"/>
      <c r="AL5"/>
      <c r="AM5"/>
    </row>
    <row r="6" spans="1:39" x14ac:dyDescent="0.35">
      <c r="C6" s="8" t="s">
        <v>9</v>
      </c>
      <c r="D6" s="26">
        <f>D40+M40+D63</f>
        <v>5619094995</v>
      </c>
      <c r="E6" s="26">
        <f>E40+N40+E63</f>
        <v>3574991702</v>
      </c>
      <c r="F6" s="26">
        <f t="shared" ref="F6:F11" si="0">F40+O40+F63</f>
        <v>8800000000</v>
      </c>
      <c r="G6" s="26">
        <f t="shared" ref="G6:G10" si="1">G40+P40+G63</f>
        <v>5016540388</v>
      </c>
      <c r="H6" s="27">
        <f>IFERROR(G6/F6,0)</f>
        <v>0.57006140772727276</v>
      </c>
      <c r="I6" s="13">
        <f>IFERROR(G6/D6-1,0)</f>
        <v>-0.10723339034776369</v>
      </c>
      <c r="J6" s="14">
        <f t="shared" ref="J6:J21" si="2">IFERROR(G6/E6-1,0)</f>
        <v>0.4032313376261929</v>
      </c>
      <c r="W6" s="1"/>
      <c r="X6" s="1"/>
      <c r="Y6" s="1"/>
      <c r="AB6"/>
      <c r="AC6"/>
      <c r="AD6"/>
      <c r="AF6" s="1"/>
      <c r="AG6" s="1"/>
      <c r="AH6" s="1"/>
      <c r="AK6"/>
      <c r="AL6"/>
      <c r="AM6"/>
    </row>
    <row r="7" spans="1:39" x14ac:dyDescent="0.35">
      <c r="C7" s="8" t="s">
        <v>10</v>
      </c>
      <c r="D7" s="26">
        <f t="shared" ref="D7:D11" si="3">D41+M41+D64</f>
        <v>5052316572</v>
      </c>
      <c r="E7" s="26">
        <f t="shared" ref="E7:E11" si="4">E41+N41+E64</f>
        <v>4606804951</v>
      </c>
      <c r="F7" s="10">
        <f t="shared" si="0"/>
        <v>8800000000</v>
      </c>
      <c r="G7" s="26">
        <f>G41+P41+G64</f>
        <v>5030983084.8828001</v>
      </c>
      <c r="H7" s="12">
        <f t="shared" ref="H7:H16" si="5">IFERROR(G7/F7,0)</f>
        <v>0.57170262328213639</v>
      </c>
      <c r="I7" s="15">
        <f t="shared" ref="I7:I19" si="6">IFERROR(G7/D7-1,0)</f>
        <v>-4.2225159118948197E-3</v>
      </c>
      <c r="J7" s="14">
        <f t="shared" si="2"/>
        <v>9.2076425721198341E-2</v>
      </c>
      <c r="W7" s="1"/>
      <c r="X7" s="1"/>
      <c r="Y7" s="1"/>
      <c r="AB7"/>
      <c r="AC7"/>
      <c r="AD7"/>
      <c r="AF7" s="1"/>
      <c r="AG7" s="1"/>
      <c r="AH7" s="1"/>
      <c r="AK7"/>
      <c r="AL7"/>
      <c r="AM7"/>
    </row>
    <row r="8" spans="1:39" x14ac:dyDescent="0.35">
      <c r="A8" s="3"/>
      <c r="C8" s="8" t="s">
        <v>11</v>
      </c>
      <c r="D8" s="26">
        <f t="shared" si="3"/>
        <v>3913099239</v>
      </c>
      <c r="E8" s="26">
        <f t="shared" si="4"/>
        <v>3779221983</v>
      </c>
      <c r="F8" s="10">
        <f t="shared" si="0"/>
        <v>8800000000</v>
      </c>
      <c r="G8" s="11">
        <f>G42+P42+G65</f>
        <v>2304160127.2806005</v>
      </c>
      <c r="H8" s="12">
        <f t="shared" si="5"/>
        <v>0.26183637810006827</v>
      </c>
      <c r="I8" s="15">
        <f t="shared" si="6"/>
        <v>-0.41116746942777938</v>
      </c>
      <c r="J8" s="14">
        <f t="shared" si="2"/>
        <v>-0.39030833921760644</v>
      </c>
      <c r="W8" s="1"/>
      <c r="X8" s="1"/>
      <c r="Y8" s="1"/>
      <c r="AB8"/>
      <c r="AC8"/>
      <c r="AD8"/>
      <c r="AF8" s="1"/>
      <c r="AG8" s="1"/>
      <c r="AH8" s="1"/>
      <c r="AK8"/>
      <c r="AL8"/>
      <c r="AM8"/>
    </row>
    <row r="9" spans="1:39" x14ac:dyDescent="0.35">
      <c r="C9" s="8" t="s">
        <v>12</v>
      </c>
      <c r="D9" s="26">
        <f t="shared" si="3"/>
        <v>2767402303</v>
      </c>
      <c r="E9" s="26">
        <f t="shared" si="4"/>
        <v>4097804836</v>
      </c>
      <c r="F9" s="10">
        <f t="shared" si="0"/>
        <v>8800000000</v>
      </c>
      <c r="G9" s="11">
        <f t="shared" si="1"/>
        <v>4817172271.6711988</v>
      </c>
      <c r="H9" s="12">
        <f t="shared" si="5"/>
        <v>0.5474059399626362</v>
      </c>
      <c r="I9" s="15">
        <f t="shared" si="6"/>
        <v>0.74068376919725321</v>
      </c>
      <c r="J9" s="14">
        <f t="shared" si="2"/>
        <v>0.17554946232466184</v>
      </c>
      <c r="L9" s="3"/>
      <c r="W9" s="1"/>
      <c r="X9" s="1"/>
      <c r="Y9" s="1"/>
      <c r="AB9"/>
      <c r="AC9"/>
      <c r="AD9"/>
      <c r="AF9" s="1"/>
      <c r="AG9" s="1"/>
      <c r="AH9" s="1"/>
      <c r="AK9"/>
      <c r="AL9"/>
      <c r="AM9"/>
    </row>
    <row r="10" spans="1:39" x14ac:dyDescent="0.35">
      <c r="C10" s="8" t="s">
        <v>13</v>
      </c>
      <c r="D10" s="26">
        <f t="shared" si="3"/>
        <v>4955893592</v>
      </c>
      <c r="E10" s="26">
        <f t="shared" si="4"/>
        <v>4574934934</v>
      </c>
      <c r="F10" s="10">
        <f t="shared" si="0"/>
        <v>8800000000</v>
      </c>
      <c r="G10" s="11">
        <f t="shared" si="1"/>
        <v>3257543945.3184004</v>
      </c>
      <c r="H10" s="12">
        <f t="shared" si="5"/>
        <v>0.3701754483316364</v>
      </c>
      <c r="I10" s="15">
        <f t="shared" si="6"/>
        <v>-0.34269292008673125</v>
      </c>
      <c r="J10" s="14">
        <f t="shared" si="2"/>
        <v>-0.28795840983245768</v>
      </c>
      <c r="L10" s="154"/>
      <c r="M10" s="3"/>
      <c r="W10" s="1"/>
      <c r="X10" s="1"/>
      <c r="Y10" s="1"/>
      <c r="AB10"/>
      <c r="AC10"/>
      <c r="AD10"/>
      <c r="AF10" s="1"/>
      <c r="AG10" s="1"/>
      <c r="AH10" s="1"/>
      <c r="AK10"/>
      <c r="AL10"/>
      <c r="AM10"/>
    </row>
    <row r="11" spans="1:39" ht="15" thickBot="1" x14ac:dyDescent="0.4">
      <c r="C11" s="8" t="s">
        <v>14</v>
      </c>
      <c r="D11" s="26">
        <f t="shared" si="3"/>
        <v>5312328160</v>
      </c>
      <c r="E11" s="26">
        <f t="shared" si="4"/>
        <v>3888923990</v>
      </c>
      <c r="F11" s="17">
        <f t="shared" si="0"/>
        <v>8800000000</v>
      </c>
      <c r="G11" s="11">
        <f>G45+P45+G68</f>
        <v>3443739523.5591984</v>
      </c>
      <c r="H11" s="18">
        <f t="shared" si="5"/>
        <v>0.3913340367680907</v>
      </c>
      <c r="I11" s="19">
        <f t="shared" si="6"/>
        <v>-0.35174570925618454</v>
      </c>
      <c r="J11" s="14">
        <f t="shared" si="2"/>
        <v>-0.11447497240510518</v>
      </c>
      <c r="W11" s="1"/>
      <c r="X11" s="1"/>
      <c r="Y11" s="1"/>
      <c r="AB11"/>
      <c r="AC11"/>
      <c r="AD11"/>
      <c r="AF11" s="1"/>
      <c r="AG11" s="1"/>
      <c r="AH11" s="1"/>
      <c r="AK11"/>
      <c r="AL11"/>
      <c r="AM11"/>
    </row>
    <row r="12" spans="1:39" ht="15" thickBot="1" x14ac:dyDescent="0.4">
      <c r="C12" s="20" t="s">
        <v>15</v>
      </c>
      <c r="D12" s="21">
        <f>SUM(D6:D11)</f>
        <v>27620134861</v>
      </c>
      <c r="E12" s="21">
        <f>SUM(E6:E11)</f>
        <v>24522682396</v>
      </c>
      <c r="F12" s="21">
        <f>SUM(F6:F11)</f>
        <v>52800000000</v>
      </c>
      <c r="G12" s="21">
        <f>SUM(G6:G11)</f>
        <v>23870139340.712204</v>
      </c>
      <c r="H12" s="22">
        <f t="shared" si="5"/>
        <v>0.45208597236197356</v>
      </c>
      <c r="I12" s="23">
        <f t="shared" si="6"/>
        <v>-0.1357703551832703</v>
      </c>
      <c r="J12" s="24">
        <f t="shared" si="2"/>
        <v>-2.6609774768939443E-2</v>
      </c>
      <c r="M12" s="3"/>
      <c r="N12" s="154"/>
      <c r="W12" s="1"/>
      <c r="X12" s="1"/>
      <c r="Y12" s="1"/>
      <c r="AB12"/>
      <c r="AC12"/>
      <c r="AD12"/>
      <c r="AF12" s="1"/>
      <c r="AG12" s="1"/>
      <c r="AH12" s="1"/>
      <c r="AK12"/>
      <c r="AL12"/>
      <c r="AM12"/>
    </row>
    <row r="13" spans="1:39" x14ac:dyDescent="0.35">
      <c r="C13" s="25" t="s">
        <v>16</v>
      </c>
      <c r="D13" s="26">
        <f t="shared" ref="D13:D18" si="7">D47+M47+D70</f>
        <v>4524480100</v>
      </c>
      <c r="E13" s="26">
        <f t="shared" ref="E13:E18" si="8">E47+N47+E70</f>
        <v>4239851823</v>
      </c>
      <c r="F13" s="26">
        <f t="shared" ref="F13:F18" si="9">F47+O47+F70</f>
        <v>8800000000</v>
      </c>
      <c r="G13" s="11">
        <f t="shared" ref="G13:G18" si="10">G47+P47+G70</f>
        <v>4926376011.1497002</v>
      </c>
      <c r="H13" s="27">
        <f t="shared" si="5"/>
        <v>0.55981545581246595</v>
      </c>
      <c r="I13" s="13">
        <f t="shared" si="6"/>
        <v>8.8826981723203913E-2</v>
      </c>
      <c r="J13" s="14">
        <f t="shared" si="2"/>
        <v>0.16192174085554134</v>
      </c>
      <c r="AA13" s="1"/>
      <c r="AC13"/>
      <c r="AD13"/>
      <c r="AJ13" s="1"/>
      <c r="AL13"/>
      <c r="AM13"/>
    </row>
    <row r="14" spans="1:39" x14ac:dyDescent="0.35">
      <c r="C14" s="28" t="s">
        <v>17</v>
      </c>
      <c r="D14" s="26">
        <f t="shared" si="7"/>
        <v>4828238763</v>
      </c>
      <c r="E14" s="26">
        <f t="shared" si="8"/>
        <v>4537641777</v>
      </c>
      <c r="F14" s="10">
        <f t="shared" si="9"/>
        <v>8800000000</v>
      </c>
      <c r="G14" s="11">
        <f t="shared" si="10"/>
        <v>3659960957.0970998</v>
      </c>
      <c r="H14" s="12">
        <f t="shared" si="5"/>
        <v>0.41590465421557954</v>
      </c>
      <c r="I14" s="15">
        <f t="shared" si="6"/>
        <v>-0.24196769531277218</v>
      </c>
      <c r="J14" s="14">
        <f t="shared" si="2"/>
        <v>-0.19342223627074562</v>
      </c>
      <c r="AA14" s="1"/>
      <c r="AC14"/>
      <c r="AD14"/>
      <c r="AJ14" s="1"/>
      <c r="AL14"/>
      <c r="AM14"/>
    </row>
    <row r="15" spans="1:39" x14ac:dyDescent="0.35">
      <c r="C15" s="28" t="s">
        <v>18</v>
      </c>
      <c r="D15" s="26">
        <f t="shared" si="7"/>
        <v>4023405984</v>
      </c>
      <c r="E15" s="26">
        <f t="shared" si="8"/>
        <v>4686321831</v>
      </c>
      <c r="F15" s="10">
        <f t="shared" si="9"/>
        <v>8800000000</v>
      </c>
      <c r="G15" s="11">
        <f t="shared" si="10"/>
        <v>3080079093.6008987</v>
      </c>
      <c r="H15" s="12">
        <f t="shared" si="5"/>
        <v>0.35000898790919305</v>
      </c>
      <c r="I15" s="15">
        <f t="shared" si="6"/>
        <v>-0.2344597821225245</v>
      </c>
      <c r="J15" s="14">
        <f t="shared" si="2"/>
        <v>-0.34275126534712408</v>
      </c>
      <c r="L15" s="3"/>
      <c r="AA15" s="1"/>
      <c r="AC15"/>
      <c r="AD15"/>
      <c r="AJ15" s="1"/>
      <c r="AL15"/>
      <c r="AM15"/>
    </row>
    <row r="16" spans="1:39" x14ac:dyDescent="0.35">
      <c r="C16" s="28" t="s">
        <v>19</v>
      </c>
      <c r="D16" s="26">
        <f t="shared" si="7"/>
        <v>4796604815</v>
      </c>
      <c r="E16" s="26">
        <f t="shared" si="8"/>
        <v>4743458863</v>
      </c>
      <c r="F16" s="10">
        <f t="shared" si="9"/>
        <v>8800000000</v>
      </c>
      <c r="G16" s="11">
        <f t="shared" si="10"/>
        <v>0</v>
      </c>
      <c r="H16" s="12">
        <f t="shared" si="5"/>
        <v>0</v>
      </c>
      <c r="I16" s="15">
        <f t="shared" si="6"/>
        <v>-1</v>
      </c>
      <c r="J16" s="14">
        <f t="shared" si="2"/>
        <v>-1</v>
      </c>
      <c r="AA16" s="1"/>
      <c r="AC16"/>
      <c r="AD16"/>
      <c r="AJ16" s="1"/>
      <c r="AL16"/>
      <c r="AM16"/>
    </row>
    <row r="17" spans="3:39" x14ac:dyDescent="0.35">
      <c r="C17" s="28" t="s">
        <v>20</v>
      </c>
      <c r="D17" s="26">
        <f t="shared" si="7"/>
        <v>4021067246</v>
      </c>
      <c r="E17" s="26">
        <f t="shared" si="8"/>
        <v>4317909388</v>
      </c>
      <c r="F17" s="10">
        <f t="shared" si="9"/>
        <v>8800000000</v>
      </c>
      <c r="G17" s="11">
        <f t="shared" si="10"/>
        <v>0</v>
      </c>
      <c r="H17" s="12">
        <f>IFERROR(G17/F17,0)</f>
        <v>0</v>
      </c>
      <c r="I17" s="15">
        <f t="shared" si="6"/>
        <v>-1</v>
      </c>
      <c r="J17" s="14">
        <f t="shared" si="2"/>
        <v>-1</v>
      </c>
      <c r="K17" s="156"/>
      <c r="AA17" s="1"/>
      <c r="AC17"/>
      <c r="AD17"/>
      <c r="AJ17" s="1"/>
      <c r="AL17"/>
      <c r="AM17"/>
    </row>
    <row r="18" spans="3:39" ht="15" thickBot="1" x14ac:dyDescent="0.4">
      <c r="C18" s="29" t="s">
        <v>21</v>
      </c>
      <c r="D18" s="26">
        <f t="shared" si="7"/>
        <v>4430267783</v>
      </c>
      <c r="E18" s="26">
        <f t="shared" si="8"/>
        <v>5001863423</v>
      </c>
      <c r="F18" s="11">
        <f t="shared" si="9"/>
        <v>8800000000</v>
      </c>
      <c r="G18" s="11">
        <f t="shared" si="10"/>
        <v>0</v>
      </c>
      <c r="H18" s="18">
        <f>IFERROR(G18/F18,0)</f>
        <v>0</v>
      </c>
      <c r="I18" s="19">
        <f t="shared" si="6"/>
        <v>-1</v>
      </c>
      <c r="J18" s="14">
        <f t="shared" si="2"/>
        <v>-1</v>
      </c>
      <c r="AA18" s="1"/>
      <c r="AC18"/>
      <c r="AD18"/>
      <c r="AJ18" s="1"/>
      <c r="AL18"/>
      <c r="AM18"/>
    </row>
    <row r="19" spans="3:39" ht="15" thickBot="1" x14ac:dyDescent="0.4">
      <c r="C19" s="20" t="s">
        <v>22</v>
      </c>
      <c r="D19" s="21">
        <f>SUM(D13:D18)</f>
        <v>26624064691</v>
      </c>
      <c r="E19" s="21">
        <f>SUM(E13:E18)</f>
        <v>27527047105</v>
      </c>
      <c r="F19" s="21">
        <f>SUM(F13:F18)</f>
        <v>52800000000</v>
      </c>
      <c r="G19" s="21">
        <f>SUM(G13:G18)</f>
        <v>11666416061.847698</v>
      </c>
      <c r="H19" s="22">
        <f>IFERROR(G19/F19,0)</f>
        <v>0.2209548496562064</v>
      </c>
      <c r="I19" s="23">
        <f t="shared" si="6"/>
        <v>-0.56180935566193191</v>
      </c>
      <c r="J19" s="24">
        <f t="shared" si="2"/>
        <v>-0.57618352533975159</v>
      </c>
      <c r="AA19" s="1"/>
      <c r="AC19"/>
      <c r="AD19"/>
      <c r="AJ19" s="1"/>
      <c r="AL19"/>
      <c r="AM19"/>
    </row>
    <row r="20" spans="3:39" ht="15" thickBot="1" x14ac:dyDescent="0.4">
      <c r="C20" s="30" t="s">
        <v>23</v>
      </c>
      <c r="D20" s="31">
        <f>D12+D19</f>
        <v>54244199552</v>
      </c>
      <c r="E20" s="31">
        <f>E12+E19</f>
        <v>52049729501</v>
      </c>
      <c r="F20" s="31">
        <f>F12+F19</f>
        <v>105600000000</v>
      </c>
      <c r="G20" s="32">
        <f>G12+G19</f>
        <v>35536555402.559906</v>
      </c>
      <c r="H20" s="33">
        <f>IFERROR(G20/F20,0)</f>
        <v>0.33652041100909003</v>
      </c>
      <c r="I20" s="34">
        <f>IFERROR(G20/D20-1,0)</f>
        <v>-0.34487824143310342</v>
      </c>
      <c r="J20" s="35">
        <f t="shared" si="2"/>
        <v>-0.31725763527979212</v>
      </c>
      <c r="AA20" s="1"/>
      <c r="AC20"/>
      <c r="AD20"/>
      <c r="AJ20" s="1"/>
      <c r="AL20"/>
      <c r="AM20"/>
    </row>
    <row r="21" spans="3:39" ht="15.5" thickTop="1" thickBot="1" x14ac:dyDescent="0.4">
      <c r="C21" s="36" t="s">
        <v>24</v>
      </c>
      <c r="D21" s="37">
        <f>IFERROR(AVERAGE(D6:D11,D13:D18),0)</f>
        <v>4520349962.666667</v>
      </c>
      <c r="E21" s="37">
        <f>IFERROR(AVERAGE(E6:E11,E13:E18),0)</f>
        <v>4337477458.416667</v>
      </c>
      <c r="F21" s="37">
        <f>IFERROR(AVERAGE(F6:F11,F13:F18),0)</f>
        <v>8800000000</v>
      </c>
      <c r="G21" s="38">
        <f>IFERROR(AVERAGE(G6:G11,G13:G18),0)</f>
        <v>2961379616.879992</v>
      </c>
      <c r="H21" s="39">
        <f>IFERROR(G21/F21,0)</f>
        <v>0.33652041100909003</v>
      </c>
      <c r="I21" s="40">
        <f>IFERROR(G21/D21-1,0)</f>
        <v>-0.34487824143310342</v>
      </c>
      <c r="J21" s="41">
        <f t="shared" si="2"/>
        <v>-0.31725763527979223</v>
      </c>
      <c r="AA21" s="1"/>
      <c r="AC21"/>
      <c r="AD21"/>
      <c r="AJ21" s="1"/>
      <c r="AL21"/>
      <c r="AM21"/>
    </row>
    <row r="22" spans="3:39" ht="15" thickBot="1" x14ac:dyDescent="0.4">
      <c r="AA22" s="1"/>
      <c r="AC22"/>
      <c r="AD22"/>
      <c r="AJ22" s="1"/>
      <c r="AL22"/>
      <c r="AM22"/>
    </row>
    <row r="23" spans="3:39" ht="15.65" customHeight="1" x14ac:dyDescent="0.35">
      <c r="C23" s="526" t="s">
        <v>29</v>
      </c>
      <c r="D23" s="527"/>
      <c r="E23" s="528"/>
      <c r="G23" s="526" t="s">
        <v>150</v>
      </c>
      <c r="H23" s="527"/>
      <c r="I23" s="528"/>
      <c r="AA23" s="1"/>
      <c r="AC23"/>
      <c r="AD23"/>
      <c r="AJ23" s="1"/>
      <c r="AL23"/>
      <c r="AM23"/>
    </row>
    <row r="24" spans="3:39" ht="15" thickBot="1" x14ac:dyDescent="0.4">
      <c r="C24" s="529"/>
      <c r="D24" s="530"/>
      <c r="E24" s="531"/>
      <c r="G24" s="529"/>
      <c r="H24" s="530"/>
      <c r="I24" s="531"/>
      <c r="L24" s="2"/>
      <c r="AA24" s="1"/>
      <c r="AC24"/>
      <c r="AD24"/>
      <c r="AJ24" s="1"/>
      <c r="AL24"/>
      <c r="AM24"/>
    </row>
    <row r="25" spans="3:39" ht="15" thickBot="1" x14ac:dyDescent="0.4">
      <c r="C25" s="511">
        <f>E20-D20</f>
        <v>-2194470051</v>
      </c>
      <c r="D25" s="512"/>
      <c r="E25" s="513"/>
      <c r="L25" s="5"/>
      <c r="AA25" s="1"/>
      <c r="AC25"/>
      <c r="AD25"/>
      <c r="AJ25" s="1"/>
      <c r="AL25"/>
      <c r="AM25"/>
    </row>
    <row r="26" spans="3:39" ht="15" thickBot="1" x14ac:dyDescent="0.4">
      <c r="C26" s="514"/>
      <c r="D26" s="515"/>
      <c r="E26" s="516"/>
      <c r="G26" s="532">
        <f>G20-F20</f>
        <v>-70063444597.440094</v>
      </c>
      <c r="H26" s="533"/>
      <c r="I26" s="534"/>
      <c r="L26" s="2"/>
      <c r="M26" s="156"/>
      <c r="AA26" s="1"/>
      <c r="AC26"/>
      <c r="AD26"/>
      <c r="AJ26" s="1"/>
      <c r="AL26"/>
      <c r="AM26"/>
    </row>
    <row r="27" spans="3:39" ht="15" thickBot="1" x14ac:dyDescent="0.4">
      <c r="C27" s="526" t="s">
        <v>149</v>
      </c>
      <c r="D27" s="527"/>
      <c r="E27" s="528"/>
      <c r="G27" s="535"/>
      <c r="H27" s="536"/>
      <c r="I27" s="537"/>
      <c r="L27" s="2"/>
      <c r="M27" s="156"/>
      <c r="AA27" s="1"/>
      <c r="AC27"/>
      <c r="AD27"/>
      <c r="AJ27" s="1"/>
      <c r="AL27"/>
      <c r="AM27"/>
    </row>
    <row r="28" spans="3:39" ht="15" thickBot="1" x14ac:dyDescent="0.4">
      <c r="C28" s="529"/>
      <c r="D28" s="530"/>
      <c r="E28" s="531"/>
      <c r="L28" s="2"/>
      <c r="M28" s="156"/>
    </row>
    <row r="29" spans="3:39" ht="15" thickBot="1" x14ac:dyDescent="0.4">
      <c r="C29" s="511">
        <f>G20-E20</f>
        <v>-16513174098.440094</v>
      </c>
      <c r="D29" s="512"/>
      <c r="E29" s="513"/>
      <c r="G29" s="517" t="s">
        <v>30</v>
      </c>
      <c r="H29" s="517"/>
      <c r="I29" s="517"/>
      <c r="J29" s="1"/>
      <c r="L29" s="2"/>
      <c r="M29" s="161"/>
    </row>
    <row r="30" spans="3:39" ht="15" thickBot="1" x14ac:dyDescent="0.4">
      <c r="C30" s="514"/>
      <c r="D30" s="515"/>
      <c r="E30" s="516"/>
      <c r="G30" s="518"/>
      <c r="H30" s="519"/>
      <c r="I30" s="520"/>
      <c r="J30" s="1"/>
    </row>
    <row r="31" spans="3:39" x14ac:dyDescent="0.35">
      <c r="G31" s="521"/>
      <c r="H31" s="522"/>
      <c r="I31" s="523"/>
      <c r="J31" s="1"/>
    </row>
    <row r="32" spans="3:39" ht="15" thickBot="1" x14ac:dyDescent="0.4">
      <c r="G32" s="524"/>
      <c r="H32" s="517"/>
      <c r="I32" s="525"/>
      <c r="J32" s="1"/>
    </row>
    <row r="33" spans="1:21" x14ac:dyDescent="0.35">
      <c r="R33" s="154"/>
    </row>
    <row r="34" spans="1:21" x14ac:dyDescent="0.35">
      <c r="R34" s="154"/>
    </row>
    <row r="35" spans="1:21" x14ac:dyDescent="0.35">
      <c r="C35" s="497" t="s">
        <v>155</v>
      </c>
      <c r="D35" s="497"/>
      <c r="E35" s="497"/>
      <c r="F35" s="497"/>
      <c r="G35" s="497"/>
      <c r="H35" s="497"/>
      <c r="I35" s="497"/>
      <c r="J35" s="497"/>
      <c r="L35" s="497" t="s">
        <v>146</v>
      </c>
      <c r="M35" s="497"/>
      <c r="N35" s="497"/>
      <c r="O35" s="497"/>
      <c r="P35" s="497"/>
      <c r="Q35" s="497"/>
      <c r="R35" s="497"/>
      <c r="S35" s="497"/>
    </row>
    <row r="36" spans="1:21" x14ac:dyDescent="0.35">
      <c r="C36" s="497"/>
      <c r="D36" s="497"/>
      <c r="E36" s="497"/>
      <c r="F36" s="497"/>
      <c r="G36" s="497"/>
      <c r="H36" s="497"/>
      <c r="I36" s="497"/>
      <c r="J36" s="497"/>
      <c r="L36" s="497"/>
      <c r="M36" s="497"/>
      <c r="N36" s="497"/>
      <c r="O36" s="497"/>
      <c r="P36" s="497"/>
      <c r="Q36" s="497"/>
      <c r="R36" s="497"/>
      <c r="S36" s="497"/>
    </row>
    <row r="37" spans="1:21" ht="15" thickBot="1" x14ac:dyDescent="0.4">
      <c r="C37"/>
    </row>
    <row r="38" spans="1:21" ht="15" thickBot="1" x14ac:dyDescent="0.4">
      <c r="C38" s="503" t="s">
        <v>2</v>
      </c>
      <c r="D38" s="502" t="s">
        <v>153</v>
      </c>
      <c r="E38" s="500"/>
      <c r="F38" s="500"/>
      <c r="G38" s="500"/>
      <c r="H38" s="501"/>
      <c r="I38" s="502" t="s">
        <v>4</v>
      </c>
      <c r="J38" s="501"/>
      <c r="L38" s="498" t="s">
        <v>2</v>
      </c>
      <c r="M38" s="500" t="s">
        <v>147</v>
      </c>
      <c r="N38" s="500"/>
      <c r="O38" s="500"/>
      <c r="P38" s="500"/>
      <c r="Q38" s="501"/>
      <c r="R38" s="502" t="s">
        <v>4</v>
      </c>
      <c r="S38" s="501"/>
    </row>
    <row r="39" spans="1:21" ht="15" thickBot="1" x14ac:dyDescent="0.4">
      <c r="C39" s="538"/>
      <c r="D39" s="6">
        <v>2024</v>
      </c>
      <c r="E39" s="6">
        <v>2025</v>
      </c>
      <c r="F39" s="155" t="s">
        <v>5</v>
      </c>
      <c r="G39" s="6">
        <v>2026</v>
      </c>
      <c r="H39" s="6" t="s">
        <v>6</v>
      </c>
      <c r="I39" s="6" t="s">
        <v>8</v>
      </c>
      <c r="J39" s="7" t="s">
        <v>7</v>
      </c>
      <c r="L39" s="499"/>
      <c r="M39" s="6">
        <v>2024</v>
      </c>
      <c r="N39" s="6">
        <v>2025</v>
      </c>
      <c r="O39" s="155" t="s">
        <v>5</v>
      </c>
      <c r="P39" s="6">
        <v>2026</v>
      </c>
      <c r="Q39" s="6" t="s">
        <v>6</v>
      </c>
      <c r="R39" s="6" t="s">
        <v>8</v>
      </c>
      <c r="S39" s="7" t="s">
        <v>7</v>
      </c>
    </row>
    <row r="40" spans="1:21" x14ac:dyDescent="0.35">
      <c r="C40" s="8" t="s">
        <v>9</v>
      </c>
      <c r="D40" s="10">
        <v>2951632629</v>
      </c>
      <c r="E40" s="10">
        <v>1246298071</v>
      </c>
      <c r="F40" s="10">
        <v>5500000000</v>
      </c>
      <c r="G40" s="11">
        <f>'AGPn-Harian'!E19</f>
        <v>2541489240</v>
      </c>
      <c r="H40" s="12">
        <f t="shared" ref="H40:H55" si="11">IFERROR(G40/F40,0)</f>
        <v>0.46208895272727274</v>
      </c>
      <c r="I40" s="13">
        <f t="shared" ref="I40:I55" si="12">IFERROR(G40/D40-1,0)</f>
        <v>-0.13895475506345611</v>
      </c>
      <c r="J40" s="14">
        <f t="shared" ref="J40:J55" si="13">IFERROR(G40/E40-1,0)</f>
        <v>1.0392306616993872</v>
      </c>
      <c r="L40" s="8" t="s">
        <v>9</v>
      </c>
      <c r="M40" s="10">
        <v>2144848271</v>
      </c>
      <c r="N40" s="10">
        <v>1793833641</v>
      </c>
      <c r="O40" s="10">
        <v>2000000000</v>
      </c>
      <c r="P40" s="11">
        <f>'AGPn-Harian'!E24</f>
        <v>1547094181</v>
      </c>
      <c r="Q40" s="12">
        <f t="shared" ref="Q40:Q55" si="14">IFERROR(P40/O40,0)</f>
        <v>0.77354709050000003</v>
      </c>
      <c r="R40" s="13">
        <f t="shared" ref="R40:R55" si="15">IFERROR(P40/M40-1,0)</f>
        <v>-0.27869294909206188</v>
      </c>
      <c r="S40" s="14">
        <f t="shared" ref="S40:S55" si="16">IFERROR(P40/N40-1,0)</f>
        <v>-0.13754868587616143</v>
      </c>
    </row>
    <row r="41" spans="1:21" x14ac:dyDescent="0.35">
      <c r="C41" s="8" t="s">
        <v>10</v>
      </c>
      <c r="D41" s="10">
        <v>2595950273</v>
      </c>
      <c r="E41" s="10">
        <v>2756777946</v>
      </c>
      <c r="F41" s="10">
        <v>5500000000</v>
      </c>
      <c r="G41" s="11">
        <f>'AGPn-Harian'!E56</f>
        <v>2209205706.3049998</v>
      </c>
      <c r="H41" s="12">
        <f t="shared" si="11"/>
        <v>0.40167376478272726</v>
      </c>
      <c r="I41" s="15">
        <f t="shared" si="12"/>
        <v>-0.14897995956142118</v>
      </c>
      <c r="J41" s="14">
        <f t="shared" si="13"/>
        <v>-0.19862761906141579</v>
      </c>
      <c r="L41" s="8" t="s">
        <v>10</v>
      </c>
      <c r="M41" s="10">
        <v>1974281424</v>
      </c>
      <c r="N41" s="10">
        <v>1304399527</v>
      </c>
      <c r="O41" s="10">
        <v>2000000000</v>
      </c>
      <c r="P41" s="11">
        <f>'AGPn-Harian'!E63</f>
        <v>1746135540.9123995</v>
      </c>
      <c r="Q41" s="12">
        <f t="shared" si="14"/>
        <v>0.87306777045619977</v>
      </c>
      <c r="R41" s="15">
        <f t="shared" si="15"/>
        <v>-0.11555894732847394</v>
      </c>
      <c r="S41" s="14">
        <f t="shared" si="16"/>
        <v>0.33865085410476348</v>
      </c>
    </row>
    <row r="42" spans="1:21" x14ac:dyDescent="0.35">
      <c r="A42" s="3"/>
      <c r="C42" s="8" t="s">
        <v>11</v>
      </c>
      <c r="D42" s="10">
        <v>1839478427</v>
      </c>
      <c r="E42" s="10">
        <v>1714603742</v>
      </c>
      <c r="F42" s="10">
        <v>5500000000</v>
      </c>
      <c r="G42" s="11">
        <f>'AGPn-Harian'!E93</f>
        <v>653581738.76619995</v>
      </c>
      <c r="H42" s="12">
        <f t="shared" si="11"/>
        <v>0.11883304341203635</v>
      </c>
      <c r="I42" s="15">
        <f t="shared" si="12"/>
        <v>-0.64469181634702588</v>
      </c>
      <c r="J42" s="14">
        <f t="shared" si="13"/>
        <v>-0.61881470175503672</v>
      </c>
      <c r="L42" s="8" t="s">
        <v>11</v>
      </c>
      <c r="M42" s="10">
        <v>1543723791</v>
      </c>
      <c r="N42" s="10">
        <v>1573577016</v>
      </c>
      <c r="O42" s="10">
        <v>2000000000</v>
      </c>
      <c r="P42" s="11">
        <f>'AGPn-Harian'!E100</f>
        <v>1069496749.3262001</v>
      </c>
      <c r="Q42" s="12">
        <f t="shared" si="14"/>
        <v>0.5347483746631001</v>
      </c>
      <c r="R42" s="15">
        <f t="shared" si="15"/>
        <v>-0.30719682137346804</v>
      </c>
      <c r="S42" s="14">
        <f t="shared" si="16"/>
        <v>-0.32034038470844051</v>
      </c>
    </row>
    <row r="43" spans="1:21" x14ac:dyDescent="0.35">
      <c r="C43" s="8" t="s">
        <v>12</v>
      </c>
      <c r="D43" s="10">
        <v>1249970715</v>
      </c>
      <c r="E43" s="10">
        <v>2142254698</v>
      </c>
      <c r="F43" s="10">
        <v>5500000000</v>
      </c>
      <c r="G43" s="11">
        <f>'AGPn-Harian'!E130</f>
        <v>1724011363.9639997</v>
      </c>
      <c r="H43" s="12">
        <f t="shared" si="11"/>
        <v>0.31345661162981814</v>
      </c>
      <c r="I43" s="15">
        <f t="shared" si="12"/>
        <v>0.37924140403881368</v>
      </c>
      <c r="J43" s="14">
        <f t="shared" si="13"/>
        <v>-0.19523511113149639</v>
      </c>
      <c r="L43" s="8" t="s">
        <v>12</v>
      </c>
      <c r="M43" s="10">
        <v>1240020864</v>
      </c>
      <c r="N43" s="10">
        <v>1532695868</v>
      </c>
      <c r="O43" s="10">
        <v>2000000000</v>
      </c>
      <c r="P43" s="11">
        <f>'AGPn-Harian'!E137</f>
        <v>2409854550.4726992</v>
      </c>
      <c r="Q43" s="12">
        <f t="shared" si="14"/>
        <v>1.2049272752363496</v>
      </c>
      <c r="R43" s="15">
        <f t="shared" si="15"/>
        <v>0.94339838984572055</v>
      </c>
      <c r="S43" s="14">
        <f t="shared" si="16"/>
        <v>0.57229793645708393</v>
      </c>
      <c r="U43" s="3"/>
    </row>
    <row r="44" spans="1:21" x14ac:dyDescent="0.35">
      <c r="C44" s="8" t="s">
        <v>13</v>
      </c>
      <c r="D44" s="10">
        <v>2290408512</v>
      </c>
      <c r="E44" s="10">
        <v>2293877298</v>
      </c>
      <c r="F44" s="10">
        <v>5500000000</v>
      </c>
      <c r="G44" s="11">
        <f>'AGPn-Harian'!E167</f>
        <v>1502964249.5496001</v>
      </c>
      <c r="H44" s="12">
        <f t="shared" si="11"/>
        <v>0.27326622719083637</v>
      </c>
      <c r="I44" s="15">
        <f t="shared" si="12"/>
        <v>-0.3438007928824881</v>
      </c>
      <c r="J44" s="14">
        <f t="shared" si="13"/>
        <v>-0.34479309296098182</v>
      </c>
      <c r="L44" s="8" t="s">
        <v>13</v>
      </c>
      <c r="M44" s="10">
        <v>2133924535</v>
      </c>
      <c r="N44" s="10">
        <v>1507889574</v>
      </c>
      <c r="O44" s="10">
        <v>2000000000</v>
      </c>
      <c r="P44" s="11">
        <f>'AGPn-Harian'!E174</f>
        <v>1181606389.0090003</v>
      </c>
      <c r="Q44" s="12">
        <f t="shared" si="14"/>
        <v>0.59080319450450014</v>
      </c>
      <c r="R44" s="15">
        <f t="shared" si="15"/>
        <v>-0.44627545649874623</v>
      </c>
      <c r="S44" s="14">
        <f t="shared" si="16"/>
        <v>-0.21638400491454002</v>
      </c>
    </row>
    <row r="45" spans="1:21" ht="15" thickBot="1" x14ac:dyDescent="0.4">
      <c r="C45" s="8" t="s">
        <v>14</v>
      </c>
      <c r="D45" s="17">
        <v>2659615300</v>
      </c>
      <c r="E45" s="17">
        <v>1839629453</v>
      </c>
      <c r="F45" s="17">
        <v>5500000000</v>
      </c>
      <c r="G45" s="11">
        <f>'AGPn-Harian'!E204</f>
        <v>1321924369.7301998</v>
      </c>
      <c r="H45" s="18">
        <f t="shared" si="11"/>
        <v>0.24034988540549088</v>
      </c>
      <c r="I45" s="19">
        <f t="shared" si="12"/>
        <v>-0.5029640678747036</v>
      </c>
      <c r="J45" s="14">
        <f t="shared" si="13"/>
        <v>-0.28141813147508909</v>
      </c>
      <c r="L45" s="8" t="s">
        <v>14</v>
      </c>
      <c r="M45" s="17">
        <v>2102051274</v>
      </c>
      <c r="N45" s="17">
        <v>1483982175</v>
      </c>
      <c r="O45" s="17">
        <v>2000000000</v>
      </c>
      <c r="P45" s="11">
        <f>'AGPn-Harian'!E211</f>
        <v>1418277165.9913993</v>
      </c>
      <c r="Q45" s="18">
        <f t="shared" si="14"/>
        <v>0.70913858299569965</v>
      </c>
      <c r="R45" s="19">
        <f t="shared" si="15"/>
        <v>-0.32528897675623525</v>
      </c>
      <c r="S45" s="14">
        <f t="shared" si="16"/>
        <v>-4.427614436042715E-2</v>
      </c>
      <c r="U45" s="3"/>
    </row>
    <row r="46" spans="1:21" ht="15" thickBot="1" x14ac:dyDescent="0.4">
      <c r="C46" s="20" t="s">
        <v>15</v>
      </c>
      <c r="D46" s="21">
        <f>SUM(D40:D45)</f>
        <v>13587055856</v>
      </c>
      <c r="E46" s="21">
        <f>SUM(E40:E45)</f>
        <v>11993441208</v>
      </c>
      <c r="F46" s="21">
        <f>SUM(F40:F45)</f>
        <v>33000000000</v>
      </c>
      <c r="G46" s="21">
        <f>SUM(G40:G45)</f>
        <v>9953176668.3150005</v>
      </c>
      <c r="H46" s="22">
        <f t="shared" si="11"/>
        <v>0.30161141419136367</v>
      </c>
      <c r="I46" s="23">
        <f t="shared" si="12"/>
        <v>-0.26745155287488498</v>
      </c>
      <c r="J46" s="24">
        <f t="shared" si="13"/>
        <v>-0.17011502406199142</v>
      </c>
      <c r="L46" s="20" t="s">
        <v>15</v>
      </c>
      <c r="M46" s="21">
        <f>SUM(M40:M45)</f>
        <v>11138850159</v>
      </c>
      <c r="N46" s="21">
        <f>SUM(N40:N45)</f>
        <v>9196377801</v>
      </c>
      <c r="O46" s="21">
        <f>SUM(O40:O45)</f>
        <v>12000000000</v>
      </c>
      <c r="P46" s="21">
        <f>SUM(P40:P45)</f>
        <v>9372464576.7116985</v>
      </c>
      <c r="Q46" s="22">
        <f t="shared" si="14"/>
        <v>0.78103871472597486</v>
      </c>
      <c r="R46" s="23">
        <f t="shared" si="15"/>
        <v>-0.15857880814215752</v>
      </c>
      <c r="S46" s="24">
        <f t="shared" si="16"/>
        <v>1.9147405589682309E-2</v>
      </c>
    </row>
    <row r="47" spans="1:21" x14ac:dyDescent="0.35">
      <c r="C47" s="25" t="s">
        <v>16</v>
      </c>
      <c r="D47" s="26">
        <v>2366153309</v>
      </c>
      <c r="E47" s="26">
        <v>1806751811</v>
      </c>
      <c r="F47" s="26">
        <v>5500000000</v>
      </c>
      <c r="G47" s="11">
        <f>'AGPn-Harian'!E241</f>
        <v>2272810332.5349002</v>
      </c>
      <c r="H47" s="27">
        <f t="shared" si="11"/>
        <v>0.41323824227907274</v>
      </c>
      <c r="I47" s="13">
        <f t="shared" si="12"/>
        <v>-3.9449251284799036E-2</v>
      </c>
      <c r="J47" s="14">
        <f t="shared" si="13"/>
        <v>0.25795381451808064</v>
      </c>
      <c r="L47" s="25" t="s">
        <v>16</v>
      </c>
      <c r="M47" s="26">
        <v>1733452286</v>
      </c>
      <c r="N47" s="26">
        <v>1780231920</v>
      </c>
      <c r="O47" s="26">
        <v>2000000000</v>
      </c>
      <c r="P47" s="11">
        <f>'AGPn-Harian'!E246</f>
        <v>2020578833.1080005</v>
      </c>
      <c r="Q47" s="27">
        <f t="shared" si="14"/>
        <v>1.0102894165540002</v>
      </c>
      <c r="R47" s="13">
        <f t="shared" si="15"/>
        <v>0.16563856382257547</v>
      </c>
      <c r="S47" s="14">
        <f t="shared" si="16"/>
        <v>0.13500876509842641</v>
      </c>
    </row>
    <row r="48" spans="1:21" x14ac:dyDescent="0.35">
      <c r="C48" s="28" t="s">
        <v>17</v>
      </c>
      <c r="D48" s="10">
        <v>2510671440</v>
      </c>
      <c r="E48" s="10">
        <v>2410527884</v>
      </c>
      <c r="F48" s="10">
        <v>5500000000</v>
      </c>
      <c r="G48" s="11">
        <f>'AGPn-Harian'!E278</f>
        <v>1736050131.6097004</v>
      </c>
      <c r="H48" s="12">
        <f t="shared" si="11"/>
        <v>0.31564547847449098</v>
      </c>
      <c r="I48" s="15">
        <f t="shared" si="12"/>
        <v>-0.30853153305886161</v>
      </c>
      <c r="J48" s="14">
        <f t="shared" si="13"/>
        <v>-0.2798049990905227</v>
      </c>
      <c r="L48" s="28" t="s">
        <v>17</v>
      </c>
      <c r="M48" s="10">
        <v>1703564347</v>
      </c>
      <c r="N48" s="10">
        <v>1205157269</v>
      </c>
      <c r="O48" s="10">
        <v>2000000000</v>
      </c>
      <c r="P48" s="11">
        <f>'AGPn-Harian'!E283</f>
        <v>1241152884.9558001</v>
      </c>
      <c r="Q48" s="12">
        <f t="shared" si="14"/>
        <v>0.6205764424779</v>
      </c>
      <c r="R48" s="15">
        <f t="shared" si="15"/>
        <v>-0.27143762597433596</v>
      </c>
      <c r="S48" s="14">
        <f t="shared" si="16"/>
        <v>2.9867982280576522E-2</v>
      </c>
    </row>
    <row r="49" spans="3:19" x14ac:dyDescent="0.35">
      <c r="C49" s="28" t="s">
        <v>18</v>
      </c>
      <c r="D49" s="10">
        <v>2000568212</v>
      </c>
      <c r="E49" s="10">
        <v>2355545193</v>
      </c>
      <c r="F49" s="10">
        <v>5500000000</v>
      </c>
      <c r="G49" s="11">
        <f>'AGPn-Harian'!E315</f>
        <v>1269395985.0439999</v>
      </c>
      <c r="H49" s="12">
        <f t="shared" si="11"/>
        <v>0.23079927000799999</v>
      </c>
      <c r="I49" s="15">
        <f t="shared" si="12"/>
        <v>-0.36548227776999187</v>
      </c>
      <c r="J49" s="14">
        <f t="shared" si="13"/>
        <v>-0.46110310733316506</v>
      </c>
      <c r="L49" s="28" t="s">
        <v>18</v>
      </c>
      <c r="M49" s="10">
        <v>1507269278</v>
      </c>
      <c r="N49" s="10">
        <v>1605142366</v>
      </c>
      <c r="O49" s="10">
        <v>2000000000</v>
      </c>
      <c r="P49" s="11">
        <f>'AGPn-Harian'!E322</f>
        <v>1450004183.3323989</v>
      </c>
      <c r="Q49" s="12">
        <f t="shared" si="14"/>
        <v>0.72500209166619944</v>
      </c>
      <c r="R49" s="15">
        <f t="shared" si="15"/>
        <v>-3.79926105463958E-2</v>
      </c>
      <c r="S49" s="14">
        <f t="shared" si="16"/>
        <v>-9.6650730772376292E-2</v>
      </c>
    </row>
    <row r="50" spans="3:19" x14ac:dyDescent="0.35">
      <c r="C50" s="28" t="s">
        <v>19</v>
      </c>
      <c r="D50" s="10">
        <v>2567361124</v>
      </c>
      <c r="E50" s="10">
        <v>1988159250</v>
      </c>
      <c r="F50" s="10">
        <v>5500000000</v>
      </c>
      <c r="G50" s="11">
        <v>0</v>
      </c>
      <c r="H50" s="12">
        <f t="shared" si="11"/>
        <v>0</v>
      </c>
      <c r="I50" s="15">
        <f t="shared" si="12"/>
        <v>-1</v>
      </c>
      <c r="J50" s="14">
        <f t="shared" si="13"/>
        <v>-1</v>
      </c>
      <c r="L50" s="28" t="s">
        <v>19</v>
      </c>
      <c r="M50" s="10">
        <v>1645482434</v>
      </c>
      <c r="N50" s="10">
        <v>1792454231</v>
      </c>
      <c r="O50" s="10">
        <v>2000000000</v>
      </c>
      <c r="P50" s="11">
        <v>0</v>
      </c>
      <c r="Q50" s="12">
        <f t="shared" si="14"/>
        <v>0</v>
      </c>
      <c r="R50" s="15">
        <f t="shared" si="15"/>
        <v>-1</v>
      </c>
      <c r="S50" s="14">
        <f t="shared" si="16"/>
        <v>-1</v>
      </c>
    </row>
    <row r="51" spans="3:19" x14ac:dyDescent="0.35">
      <c r="C51" s="28" t="s">
        <v>20</v>
      </c>
      <c r="D51" s="10">
        <v>1746323926</v>
      </c>
      <c r="E51" s="10">
        <v>2083667566</v>
      </c>
      <c r="F51" s="10">
        <v>5500000000</v>
      </c>
      <c r="G51" s="11">
        <v>0</v>
      </c>
      <c r="H51" s="12">
        <f t="shared" si="11"/>
        <v>0</v>
      </c>
      <c r="I51" s="15">
        <f t="shared" si="12"/>
        <v>-1</v>
      </c>
      <c r="J51" s="14">
        <f t="shared" si="13"/>
        <v>-1</v>
      </c>
      <c r="L51" s="28" t="s">
        <v>20</v>
      </c>
      <c r="M51" s="10">
        <v>1613146475</v>
      </c>
      <c r="N51" s="10">
        <v>1393255787</v>
      </c>
      <c r="O51" s="10">
        <v>2000000000</v>
      </c>
      <c r="P51" s="11">
        <v>0</v>
      </c>
      <c r="Q51" s="12">
        <f t="shared" si="14"/>
        <v>0</v>
      </c>
      <c r="R51" s="15">
        <f t="shared" si="15"/>
        <v>-1</v>
      </c>
      <c r="S51" s="14">
        <f t="shared" si="16"/>
        <v>-1</v>
      </c>
    </row>
    <row r="52" spans="3:19" ht="15" thickBot="1" x14ac:dyDescent="0.4">
      <c r="C52" s="29" t="s">
        <v>21</v>
      </c>
      <c r="D52" s="11">
        <v>2370917248</v>
      </c>
      <c r="E52" s="11">
        <v>2531555300</v>
      </c>
      <c r="F52" s="11">
        <v>5500000000</v>
      </c>
      <c r="G52" s="11">
        <v>0</v>
      </c>
      <c r="H52" s="18">
        <f t="shared" si="11"/>
        <v>0</v>
      </c>
      <c r="I52" s="19">
        <f t="shared" si="12"/>
        <v>-1</v>
      </c>
      <c r="J52" s="14">
        <f t="shared" si="13"/>
        <v>-1</v>
      </c>
      <c r="L52" s="29" t="s">
        <v>21</v>
      </c>
      <c r="M52" s="11">
        <v>1437922484</v>
      </c>
      <c r="N52" s="11">
        <v>1745787005</v>
      </c>
      <c r="O52" s="11">
        <v>2000000000</v>
      </c>
      <c r="P52" s="11">
        <v>0</v>
      </c>
      <c r="Q52" s="18">
        <f t="shared" si="14"/>
        <v>0</v>
      </c>
      <c r="R52" s="19">
        <f t="shared" si="15"/>
        <v>-1</v>
      </c>
      <c r="S52" s="14">
        <f t="shared" si="16"/>
        <v>-1</v>
      </c>
    </row>
    <row r="53" spans="3:19" ht="15" thickBot="1" x14ac:dyDescent="0.4">
      <c r="C53" s="20" t="s">
        <v>22</v>
      </c>
      <c r="D53" s="21">
        <f>SUM(D47:D52)</f>
        <v>13561995259</v>
      </c>
      <c r="E53" s="21">
        <f>SUM(E47:E52)</f>
        <v>13176207004</v>
      </c>
      <c r="F53" s="21">
        <f>SUM(F47:F52)</f>
        <v>33000000000</v>
      </c>
      <c r="G53" s="21">
        <f>SUM(G47:G52)</f>
        <v>5278256449.1886005</v>
      </c>
      <c r="H53" s="22">
        <f t="shared" si="11"/>
        <v>0.15994716512692728</v>
      </c>
      <c r="I53" s="23">
        <f t="shared" si="12"/>
        <v>-0.61080531674084981</v>
      </c>
      <c r="J53" s="24">
        <f t="shared" si="13"/>
        <v>-0.59941002387210207</v>
      </c>
      <c r="L53" s="20" t="s">
        <v>22</v>
      </c>
      <c r="M53" s="21">
        <f>SUM(M47:M52)</f>
        <v>9640837304</v>
      </c>
      <c r="N53" s="21">
        <f>SUM(N47:N52)</f>
        <v>9522028578</v>
      </c>
      <c r="O53" s="21">
        <f>SUM(O47:O52)</f>
        <v>12000000000</v>
      </c>
      <c r="P53" s="21">
        <f>SUM(P47:P52)</f>
        <v>4711735901.3962002</v>
      </c>
      <c r="Q53" s="22">
        <f t="shared" si="14"/>
        <v>0.39264465844968333</v>
      </c>
      <c r="R53" s="23">
        <f t="shared" si="15"/>
        <v>-0.5112731650972584</v>
      </c>
      <c r="S53" s="24">
        <f t="shared" si="16"/>
        <v>-0.50517519845693948</v>
      </c>
    </row>
    <row r="54" spans="3:19" ht="15" thickBot="1" x14ac:dyDescent="0.4">
      <c r="C54" s="30" t="s">
        <v>23</v>
      </c>
      <c r="D54" s="31">
        <f>D46+D53</f>
        <v>27149051115</v>
      </c>
      <c r="E54" s="31">
        <f>E46+E53</f>
        <v>25169648212</v>
      </c>
      <c r="F54" s="31">
        <f>F46+F53</f>
        <v>66000000000</v>
      </c>
      <c r="G54" s="32">
        <f>G46+G53</f>
        <v>15231433117.503601</v>
      </c>
      <c r="H54" s="33">
        <f t="shared" si="11"/>
        <v>0.23077928965914546</v>
      </c>
      <c r="I54" s="34">
        <f t="shared" si="12"/>
        <v>-0.43896996425454626</v>
      </c>
      <c r="J54" s="35">
        <f t="shared" si="13"/>
        <v>-0.39484918544702619</v>
      </c>
      <c r="L54" s="30" t="s">
        <v>23</v>
      </c>
      <c r="M54" s="31">
        <f>M46+M53</f>
        <v>20779687463</v>
      </c>
      <c r="N54" s="31">
        <f>N46+N53</f>
        <v>18718406379</v>
      </c>
      <c r="O54" s="31">
        <f>O46+O53</f>
        <v>24000000000</v>
      </c>
      <c r="P54" s="32">
        <f>P46+P53</f>
        <v>14084200478.107899</v>
      </c>
      <c r="Q54" s="33">
        <f t="shared" si="14"/>
        <v>0.58684168658782909</v>
      </c>
      <c r="R54" s="34">
        <f t="shared" si="15"/>
        <v>-0.32221307451394465</v>
      </c>
      <c r="S54" s="35">
        <f t="shared" si="16"/>
        <v>-0.24757480989894376</v>
      </c>
    </row>
    <row r="55" spans="3:19" ht="15.5" thickTop="1" thickBot="1" x14ac:dyDescent="0.4">
      <c r="C55" s="36" t="s">
        <v>24</v>
      </c>
      <c r="D55" s="37">
        <f>IFERROR(AVERAGE(D40:D45,D47:D52),0)</f>
        <v>2262420926.25</v>
      </c>
      <c r="E55" s="37">
        <f>IFERROR(AVERAGE(E40:E45,E47:E52),0)</f>
        <v>2097470684.3333333</v>
      </c>
      <c r="F55" s="37">
        <f>IFERROR(AVERAGE(F40:F45,F47:F52),0)</f>
        <v>5500000000</v>
      </c>
      <c r="G55" s="38">
        <f>IFERROR(AVERAGE(G40:G45,G47:G52),0)</f>
        <v>1269286093.1253002</v>
      </c>
      <c r="H55" s="39">
        <f t="shared" si="11"/>
        <v>0.23077928965914549</v>
      </c>
      <c r="I55" s="40">
        <f t="shared" si="12"/>
        <v>-0.43896996425454626</v>
      </c>
      <c r="J55" s="41">
        <f t="shared" si="13"/>
        <v>-0.39484918544702607</v>
      </c>
      <c r="L55" s="36" t="s">
        <v>24</v>
      </c>
      <c r="M55" s="37">
        <f>IFERROR(AVERAGE(M40:M45,M47:M52),0)</f>
        <v>1731640621.9166667</v>
      </c>
      <c r="N55" s="37">
        <f>IFERROR(AVERAGE(N40:N45,N47:N52),0)</f>
        <v>1559867198.25</v>
      </c>
      <c r="O55" s="37">
        <f>IFERROR(AVERAGE(O40:O45,O47:O52),0)</f>
        <v>2000000000</v>
      </c>
      <c r="P55" s="38">
        <f>IFERROR(AVERAGE(P40:P45,P47:P52),0)</f>
        <v>1173683373.175658</v>
      </c>
      <c r="Q55" s="39">
        <f t="shared" si="14"/>
        <v>0.58684168658782898</v>
      </c>
      <c r="R55" s="40">
        <f t="shared" si="15"/>
        <v>-0.32221307451394487</v>
      </c>
      <c r="S55" s="41">
        <f t="shared" si="16"/>
        <v>-0.24757480989894387</v>
      </c>
    </row>
    <row r="56" spans="3:19" x14ac:dyDescent="0.35">
      <c r="C56"/>
    </row>
    <row r="57" spans="3:19" x14ac:dyDescent="0.35">
      <c r="C57"/>
    </row>
    <row r="58" spans="3:19" x14ac:dyDescent="0.35">
      <c r="C58" s="497" t="s">
        <v>145</v>
      </c>
      <c r="D58" s="497"/>
      <c r="E58" s="497"/>
      <c r="F58" s="497"/>
      <c r="G58" s="497"/>
      <c r="H58" s="497"/>
      <c r="I58" s="497"/>
      <c r="J58" s="497"/>
    </row>
    <row r="59" spans="3:19" x14ac:dyDescent="0.35">
      <c r="C59" s="497"/>
      <c r="D59" s="497"/>
      <c r="E59" s="497"/>
      <c r="F59" s="497"/>
      <c r="G59" s="497"/>
      <c r="H59" s="497"/>
      <c r="I59" s="497"/>
      <c r="J59" s="497"/>
    </row>
    <row r="60" spans="3:19" ht="15" thickBot="1" x14ac:dyDescent="0.4">
      <c r="C60"/>
    </row>
    <row r="61" spans="3:19" ht="15" thickBot="1" x14ac:dyDescent="0.4">
      <c r="C61" s="498" t="s">
        <v>2</v>
      </c>
      <c r="D61" s="500" t="s">
        <v>154</v>
      </c>
      <c r="E61" s="500"/>
      <c r="F61" s="500"/>
      <c r="G61" s="500"/>
      <c r="H61" s="501"/>
      <c r="I61" s="502" t="s">
        <v>4</v>
      </c>
      <c r="J61" s="501"/>
    </row>
    <row r="62" spans="3:19" ht="15" thickBot="1" x14ac:dyDescent="0.4">
      <c r="C62" s="499"/>
      <c r="D62" s="6">
        <v>2024</v>
      </c>
      <c r="E62" s="6">
        <v>2025</v>
      </c>
      <c r="F62" s="155" t="s">
        <v>5</v>
      </c>
      <c r="G62" s="6">
        <v>2026</v>
      </c>
      <c r="H62" s="6" t="s">
        <v>6</v>
      </c>
      <c r="I62" s="6" t="s">
        <v>8</v>
      </c>
      <c r="J62" s="7" t="s">
        <v>7</v>
      </c>
    </row>
    <row r="63" spans="3:19" x14ac:dyDescent="0.35">
      <c r="C63" s="8" t="s">
        <v>9</v>
      </c>
      <c r="D63" s="10">
        <v>522614095</v>
      </c>
      <c r="E63" s="10">
        <v>534859990</v>
      </c>
      <c r="F63" s="10">
        <v>1300000000</v>
      </c>
      <c r="G63" s="11">
        <f>'AGPn-Harian'!E33</f>
        <v>927956967</v>
      </c>
      <c r="H63" s="12">
        <f t="shared" ref="H63:H78" si="17">IFERROR(G63/F63,0)</f>
        <v>0.71381305153846153</v>
      </c>
      <c r="I63" s="13">
        <f t="shared" ref="I63:I78" si="18">IFERROR(G63/D63-1,0)</f>
        <v>0.77560646733035399</v>
      </c>
      <c r="J63" s="14">
        <f t="shared" ref="J63:J78" si="19">IFERROR(G63/E63-1,0)</f>
        <v>0.73495304257101002</v>
      </c>
    </row>
    <row r="64" spans="3:19" x14ac:dyDescent="0.35">
      <c r="C64" s="8" t="s">
        <v>10</v>
      </c>
      <c r="D64" s="10">
        <v>482084875</v>
      </c>
      <c r="E64" s="10">
        <v>545627478</v>
      </c>
      <c r="F64" s="10">
        <v>1300000000</v>
      </c>
      <c r="G64" s="11">
        <f>'AGPn-Harian'!E70</f>
        <v>1075641837.6654003</v>
      </c>
      <c r="H64" s="12">
        <f t="shared" si="17"/>
        <v>0.82741679820415404</v>
      </c>
      <c r="I64" s="15">
        <f t="shared" si="18"/>
        <v>1.2312291744589587</v>
      </c>
      <c r="J64" s="14">
        <f t="shared" si="19"/>
        <v>0.97138502189840281</v>
      </c>
    </row>
    <row r="65" spans="1:27" x14ac:dyDescent="0.35">
      <c r="A65" s="3"/>
      <c r="C65" s="8" t="s">
        <v>11</v>
      </c>
      <c r="D65" s="10">
        <v>529897021</v>
      </c>
      <c r="E65" s="10">
        <v>491041225</v>
      </c>
      <c r="F65" s="10">
        <v>1300000000</v>
      </c>
      <c r="G65" s="11">
        <f>'AGPn-Harian'!E107</f>
        <v>581081639.18820024</v>
      </c>
      <c r="H65" s="12">
        <f t="shared" si="17"/>
        <v>0.44698587629861558</v>
      </c>
      <c r="I65" s="15">
        <f t="shared" si="18"/>
        <v>9.6593519419314156E-2</v>
      </c>
      <c r="J65" s="14">
        <f t="shared" si="19"/>
        <v>0.1833663032838031</v>
      </c>
    </row>
    <row r="66" spans="1:27" x14ac:dyDescent="0.35">
      <c r="C66" s="8" t="s">
        <v>12</v>
      </c>
      <c r="D66" s="10">
        <v>277410724</v>
      </c>
      <c r="E66" s="10">
        <v>422854270</v>
      </c>
      <c r="F66" s="10">
        <v>1300000000</v>
      </c>
      <c r="G66" s="11">
        <f>'AGPn-Harian'!E144</f>
        <v>683306357.23449969</v>
      </c>
      <c r="H66" s="12">
        <f t="shared" si="17"/>
        <v>0.525620274795769</v>
      </c>
      <c r="I66" s="15">
        <f t="shared" si="18"/>
        <v>1.4631576868473899</v>
      </c>
      <c r="J66" s="14">
        <f t="shared" si="19"/>
        <v>0.61593817471560519</v>
      </c>
    </row>
    <row r="67" spans="1:27" x14ac:dyDescent="0.35">
      <c r="C67" s="8" t="s">
        <v>13</v>
      </c>
      <c r="D67" s="10">
        <v>531560545</v>
      </c>
      <c r="E67" s="10">
        <v>773168062</v>
      </c>
      <c r="F67" s="10">
        <v>1300000000</v>
      </c>
      <c r="G67" s="11">
        <f>'AGPn-Harian'!E181</f>
        <v>572973306.75979984</v>
      </c>
      <c r="H67" s="12">
        <f t="shared" si="17"/>
        <v>0.44074869750753831</v>
      </c>
      <c r="I67" s="15">
        <f t="shared" si="18"/>
        <v>7.7907892429826209E-2</v>
      </c>
      <c r="J67" s="14">
        <f t="shared" si="19"/>
        <v>-0.25892786456070682</v>
      </c>
    </row>
    <row r="68" spans="1:27" ht="15" thickBot="1" x14ac:dyDescent="0.4">
      <c r="C68" s="8" t="s">
        <v>14</v>
      </c>
      <c r="D68" s="17">
        <v>550661586</v>
      </c>
      <c r="E68" s="17">
        <v>565312362</v>
      </c>
      <c r="F68" s="10">
        <v>1300000000</v>
      </c>
      <c r="G68" s="11">
        <f>'AGPn-Harian'!E218</f>
        <v>703537987.83759928</v>
      </c>
      <c r="H68" s="18">
        <f t="shared" si="17"/>
        <v>0.5411830675673841</v>
      </c>
      <c r="I68" s="19">
        <f t="shared" si="18"/>
        <v>0.27762314591088844</v>
      </c>
      <c r="J68" s="14">
        <f t="shared" si="19"/>
        <v>0.24451194618949312</v>
      </c>
    </row>
    <row r="69" spans="1:27" ht="15" thickBot="1" x14ac:dyDescent="0.4">
      <c r="C69" s="20" t="s">
        <v>15</v>
      </c>
      <c r="D69" s="21">
        <f>SUM(D63:D68)</f>
        <v>2894228846</v>
      </c>
      <c r="E69" s="21">
        <f>SUM(E63:E68)</f>
        <v>3332863387</v>
      </c>
      <c r="F69" s="21">
        <f>SUM(F63:F68)</f>
        <v>7800000000</v>
      </c>
      <c r="G69" s="21">
        <f>SUM(G63:G68)</f>
        <v>4544498095.6854992</v>
      </c>
      <c r="H69" s="22">
        <f t="shared" si="17"/>
        <v>0.58262796098532044</v>
      </c>
      <c r="I69" s="23">
        <f t="shared" si="18"/>
        <v>0.57019307646189477</v>
      </c>
      <c r="J69" s="24">
        <f t="shared" si="19"/>
        <v>0.36354166612755301</v>
      </c>
    </row>
    <row r="70" spans="1:27" x14ac:dyDescent="0.35">
      <c r="C70" s="25" t="s">
        <v>16</v>
      </c>
      <c r="D70" s="26">
        <v>424874505</v>
      </c>
      <c r="E70" s="26">
        <v>652868092</v>
      </c>
      <c r="F70" s="10">
        <v>1300000000</v>
      </c>
      <c r="G70" s="11">
        <f>'AGPn-Harian'!E253</f>
        <v>632986845.50679958</v>
      </c>
      <c r="H70" s="27">
        <f t="shared" si="17"/>
        <v>0.48691295808215351</v>
      </c>
      <c r="I70" s="13">
        <f t="shared" si="18"/>
        <v>0.48982073072800536</v>
      </c>
      <c r="J70" s="14">
        <f t="shared" si="19"/>
        <v>-3.0452164436917228E-2</v>
      </c>
    </row>
    <row r="71" spans="1:27" x14ac:dyDescent="0.35">
      <c r="C71" s="28" t="s">
        <v>17</v>
      </c>
      <c r="D71" s="10">
        <v>614002976</v>
      </c>
      <c r="E71" s="10">
        <v>921956624</v>
      </c>
      <c r="F71" s="10">
        <v>1300000000</v>
      </c>
      <c r="G71" s="11">
        <f>'AGPn-Harian'!E290</f>
        <v>682757940.53159952</v>
      </c>
      <c r="H71" s="12">
        <f t="shared" si="17"/>
        <v>0.5251984157935381</v>
      </c>
      <c r="I71" s="15">
        <f t="shared" si="18"/>
        <v>0.1119782268475511</v>
      </c>
      <c r="J71" s="14">
        <f t="shared" si="19"/>
        <v>-0.25944678658591691</v>
      </c>
    </row>
    <row r="72" spans="1:27" x14ac:dyDescent="0.35">
      <c r="C72" s="28" t="s">
        <v>18</v>
      </c>
      <c r="D72" s="10">
        <v>515568494</v>
      </c>
      <c r="E72" s="10">
        <v>725634272</v>
      </c>
      <c r="F72" s="10">
        <v>1300000000</v>
      </c>
      <c r="G72" s="11">
        <f>'AGPn-Harian'!E329</f>
        <v>360678925.2244997</v>
      </c>
      <c r="H72" s="12">
        <f t="shared" si="17"/>
        <v>0.27744532709576902</v>
      </c>
      <c r="I72" s="15">
        <f t="shared" si="18"/>
        <v>-0.30042481373095753</v>
      </c>
      <c r="J72" s="14">
        <f t="shared" si="19"/>
        <v>-0.50294667831717343</v>
      </c>
    </row>
    <row r="73" spans="1:27" x14ac:dyDescent="0.35">
      <c r="C73" s="28" t="s">
        <v>19</v>
      </c>
      <c r="D73" s="10">
        <v>583761257</v>
      </c>
      <c r="E73" s="10">
        <v>962845382</v>
      </c>
      <c r="F73" s="10">
        <v>1300000000</v>
      </c>
      <c r="G73" s="11">
        <v>0</v>
      </c>
      <c r="H73" s="12">
        <f t="shared" si="17"/>
        <v>0</v>
      </c>
      <c r="I73" s="15">
        <f t="shared" si="18"/>
        <v>-1</v>
      </c>
      <c r="J73" s="14">
        <f t="shared" si="19"/>
        <v>-1</v>
      </c>
    </row>
    <row r="74" spans="1:27" x14ac:dyDescent="0.35">
      <c r="C74" s="28" t="s">
        <v>20</v>
      </c>
      <c r="D74" s="10">
        <v>661596845</v>
      </c>
      <c r="E74" s="10">
        <v>840986035</v>
      </c>
      <c r="F74" s="10">
        <v>1300000000</v>
      </c>
      <c r="G74" s="11">
        <v>0</v>
      </c>
      <c r="H74" s="12">
        <f t="shared" si="17"/>
        <v>0</v>
      </c>
      <c r="I74" s="15">
        <f t="shared" si="18"/>
        <v>-1</v>
      </c>
      <c r="J74" s="14">
        <f t="shared" si="19"/>
        <v>-1</v>
      </c>
    </row>
    <row r="75" spans="1:27" ht="15" thickBot="1" x14ac:dyDescent="0.4">
      <c r="C75" s="29" t="s">
        <v>21</v>
      </c>
      <c r="D75" s="11">
        <v>621428051</v>
      </c>
      <c r="E75" s="11">
        <v>724521118</v>
      </c>
      <c r="F75" s="10">
        <v>1300000000</v>
      </c>
      <c r="G75" s="11">
        <v>0</v>
      </c>
      <c r="H75" s="18">
        <f t="shared" si="17"/>
        <v>0</v>
      </c>
      <c r="I75" s="19">
        <f t="shared" si="18"/>
        <v>-1</v>
      </c>
      <c r="J75" s="14">
        <f t="shared" si="19"/>
        <v>-1</v>
      </c>
    </row>
    <row r="76" spans="1:27" ht="15" thickBot="1" x14ac:dyDescent="0.4">
      <c r="C76" s="20" t="s">
        <v>22</v>
      </c>
      <c r="D76" s="21">
        <f>SUM(D70:D75)</f>
        <v>3421232128</v>
      </c>
      <c r="E76" s="21">
        <f>SUM(E70:E75)</f>
        <v>4828811523</v>
      </c>
      <c r="F76" s="21">
        <f>SUM(F70:F75)</f>
        <v>7800000000</v>
      </c>
      <c r="G76" s="21">
        <f>SUM(G70:G75)</f>
        <v>1676423711.2628989</v>
      </c>
      <c r="H76" s="22">
        <f t="shared" si="17"/>
        <v>0.21492611682857679</v>
      </c>
      <c r="I76" s="23">
        <f t="shared" si="18"/>
        <v>-0.5099941633475451</v>
      </c>
      <c r="J76" s="24">
        <f t="shared" si="19"/>
        <v>-0.65282892006077187</v>
      </c>
    </row>
    <row r="77" spans="1:27" ht="15" thickBot="1" x14ac:dyDescent="0.4">
      <c r="C77" s="30" t="s">
        <v>23</v>
      </c>
      <c r="D77" s="31">
        <f>D69+D76</f>
        <v>6315460974</v>
      </c>
      <c r="E77" s="31">
        <f>E69+E76</f>
        <v>8161674910</v>
      </c>
      <c r="F77" s="31">
        <f>F69+F76</f>
        <v>15600000000</v>
      </c>
      <c r="G77" s="32">
        <f>G69+G76</f>
        <v>6220921806.9483986</v>
      </c>
      <c r="H77" s="33">
        <f t="shared" si="17"/>
        <v>0.3987770389069486</v>
      </c>
      <c r="I77" s="34">
        <f t="shared" si="18"/>
        <v>-1.4969480049169426E-2</v>
      </c>
      <c r="J77" s="35">
        <f t="shared" si="19"/>
        <v>-0.23778858193355823</v>
      </c>
    </row>
    <row r="78" spans="1:27" ht="15.5" thickTop="1" thickBot="1" x14ac:dyDescent="0.4">
      <c r="C78" s="36" t="s">
        <v>24</v>
      </c>
      <c r="D78" s="37">
        <f>IFERROR(AVERAGE(D63:D68,D70:D75),0)</f>
        <v>526288414.5</v>
      </c>
      <c r="E78" s="37">
        <f>IFERROR(AVERAGE(E63:E68,E70:E75),0)</f>
        <v>680139575.83333337</v>
      </c>
      <c r="F78" s="37">
        <f>IFERROR(AVERAGE(F63:F68,F70:F75),0)</f>
        <v>1300000000</v>
      </c>
      <c r="G78" s="38">
        <f>IFERROR(AVERAGE(G63:G68,G70:G75),0)</f>
        <v>518410150.57903314</v>
      </c>
      <c r="H78" s="39">
        <f t="shared" si="17"/>
        <v>0.39877703890694854</v>
      </c>
      <c r="I78" s="40">
        <f t="shared" si="18"/>
        <v>-1.4969480049169648E-2</v>
      </c>
      <c r="J78" s="41">
        <f t="shared" si="19"/>
        <v>-0.23778858193355834</v>
      </c>
    </row>
    <row r="79" spans="1:27" x14ac:dyDescent="0.35">
      <c r="P79" s="156"/>
      <c r="R79" s="154"/>
    </row>
    <row r="80" spans="1:27" x14ac:dyDescent="0.35">
      <c r="C80"/>
      <c r="D80" s="4"/>
      <c r="E80" s="4"/>
      <c r="F80" s="4"/>
      <c r="G80" s="4"/>
      <c r="H80" s="1"/>
      <c r="I80" s="1"/>
      <c r="J80" s="1"/>
      <c r="X80" s="4"/>
      <c r="Y80" s="4"/>
      <c r="Z80" s="4"/>
      <c r="AA80" s="4"/>
    </row>
    <row r="81" spans="4:30" x14ac:dyDescent="0.35">
      <c r="D81" s="3"/>
      <c r="E81" s="3"/>
      <c r="F81" s="3"/>
      <c r="G81" s="3"/>
      <c r="H81" s="3"/>
      <c r="M81" s="3"/>
      <c r="N81" s="3"/>
      <c r="X81" s="3"/>
      <c r="Y81" s="3"/>
      <c r="Z81" s="3"/>
      <c r="AB81"/>
      <c r="AC81"/>
      <c r="AD81"/>
    </row>
    <row r="82" spans="4:30" x14ac:dyDescent="0.35">
      <c r="G82" s="3"/>
      <c r="H82" s="3"/>
    </row>
  </sheetData>
  <mergeCells count="23">
    <mergeCell ref="D61:H61"/>
    <mergeCell ref="I61:J61"/>
    <mergeCell ref="C35:J36"/>
    <mergeCell ref="L35:S36"/>
    <mergeCell ref="C38:C39"/>
    <mergeCell ref="D38:H38"/>
    <mergeCell ref="I38:J38"/>
    <mergeCell ref="L38:L39"/>
    <mergeCell ref="M38:Q38"/>
    <mergeCell ref="R38:S38"/>
    <mergeCell ref="C58:J59"/>
    <mergeCell ref="C61:C62"/>
    <mergeCell ref="C29:E30"/>
    <mergeCell ref="G29:I29"/>
    <mergeCell ref="G30:I32"/>
    <mergeCell ref="C4:C5"/>
    <mergeCell ref="D4:H4"/>
    <mergeCell ref="I4:J4"/>
    <mergeCell ref="C23:E24"/>
    <mergeCell ref="G23:I24"/>
    <mergeCell ref="C25:E26"/>
    <mergeCell ref="G26:I27"/>
    <mergeCell ref="C27:E28"/>
  </mergeCells>
  <conditionalFormatting sqref="H6:H21">
    <cfRule type="cellIs" dxfId="144" priority="16" stopIfTrue="1" operator="lessThan">
      <formula>0.9</formula>
    </cfRule>
    <cfRule type="cellIs" dxfId="143" priority="17" stopIfTrue="1" operator="greaterThan">
      <formula>1</formula>
    </cfRule>
    <cfRule type="cellIs" dxfId="142" priority="18" stopIfTrue="1" operator="greaterThan">
      <formula>0.9</formula>
    </cfRule>
  </conditionalFormatting>
  <conditionalFormatting sqref="H40:H55">
    <cfRule type="cellIs" dxfId="141" priority="11" stopIfTrue="1" operator="lessThan">
      <formula>0.9</formula>
    </cfRule>
    <cfRule type="cellIs" dxfId="140" priority="12" stopIfTrue="1" operator="greaterThan">
      <formula>1</formula>
    </cfRule>
    <cfRule type="cellIs" dxfId="139" priority="13" stopIfTrue="1" operator="greaterThan">
      <formula>0.9</formula>
    </cfRule>
  </conditionalFormatting>
  <conditionalFormatting sqref="H63:H78">
    <cfRule type="cellIs" dxfId="138" priority="1" stopIfTrue="1" operator="lessThan">
      <formula>0.9</formula>
    </cfRule>
    <cfRule type="cellIs" dxfId="137" priority="2" stopIfTrue="1" operator="greaterThan">
      <formula>1</formula>
    </cfRule>
    <cfRule type="cellIs" dxfId="136" priority="3" stopIfTrue="1" operator="greaterThan">
      <formula>0.9</formula>
    </cfRule>
  </conditionalFormatting>
  <conditionalFormatting sqref="I6:J21">
    <cfRule type="cellIs" dxfId="135" priority="19" operator="greaterThan">
      <formula>0</formula>
    </cfRule>
    <cfRule type="cellIs" dxfId="134" priority="20" operator="lessThan">
      <formula>0</formula>
    </cfRule>
  </conditionalFormatting>
  <conditionalFormatting sqref="I40:J55">
    <cfRule type="cellIs" dxfId="133" priority="14" operator="greaterThan">
      <formula>0</formula>
    </cfRule>
    <cfRule type="cellIs" dxfId="132" priority="15" operator="lessThan">
      <formula>0</formula>
    </cfRule>
  </conditionalFormatting>
  <conditionalFormatting sqref="I63:J78">
    <cfRule type="cellIs" dxfId="131" priority="4" operator="greaterThan">
      <formula>0</formula>
    </cfRule>
    <cfRule type="cellIs" dxfId="130" priority="5" operator="lessThan">
      <formula>0</formula>
    </cfRule>
  </conditionalFormatting>
  <conditionalFormatting sqref="Q40:Q55">
    <cfRule type="cellIs" dxfId="129" priority="6" stopIfTrue="1" operator="lessThan">
      <formula>0.9</formula>
    </cfRule>
    <cfRule type="cellIs" dxfId="128" priority="7" stopIfTrue="1" operator="greaterThan">
      <formula>1</formula>
    </cfRule>
    <cfRule type="cellIs" dxfId="127" priority="8" stopIfTrue="1" operator="greaterThan">
      <formula>0.9</formula>
    </cfRule>
  </conditionalFormatting>
  <conditionalFormatting sqref="R40:S55">
    <cfRule type="cellIs" dxfId="126" priority="9" operator="greaterThan">
      <formula>0</formula>
    </cfRule>
    <cfRule type="cellIs" dxfId="125" priority="10" operator="lessThan">
      <formula>0</formula>
    </cfRule>
  </conditionalFormatting>
  <printOptions horizontalCentered="1"/>
  <pageMargins left="0" right="0" top="0.23622047244094491" bottom="0" header="0" footer="0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CDAEB-6C29-45F4-9AEF-23B4D31B8DDB}">
  <sheetPr>
    <tabColor rgb="FFC00000"/>
    <pageSetUpPr fitToPage="1"/>
  </sheetPr>
  <dimension ref="A3:AQ107"/>
  <sheetViews>
    <sheetView showGridLines="0" zoomScale="55" zoomScaleNormal="55" workbookViewId="0">
      <selection activeCell="L11" sqref="L11:N15"/>
    </sheetView>
  </sheetViews>
  <sheetFormatPr defaultRowHeight="14.5" x14ac:dyDescent="0.35"/>
  <cols>
    <col min="1" max="1" width="12.453125" bestFit="1" customWidth="1"/>
    <col min="2" max="2" width="2.54296875" customWidth="1"/>
    <col min="3" max="3" width="9.81640625" style="1" bestFit="1" customWidth="1"/>
    <col min="4" max="7" width="16.1796875" customWidth="1"/>
    <col min="8" max="8" width="7.81640625" customWidth="1"/>
    <col min="9" max="10" width="9.1796875" customWidth="1"/>
    <col min="11" max="11" width="2.54296875" customWidth="1"/>
    <col min="12" max="12" width="12.453125" bestFit="1" customWidth="1"/>
    <col min="13" max="16" width="16.1796875" customWidth="1"/>
    <col min="17" max="17" width="7.81640625" customWidth="1"/>
    <col min="18" max="19" width="9.1796875" customWidth="1"/>
    <col min="20" max="20" width="2.54296875" customWidth="1"/>
    <col min="21" max="21" width="14.1796875" customWidth="1"/>
    <col min="22" max="22" width="2.81640625" customWidth="1"/>
    <col min="23" max="23" width="9.81640625" bestFit="1" customWidth="1"/>
    <col min="24" max="27" width="16.1796875" customWidth="1"/>
    <col min="28" max="28" width="7.81640625" style="1" customWidth="1"/>
    <col min="29" max="30" width="9.1796875" style="1" customWidth="1"/>
    <col min="31" max="31" width="2.54296875" customWidth="1"/>
    <col min="32" max="32" width="9.81640625" bestFit="1" customWidth="1"/>
    <col min="33" max="36" width="16.1796875" customWidth="1"/>
    <col min="37" max="37" width="7.81640625" style="1" customWidth="1"/>
    <col min="38" max="39" width="9.1796875" style="1" customWidth="1"/>
    <col min="40" max="40" width="2.81640625" customWidth="1"/>
    <col min="41" max="41" width="13.1796875" bestFit="1" customWidth="1"/>
  </cols>
  <sheetData>
    <row r="3" spans="1:39" ht="15" thickBot="1" x14ac:dyDescent="0.4"/>
    <row r="4" spans="1:39" ht="15" customHeight="1" thickBot="1" x14ac:dyDescent="0.4">
      <c r="C4" s="498" t="s">
        <v>2</v>
      </c>
      <c r="D4" s="502" t="s">
        <v>28</v>
      </c>
      <c r="E4" s="500"/>
      <c r="F4" s="500"/>
      <c r="G4" s="500"/>
      <c r="H4" s="501"/>
      <c r="I4" s="502" t="s">
        <v>4</v>
      </c>
      <c r="J4" s="501"/>
      <c r="W4" s="1"/>
      <c r="X4" s="1"/>
      <c r="Y4" s="1"/>
      <c r="AB4"/>
      <c r="AC4"/>
      <c r="AD4"/>
      <c r="AF4" s="1"/>
      <c r="AG4" s="1"/>
      <c r="AH4" s="1"/>
      <c r="AK4"/>
      <c r="AL4"/>
      <c r="AM4"/>
    </row>
    <row r="5" spans="1:39" ht="15" thickBot="1" x14ac:dyDescent="0.4">
      <c r="C5" s="499"/>
      <c r="D5" s="6">
        <v>2024</v>
      </c>
      <c r="E5" s="6">
        <v>2025</v>
      </c>
      <c r="F5" s="155" t="s">
        <v>5</v>
      </c>
      <c r="G5" s="6">
        <v>2026</v>
      </c>
      <c r="H5" s="6" t="s">
        <v>6</v>
      </c>
      <c r="I5" s="6" t="s">
        <v>8</v>
      </c>
      <c r="J5" s="7" t="s">
        <v>7</v>
      </c>
      <c r="W5" s="1"/>
      <c r="X5" s="1"/>
      <c r="Y5" s="1"/>
      <c r="AB5"/>
      <c r="AC5"/>
      <c r="AD5"/>
      <c r="AF5" s="1"/>
      <c r="AG5" s="1"/>
      <c r="AH5" s="1"/>
      <c r="AK5"/>
      <c r="AL5"/>
      <c r="AM5"/>
    </row>
    <row r="6" spans="1:39" x14ac:dyDescent="0.35">
      <c r="C6" s="8" t="s">
        <v>9</v>
      </c>
      <c r="D6" s="26">
        <f>SUM(D38,X38)</f>
        <v>8058672985</v>
      </c>
      <c r="E6" s="26">
        <f>SUM(E38,Y38)</f>
        <v>8157756904</v>
      </c>
      <c r="F6" s="26">
        <f>SUM(F38,Z38)</f>
        <v>14040000000</v>
      </c>
      <c r="G6" s="26">
        <f>SUM(G38,AA38)</f>
        <v>9944665030.6396008</v>
      </c>
      <c r="H6" s="27">
        <f>IFERROR(G6/F6,0)</f>
        <v>0.70830947511678066</v>
      </c>
      <c r="I6" s="13">
        <f>IFERROR(G6/D6-1,0)</f>
        <v>0.23403258193378607</v>
      </c>
      <c r="J6" s="14">
        <f t="shared" ref="J6:J21" si="0">IFERROR(G6/E6-1,0)</f>
        <v>0.21904405189659726</v>
      </c>
      <c r="W6" s="1"/>
      <c r="X6" s="1"/>
      <c r="Y6" s="1"/>
      <c r="AB6"/>
      <c r="AC6"/>
      <c r="AD6"/>
      <c r="AF6" s="1"/>
      <c r="AG6" s="1"/>
      <c r="AH6" s="1"/>
      <c r="AK6"/>
      <c r="AL6"/>
      <c r="AM6"/>
    </row>
    <row r="7" spans="1:39" x14ac:dyDescent="0.35">
      <c r="C7" s="8" t="s">
        <v>10</v>
      </c>
      <c r="D7" s="26">
        <f t="shared" ref="D7:D11" si="1">SUM(D39,X39)</f>
        <v>8229737374</v>
      </c>
      <c r="E7" s="26">
        <f t="shared" ref="E7:E13" si="2">SUM(E39,Y39)</f>
        <v>10120775617</v>
      </c>
      <c r="F7" s="10">
        <f t="shared" ref="F7:F11" si="3">SUM(F39,Z39)</f>
        <v>12480000000</v>
      </c>
      <c r="G7" s="26">
        <f>SUM(G39,AA39)</f>
        <v>10890747766.420799</v>
      </c>
      <c r="H7" s="12">
        <f t="shared" ref="H7:H16" si="4">IFERROR(G7/F7,0)</f>
        <v>0.87265607102730758</v>
      </c>
      <c r="I7" s="15">
        <f t="shared" ref="I7:I19" si="5">IFERROR(G7/D7-1,0)</f>
        <v>0.32334086392934736</v>
      </c>
      <c r="J7" s="14">
        <f t="shared" si="0"/>
        <v>7.6078373689805634E-2</v>
      </c>
      <c r="W7" s="1"/>
      <c r="X7" s="1"/>
      <c r="Y7" s="1"/>
      <c r="AB7"/>
      <c r="AC7"/>
      <c r="AD7"/>
      <c r="AF7" s="1"/>
      <c r="AG7" s="1"/>
      <c r="AH7" s="1"/>
      <c r="AK7"/>
      <c r="AL7"/>
      <c r="AM7"/>
    </row>
    <row r="8" spans="1:39" x14ac:dyDescent="0.35">
      <c r="A8" s="3"/>
      <c r="C8" s="8" t="s">
        <v>11</v>
      </c>
      <c r="D8" s="26">
        <f t="shared" si="1"/>
        <v>9125985439</v>
      </c>
      <c r="E8" s="26">
        <f t="shared" si="2"/>
        <v>8104379074</v>
      </c>
      <c r="F8" s="10">
        <f t="shared" si="3"/>
        <v>12480000000</v>
      </c>
      <c r="G8" s="11">
        <f t="shared" ref="G8:G11" si="6">SUM(G40,AA40)</f>
        <v>5271588929.4695997</v>
      </c>
      <c r="H8" s="12">
        <f t="shared" si="4"/>
        <v>0.42240295909211534</v>
      </c>
      <c r="I8" s="15">
        <f t="shared" si="5"/>
        <v>-0.42235400607353524</v>
      </c>
      <c r="J8" s="14">
        <f t="shared" si="0"/>
        <v>-0.34953820874672481</v>
      </c>
      <c r="W8" s="1"/>
      <c r="X8" s="1"/>
      <c r="Y8" s="1"/>
      <c r="AB8"/>
      <c r="AC8"/>
      <c r="AD8"/>
      <c r="AF8" s="1"/>
      <c r="AG8" s="1"/>
      <c r="AH8" s="1"/>
      <c r="AK8"/>
      <c r="AL8"/>
      <c r="AM8"/>
    </row>
    <row r="9" spans="1:39" x14ac:dyDescent="0.35">
      <c r="C9" s="8" t="s">
        <v>12</v>
      </c>
      <c r="D9" s="26">
        <f t="shared" si="1"/>
        <v>4936471484</v>
      </c>
      <c r="E9" s="26">
        <f t="shared" si="2"/>
        <v>7076193389</v>
      </c>
      <c r="F9" s="10">
        <f t="shared" si="3"/>
        <v>14040000000</v>
      </c>
      <c r="G9" s="11">
        <f t="shared" si="6"/>
        <v>9103181216.2157993</v>
      </c>
      <c r="H9" s="12">
        <f t="shared" si="4"/>
        <v>0.64837473049970085</v>
      </c>
      <c r="I9" s="15">
        <f t="shared" si="5"/>
        <v>0.84406640364901575</v>
      </c>
      <c r="J9" s="14">
        <f t="shared" si="0"/>
        <v>0.28645172846275924</v>
      </c>
      <c r="L9" s="3"/>
      <c r="W9" s="1"/>
      <c r="X9" s="1"/>
      <c r="Y9" s="1"/>
      <c r="AB9"/>
      <c r="AC9"/>
      <c r="AD9"/>
      <c r="AF9" s="1"/>
      <c r="AG9" s="1"/>
      <c r="AH9" s="1"/>
      <c r="AK9"/>
      <c r="AL9"/>
      <c r="AM9"/>
    </row>
    <row r="10" spans="1:39" x14ac:dyDescent="0.35">
      <c r="C10" s="8" t="s">
        <v>13</v>
      </c>
      <c r="D10" s="26">
        <f t="shared" si="1"/>
        <v>8585568703</v>
      </c>
      <c r="E10" s="26">
        <f t="shared" si="2"/>
        <v>10219021338</v>
      </c>
      <c r="F10" s="10">
        <f t="shared" si="3"/>
        <v>12480000000</v>
      </c>
      <c r="G10" s="11">
        <f t="shared" si="6"/>
        <v>9594542995.5242977</v>
      </c>
      <c r="H10" s="12">
        <f t="shared" si="4"/>
        <v>0.7687935092567546</v>
      </c>
      <c r="I10" s="15">
        <f t="shared" si="5"/>
        <v>0.11751979716518246</v>
      </c>
      <c r="J10" s="14">
        <f t="shared" si="0"/>
        <v>-6.1109407821035133E-2</v>
      </c>
      <c r="L10" s="154"/>
      <c r="W10" s="1"/>
      <c r="X10" s="1"/>
      <c r="Y10" s="1"/>
      <c r="AB10"/>
      <c r="AC10"/>
      <c r="AD10"/>
      <c r="AF10" s="1"/>
      <c r="AG10" s="1"/>
      <c r="AH10" s="1"/>
      <c r="AK10"/>
      <c r="AL10"/>
      <c r="AM10"/>
    </row>
    <row r="11" spans="1:39" ht="15" thickBot="1" x14ac:dyDescent="0.4">
      <c r="C11" s="8" t="s">
        <v>14</v>
      </c>
      <c r="D11" s="26">
        <f t="shared" si="1"/>
        <v>10434470118</v>
      </c>
      <c r="E11" s="26">
        <f t="shared" si="2"/>
        <v>9621574876</v>
      </c>
      <c r="F11" s="17">
        <f t="shared" si="3"/>
        <v>12480000000</v>
      </c>
      <c r="G11" s="11">
        <f t="shared" si="6"/>
        <v>9688776885.2033997</v>
      </c>
      <c r="H11" s="18">
        <f t="shared" si="4"/>
        <v>0.77634430169899038</v>
      </c>
      <c r="I11" s="19">
        <f t="shared" si="5"/>
        <v>-7.1464408289429238E-2</v>
      </c>
      <c r="J11" s="14">
        <f t="shared" si="0"/>
        <v>6.9845124181311391E-3</v>
      </c>
      <c r="W11" s="1"/>
      <c r="X11" s="1"/>
      <c r="Y11" s="1"/>
      <c r="AB11"/>
      <c r="AC11"/>
      <c r="AD11"/>
      <c r="AF11" s="1"/>
      <c r="AG11" s="1"/>
      <c r="AH11" s="1"/>
      <c r="AK11"/>
      <c r="AL11"/>
      <c r="AM11"/>
    </row>
    <row r="12" spans="1:39" ht="15" thickBot="1" x14ac:dyDescent="0.4">
      <c r="C12" s="20" t="s">
        <v>15</v>
      </c>
      <c r="D12" s="21">
        <f>SUM(D6:D11)</f>
        <v>49370906103</v>
      </c>
      <c r="E12" s="21">
        <f>SUM(E6:E11)</f>
        <v>53299701198</v>
      </c>
      <c r="F12" s="21">
        <f>SUM(F6:F11)</f>
        <v>78000000000</v>
      </c>
      <c r="G12" s="21">
        <f>SUM(G6:G11)</f>
        <v>54493502823.473503</v>
      </c>
      <c r="H12" s="22">
        <f t="shared" si="4"/>
        <v>0.69863465158299365</v>
      </c>
      <c r="I12" s="23">
        <f t="shared" si="5"/>
        <v>0.10375739731789602</v>
      </c>
      <c r="J12" s="24">
        <f t="shared" si="0"/>
        <v>2.2397904653137068E-2</v>
      </c>
      <c r="M12" s="3"/>
      <c r="N12" s="154"/>
      <c r="W12" s="1"/>
      <c r="X12" s="1"/>
      <c r="Y12" s="1"/>
      <c r="AB12"/>
      <c r="AC12"/>
      <c r="AD12"/>
      <c r="AF12" s="1"/>
      <c r="AG12" s="1"/>
      <c r="AH12" s="1"/>
      <c r="AK12"/>
      <c r="AL12"/>
      <c r="AM12"/>
    </row>
    <row r="13" spans="1:39" x14ac:dyDescent="0.35">
      <c r="C13" s="25" t="s">
        <v>16</v>
      </c>
      <c r="D13" s="26">
        <f>SUM(D45,X45)</f>
        <v>9077128427</v>
      </c>
      <c r="E13" s="26">
        <f t="shared" si="2"/>
        <v>10523559021</v>
      </c>
      <c r="F13" s="26">
        <f t="shared" ref="F13:F18" si="7">SUM(F45,Z45)</f>
        <v>12480000000</v>
      </c>
      <c r="G13" s="11">
        <f t="shared" ref="G13:G18" si="8">SUM(G45,AA45)</f>
        <v>11441452309.0513</v>
      </c>
      <c r="H13" s="27">
        <f t="shared" si="4"/>
        <v>0.91678303758423874</v>
      </c>
      <c r="I13" s="13">
        <f t="shared" si="5"/>
        <v>0.26047046718195555</v>
      </c>
      <c r="J13" s="14">
        <f t="shared" si="0"/>
        <v>8.7222705381289956E-2</v>
      </c>
      <c r="AA13" s="1"/>
      <c r="AC13"/>
      <c r="AD13"/>
      <c r="AJ13" s="1"/>
      <c r="AL13"/>
      <c r="AM13"/>
    </row>
    <row r="14" spans="1:39" x14ac:dyDescent="0.35">
      <c r="C14" s="28" t="s">
        <v>17</v>
      </c>
      <c r="D14" s="26">
        <f t="shared" ref="D14:D18" si="9">SUM(D46,X46)</f>
        <v>9624644911</v>
      </c>
      <c r="E14" s="26">
        <f>SUM(E46,Y46)</f>
        <v>9712799769</v>
      </c>
      <c r="F14" s="10">
        <f t="shared" si="7"/>
        <v>14040000000</v>
      </c>
      <c r="G14" s="11">
        <f t="shared" si="8"/>
        <v>10463407849.179899</v>
      </c>
      <c r="H14" s="12">
        <f t="shared" si="4"/>
        <v>0.74525696931480767</v>
      </c>
      <c r="I14" s="15">
        <f t="shared" si="5"/>
        <v>8.7147416443517534E-2</v>
      </c>
      <c r="J14" s="14">
        <f t="shared" si="0"/>
        <v>7.7280300019731518E-2</v>
      </c>
      <c r="AA14" s="1"/>
      <c r="AC14"/>
      <c r="AD14"/>
      <c r="AJ14" s="1"/>
      <c r="AL14"/>
      <c r="AM14"/>
    </row>
    <row r="15" spans="1:39" x14ac:dyDescent="0.35">
      <c r="C15" s="28" t="s">
        <v>18</v>
      </c>
      <c r="D15" s="26">
        <f t="shared" si="9"/>
        <v>9799462248</v>
      </c>
      <c r="E15" s="26">
        <f>SUM(E47,Y47)</f>
        <v>10201204794</v>
      </c>
      <c r="F15" s="10">
        <f t="shared" si="7"/>
        <v>12480000000</v>
      </c>
      <c r="G15" s="11">
        <f t="shared" si="8"/>
        <v>7771803446.7894001</v>
      </c>
      <c r="H15" s="12">
        <f t="shared" si="4"/>
        <v>0.62274066080043267</v>
      </c>
      <c r="I15" s="15">
        <f t="shared" si="5"/>
        <v>-0.20691531329940382</v>
      </c>
      <c r="J15" s="14">
        <f t="shared" si="0"/>
        <v>-0.23814847327047983</v>
      </c>
      <c r="AA15" s="1"/>
      <c r="AC15"/>
      <c r="AD15"/>
      <c r="AJ15" s="1"/>
      <c r="AL15"/>
      <c r="AM15"/>
    </row>
    <row r="16" spans="1:39" x14ac:dyDescent="0.35">
      <c r="C16" s="28" t="s">
        <v>19</v>
      </c>
      <c r="D16" s="26">
        <f t="shared" si="9"/>
        <v>9861295397</v>
      </c>
      <c r="E16" s="26">
        <f>SUM(E48,Y48)</f>
        <v>10115994802</v>
      </c>
      <c r="F16" s="10">
        <f t="shared" si="7"/>
        <v>14040000000</v>
      </c>
      <c r="G16" s="11">
        <f t="shared" si="8"/>
        <v>0</v>
      </c>
      <c r="H16" s="12">
        <f t="shared" si="4"/>
        <v>0</v>
      </c>
      <c r="I16" s="15">
        <f t="shared" si="5"/>
        <v>-1</v>
      </c>
      <c r="J16" s="14">
        <f t="shared" si="0"/>
        <v>-1</v>
      </c>
      <c r="AA16" s="1"/>
      <c r="AC16"/>
      <c r="AD16"/>
      <c r="AJ16" s="1"/>
      <c r="AL16"/>
      <c r="AM16"/>
    </row>
    <row r="17" spans="3:39" x14ac:dyDescent="0.35">
      <c r="C17" s="28" t="s">
        <v>20</v>
      </c>
      <c r="D17" s="26">
        <f t="shared" si="9"/>
        <v>9498552111</v>
      </c>
      <c r="E17" s="26">
        <f>SUM(E49,Y49)</f>
        <v>8931575417</v>
      </c>
      <c r="F17" s="10">
        <f t="shared" si="7"/>
        <v>12480000000</v>
      </c>
      <c r="G17" s="11">
        <f t="shared" si="8"/>
        <v>0</v>
      </c>
      <c r="H17" s="12">
        <f>IFERROR(G17/F17,0)</f>
        <v>0</v>
      </c>
      <c r="I17" s="15">
        <f t="shared" si="5"/>
        <v>-1</v>
      </c>
      <c r="J17" s="14">
        <f t="shared" si="0"/>
        <v>-1</v>
      </c>
      <c r="K17" s="156"/>
      <c r="AA17" s="1"/>
      <c r="AC17"/>
      <c r="AD17"/>
      <c r="AJ17" s="1"/>
      <c r="AL17"/>
      <c r="AM17"/>
    </row>
    <row r="18" spans="3:39" ht="15" thickBot="1" x14ac:dyDescent="0.4">
      <c r="C18" s="29" t="s">
        <v>21</v>
      </c>
      <c r="D18" s="26">
        <f t="shared" si="9"/>
        <v>9371173337</v>
      </c>
      <c r="E18" s="26">
        <f>SUM(E50,Y50)</f>
        <v>10887305064</v>
      </c>
      <c r="F18" s="11">
        <f t="shared" si="7"/>
        <v>12480000000</v>
      </c>
      <c r="G18" s="11">
        <f t="shared" si="8"/>
        <v>0</v>
      </c>
      <c r="H18" s="18">
        <f>IFERROR(G18/F18,0)</f>
        <v>0</v>
      </c>
      <c r="I18" s="19">
        <f t="shared" si="5"/>
        <v>-1</v>
      </c>
      <c r="J18" s="14">
        <f t="shared" si="0"/>
        <v>-1</v>
      </c>
      <c r="AA18" s="1"/>
      <c r="AC18"/>
      <c r="AD18"/>
      <c r="AJ18" s="1"/>
      <c r="AL18"/>
      <c r="AM18"/>
    </row>
    <row r="19" spans="3:39" ht="15" thickBot="1" x14ac:dyDescent="0.4">
      <c r="C19" s="20" t="s">
        <v>22</v>
      </c>
      <c r="D19" s="21">
        <f>SUM(D13:D18)</f>
        <v>57232256431</v>
      </c>
      <c r="E19" s="21">
        <f>SUM(E13:E18)</f>
        <v>60372438867</v>
      </c>
      <c r="F19" s="21">
        <f>SUM(F13:F18)</f>
        <v>78000000000</v>
      </c>
      <c r="G19" s="21">
        <f>SUM(G13:G18)</f>
        <v>29676663605.020599</v>
      </c>
      <c r="H19" s="22">
        <f>IFERROR(G19/F19,0)</f>
        <v>0.38047004621821279</v>
      </c>
      <c r="I19" s="23">
        <f t="shared" si="5"/>
        <v>-0.48146962123013282</v>
      </c>
      <c r="J19" s="24">
        <f t="shared" si="0"/>
        <v>-0.50844020612786489</v>
      </c>
      <c r="AA19" s="1"/>
      <c r="AC19"/>
      <c r="AD19"/>
      <c r="AJ19" s="1"/>
      <c r="AL19"/>
      <c r="AM19"/>
    </row>
    <row r="20" spans="3:39" ht="15" thickBot="1" x14ac:dyDescent="0.4">
      <c r="C20" s="30" t="s">
        <v>23</v>
      </c>
      <c r="D20" s="31">
        <f>D12+D19</f>
        <v>106603162534</v>
      </c>
      <c r="E20" s="31">
        <f>E12+E19</f>
        <v>113672140065</v>
      </c>
      <c r="F20" s="31">
        <f>F12+F19</f>
        <v>156000000000</v>
      </c>
      <c r="G20" s="32">
        <f>G12+G19</f>
        <v>84170166428.49411</v>
      </c>
      <c r="H20" s="33">
        <f>IFERROR(G20/F20,0)</f>
        <v>0.53955234890060322</v>
      </c>
      <c r="I20" s="34">
        <f>IFERROR(G20/D20-1,0)</f>
        <v>-0.21043462100245958</v>
      </c>
      <c r="J20" s="35">
        <f t="shared" si="0"/>
        <v>-0.25953565772260534</v>
      </c>
      <c r="AA20" s="1"/>
      <c r="AC20"/>
      <c r="AD20"/>
      <c r="AJ20" s="1"/>
      <c r="AL20"/>
      <c r="AM20"/>
    </row>
    <row r="21" spans="3:39" ht="15.5" thickTop="1" thickBot="1" x14ac:dyDescent="0.4">
      <c r="C21" s="36" t="s">
        <v>24</v>
      </c>
      <c r="D21" s="37">
        <f>IFERROR(AVERAGE(D6:D11,D13:D18),0)</f>
        <v>8883596877.833334</v>
      </c>
      <c r="E21" s="37">
        <f>IFERROR(AVERAGE(E6:E11,E13:E18),0)</f>
        <v>9472678338.75</v>
      </c>
      <c r="F21" s="37">
        <f>IFERROR(AVERAGE(F6:F11,F13:F18),0)</f>
        <v>13000000000</v>
      </c>
      <c r="G21" s="38">
        <f>IFERROR(AVERAGE(G6:G11,G13:G18),0)</f>
        <v>7014180535.7078409</v>
      </c>
      <c r="H21" s="39">
        <f>IFERROR(G21/F21,0)</f>
        <v>0.53955234890060311</v>
      </c>
      <c r="I21" s="40">
        <f>IFERROR(G21/D21-1,0)</f>
        <v>-0.2104346210024598</v>
      </c>
      <c r="J21" s="41">
        <f t="shared" si="0"/>
        <v>-0.25953565772260545</v>
      </c>
      <c r="AA21" s="1"/>
      <c r="AC21"/>
      <c r="AD21"/>
      <c r="AJ21" s="1"/>
      <c r="AL21"/>
      <c r="AM21"/>
    </row>
    <row r="22" spans="3:39" ht="15" thickBot="1" x14ac:dyDescent="0.4">
      <c r="AA22" s="1"/>
      <c r="AC22"/>
      <c r="AD22"/>
      <c r="AJ22" s="1"/>
      <c r="AL22"/>
      <c r="AM22"/>
    </row>
    <row r="23" spans="3:39" ht="15.65" customHeight="1" x14ac:dyDescent="0.35">
      <c r="C23" s="526" t="s">
        <v>29</v>
      </c>
      <c r="D23" s="527"/>
      <c r="E23" s="528"/>
      <c r="G23" s="526" t="s">
        <v>150</v>
      </c>
      <c r="H23" s="527"/>
      <c r="I23" s="528"/>
      <c r="AA23" s="1"/>
      <c r="AC23"/>
      <c r="AD23"/>
      <c r="AJ23" s="1"/>
      <c r="AL23"/>
      <c r="AM23"/>
    </row>
    <row r="24" spans="3:39" ht="15" thickBot="1" x14ac:dyDescent="0.4">
      <c r="C24" s="529"/>
      <c r="D24" s="530"/>
      <c r="E24" s="531"/>
      <c r="G24" s="529"/>
      <c r="H24" s="530"/>
      <c r="I24" s="531"/>
      <c r="L24" s="2"/>
      <c r="AA24" s="1"/>
      <c r="AC24"/>
      <c r="AD24"/>
      <c r="AJ24" s="1"/>
      <c r="AL24"/>
      <c r="AM24"/>
    </row>
    <row r="25" spans="3:39" ht="15" thickBot="1" x14ac:dyDescent="0.4">
      <c r="C25" s="511">
        <f>E20-D20</f>
        <v>7068977531</v>
      </c>
      <c r="D25" s="512"/>
      <c r="E25" s="513"/>
      <c r="L25" s="5"/>
      <c r="AA25" s="1"/>
      <c r="AC25"/>
      <c r="AD25"/>
      <c r="AJ25" s="1"/>
      <c r="AL25"/>
      <c r="AM25"/>
    </row>
    <row r="26" spans="3:39" ht="15" thickBot="1" x14ac:dyDescent="0.4">
      <c r="C26" s="514"/>
      <c r="D26" s="515"/>
      <c r="E26" s="516"/>
      <c r="G26" s="532">
        <f>G20-F20</f>
        <v>-71829833571.50589</v>
      </c>
      <c r="H26" s="533"/>
      <c r="I26" s="534"/>
      <c r="L26" s="2"/>
      <c r="M26" s="156"/>
      <c r="AA26" s="1"/>
      <c r="AC26"/>
      <c r="AD26"/>
      <c r="AJ26" s="1"/>
      <c r="AL26"/>
      <c r="AM26"/>
    </row>
    <row r="27" spans="3:39" ht="15" thickBot="1" x14ac:dyDescent="0.4">
      <c r="C27" s="526" t="s">
        <v>149</v>
      </c>
      <c r="D27" s="527"/>
      <c r="E27" s="528"/>
      <c r="G27" s="535"/>
      <c r="H27" s="536"/>
      <c r="I27" s="537"/>
      <c r="L27" s="2"/>
      <c r="M27" s="156"/>
      <c r="AA27" s="1"/>
      <c r="AC27"/>
      <c r="AD27"/>
      <c r="AJ27" s="1"/>
      <c r="AL27"/>
      <c r="AM27"/>
    </row>
    <row r="28" spans="3:39" ht="15" thickBot="1" x14ac:dyDescent="0.4">
      <c r="C28" s="529"/>
      <c r="D28" s="530"/>
      <c r="E28" s="531"/>
      <c r="L28" s="2"/>
      <c r="M28" s="156"/>
    </row>
    <row r="29" spans="3:39" ht="15" thickBot="1" x14ac:dyDescent="0.4">
      <c r="C29" s="511">
        <f>G20-E20</f>
        <v>-29501973636.50589</v>
      </c>
      <c r="D29" s="512"/>
      <c r="E29" s="513"/>
      <c r="G29" s="517" t="s">
        <v>30</v>
      </c>
      <c r="H29" s="517"/>
      <c r="I29" s="517"/>
      <c r="J29" s="1"/>
      <c r="L29" s="2"/>
      <c r="M29" s="161"/>
    </row>
    <row r="30" spans="3:39" ht="15" thickBot="1" x14ac:dyDescent="0.4">
      <c r="C30" s="514"/>
      <c r="D30" s="515"/>
      <c r="E30" s="516"/>
      <c r="G30" s="518"/>
      <c r="H30" s="519"/>
      <c r="I30" s="520"/>
      <c r="J30" s="1"/>
    </row>
    <row r="31" spans="3:39" x14ac:dyDescent="0.35">
      <c r="G31" s="521"/>
      <c r="H31" s="522"/>
      <c r="I31" s="523"/>
      <c r="J31" s="1"/>
    </row>
    <row r="32" spans="3:39" ht="15" thickBot="1" x14ac:dyDescent="0.4">
      <c r="G32" s="524"/>
      <c r="H32" s="517"/>
      <c r="I32" s="525"/>
      <c r="J32" s="1"/>
    </row>
    <row r="33" spans="1:43" x14ac:dyDescent="0.35">
      <c r="R33" s="154"/>
    </row>
    <row r="34" spans="1:43" ht="15" thickBot="1" x14ac:dyDescent="0.4">
      <c r="P34" s="156"/>
      <c r="R34" s="154"/>
    </row>
    <row r="35" spans="1:43" ht="12" customHeight="1" thickBot="1" x14ac:dyDescent="0.4">
      <c r="B35" s="45"/>
      <c r="C35" s="349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8"/>
      <c r="V35" s="45"/>
      <c r="W35" s="349"/>
      <c r="X35" s="46"/>
      <c r="Y35" s="46"/>
      <c r="Z35" s="46"/>
      <c r="AA35" s="46"/>
      <c r="AB35" s="349"/>
      <c r="AC35" s="349"/>
      <c r="AD35" s="349"/>
      <c r="AE35" s="46"/>
      <c r="AF35" s="46"/>
      <c r="AG35" s="46"/>
      <c r="AH35" s="46"/>
      <c r="AI35" s="46"/>
      <c r="AJ35" s="46"/>
      <c r="AK35" s="349"/>
      <c r="AL35" s="349"/>
      <c r="AM35" s="349"/>
      <c r="AN35" s="48"/>
    </row>
    <row r="36" spans="1:43" ht="15" customHeight="1" thickBot="1" x14ac:dyDescent="0.4">
      <c r="B36" s="49"/>
      <c r="C36" s="498" t="s">
        <v>2</v>
      </c>
      <c r="D36" s="549" t="s">
        <v>31</v>
      </c>
      <c r="E36" s="550"/>
      <c r="F36" s="550"/>
      <c r="G36" s="550"/>
      <c r="H36" s="550"/>
      <c r="I36" s="502" t="s">
        <v>4</v>
      </c>
      <c r="J36" s="501"/>
      <c r="L36" s="498" t="s">
        <v>2</v>
      </c>
      <c r="M36" s="502" t="s">
        <v>140</v>
      </c>
      <c r="N36" s="500"/>
      <c r="O36" s="500"/>
      <c r="P36" s="502" t="s">
        <v>90</v>
      </c>
      <c r="Q36" s="500"/>
      <c r="R36" s="502" t="s">
        <v>4</v>
      </c>
      <c r="S36" s="501"/>
      <c r="T36" s="50"/>
      <c r="V36" s="49"/>
      <c r="W36" s="498" t="s">
        <v>2</v>
      </c>
      <c r="X36" s="502" t="s">
        <v>32</v>
      </c>
      <c r="Y36" s="500"/>
      <c r="Z36" s="500"/>
      <c r="AA36" s="500"/>
      <c r="AB36" s="500"/>
      <c r="AC36" s="502" t="s">
        <v>4</v>
      </c>
      <c r="AD36" s="501"/>
      <c r="AF36" s="498" t="s">
        <v>2</v>
      </c>
      <c r="AG36" s="502" t="s">
        <v>33</v>
      </c>
      <c r="AH36" s="500"/>
      <c r="AI36" s="500"/>
      <c r="AJ36" s="502" t="s">
        <v>34</v>
      </c>
      <c r="AK36" s="501"/>
      <c r="AL36" s="502" t="s">
        <v>4</v>
      </c>
      <c r="AM36" s="501"/>
      <c r="AN36" s="50"/>
    </row>
    <row r="37" spans="1:43" ht="15" thickBot="1" x14ac:dyDescent="0.4">
      <c r="B37" s="49"/>
      <c r="C37" s="499"/>
      <c r="D37" s="6">
        <v>2024</v>
      </c>
      <c r="E37" s="6">
        <v>2025</v>
      </c>
      <c r="F37" s="155" t="s">
        <v>5</v>
      </c>
      <c r="G37" s="6">
        <v>2026</v>
      </c>
      <c r="H37" s="6" t="s">
        <v>6</v>
      </c>
      <c r="I37" s="6" t="s">
        <v>8</v>
      </c>
      <c r="J37" s="7" t="s">
        <v>7</v>
      </c>
      <c r="L37" s="499"/>
      <c r="M37" s="6">
        <v>2024</v>
      </c>
      <c r="N37" s="6">
        <v>2025</v>
      </c>
      <c r="O37" s="155" t="s">
        <v>5</v>
      </c>
      <c r="P37" s="6">
        <v>2026</v>
      </c>
      <c r="Q37" s="6" t="s">
        <v>6</v>
      </c>
      <c r="R37" s="6" t="s">
        <v>8</v>
      </c>
      <c r="S37" s="7" t="s">
        <v>7</v>
      </c>
      <c r="T37" s="50"/>
      <c r="V37" s="49"/>
      <c r="W37" s="499"/>
      <c r="X37" s="6">
        <v>2024</v>
      </c>
      <c r="Y37" s="6">
        <v>2025</v>
      </c>
      <c r="Z37" s="155" t="s">
        <v>5</v>
      </c>
      <c r="AA37" s="6">
        <v>2026</v>
      </c>
      <c r="AB37" s="6" t="s">
        <v>6</v>
      </c>
      <c r="AC37" s="6" t="s">
        <v>8</v>
      </c>
      <c r="AD37" s="7" t="s">
        <v>7</v>
      </c>
      <c r="AF37" s="499"/>
      <c r="AG37" s="6">
        <v>2024</v>
      </c>
      <c r="AH37" s="6">
        <v>2025</v>
      </c>
      <c r="AI37" s="155" t="s">
        <v>5</v>
      </c>
      <c r="AJ37" s="6">
        <v>2026</v>
      </c>
      <c r="AK37" s="6" t="s">
        <v>6</v>
      </c>
      <c r="AL37" s="6" t="s">
        <v>8</v>
      </c>
      <c r="AM37" s="7" t="s">
        <v>7</v>
      </c>
      <c r="AN37" s="50"/>
      <c r="AP37" s="3"/>
      <c r="AQ37" s="3"/>
    </row>
    <row r="38" spans="1:43" x14ac:dyDescent="0.35">
      <c r="B38" s="49"/>
      <c r="C38" s="8" t="s">
        <v>9</v>
      </c>
      <c r="D38" s="11">
        <f>SUM(M38,D57,M57,D76,M76)</f>
        <v>5062166936</v>
      </c>
      <c r="E38" s="11">
        <f>SUM(N38,E57,N57,E76,N76)</f>
        <v>5191078914</v>
      </c>
      <c r="F38" s="26">
        <f>SUM(O38,O57,F57,F76,O76)</f>
        <v>8564400000</v>
      </c>
      <c r="G38" s="26">
        <f>SUM(P38,P57,G57,G76,P76)</f>
        <v>6843088531.213501</v>
      </c>
      <c r="H38" s="132">
        <f>IFERROR(G38/F38,0)</f>
        <v>0.79901552136909781</v>
      </c>
      <c r="I38" s="133">
        <f>IFERROR(G38/D38-1,0)</f>
        <v>0.35181012750653018</v>
      </c>
      <c r="J38" s="14">
        <f t="shared" ref="J38:J53" si="10">IFERROR(G38/E38-1,0)</f>
        <v>0.31824012783896216</v>
      </c>
      <c r="L38" s="8" t="s">
        <v>9</v>
      </c>
      <c r="M38" s="11">
        <v>856129784</v>
      </c>
      <c r="N38" s="60">
        <v>1077369788</v>
      </c>
      <c r="O38" s="26">
        <v>1541592000</v>
      </c>
      <c r="P38" s="11">
        <f>JAN!N120</f>
        <v>1086182265.9087</v>
      </c>
      <c r="Q38" s="27">
        <f>IFERROR(P38/O38,0)</f>
        <v>0.70458478372273592</v>
      </c>
      <c r="R38" s="122">
        <f>IFERROR(P38/M38-1,0)</f>
        <v>0.26871215814248561</v>
      </c>
      <c r="S38" s="14">
        <f t="shared" ref="S38:S53" si="11">IFERROR(P38/N38-1,0)</f>
        <v>8.1796222679115793E-3</v>
      </c>
      <c r="T38" s="50"/>
      <c r="V38" s="49"/>
      <c r="W38" s="8" t="s">
        <v>9</v>
      </c>
      <c r="X38" s="11">
        <f>SUM(AG38,AG57,X57,X76,AG76)</f>
        <v>2996506049</v>
      </c>
      <c r="Y38" s="11">
        <f>SUM(AH38,AH57,Y57,Y76,AH76)</f>
        <v>2966677990</v>
      </c>
      <c r="Z38" s="11">
        <f>SUM(AI38,AI57,Z57,Z76,AI76)</f>
        <v>5475600000</v>
      </c>
      <c r="AA38" s="123">
        <f>AJ38+AJ57+AJ76+AA76+AA57</f>
        <v>3101576499.4261003</v>
      </c>
      <c r="AB38" s="27">
        <f>IFERROR(AA38/Z38,0)</f>
        <v>0.56643591559392581</v>
      </c>
      <c r="AC38" s="122">
        <f>IFERROR(AA38/X38-1,0)</f>
        <v>3.5064321148680744E-2</v>
      </c>
      <c r="AD38" s="14">
        <f t="shared" ref="AD38:AD53" si="12">IFERROR(AA38/Y38-1,0)</f>
        <v>4.5471234114660364E-2</v>
      </c>
      <c r="AF38" s="8" t="s">
        <v>9</v>
      </c>
      <c r="AG38" s="11">
        <v>561406635</v>
      </c>
      <c r="AH38" s="11">
        <v>522560340</v>
      </c>
      <c r="AI38" s="78">
        <v>1040364000</v>
      </c>
      <c r="AJ38" s="60">
        <f>JAN!N132</f>
        <v>514655334.81779993</v>
      </c>
      <c r="AK38" s="27">
        <f t="shared" ref="AK38:AK53" si="13">IFERROR(AJ38/AI38,0)</f>
        <v>0.49468775814791738</v>
      </c>
      <c r="AL38" s="122">
        <f>IFERROR(AJ38/AG38-1,0)</f>
        <v>-8.3275289723286017E-2</v>
      </c>
      <c r="AM38" s="14">
        <f t="shared" ref="AM38:AM43" si="14">IFERROR(AJ38/AH38-1,0)</f>
        <v>-1.5127449553864136E-2</v>
      </c>
      <c r="AN38" s="50"/>
      <c r="AP38" s="3"/>
      <c r="AQ38" s="3"/>
    </row>
    <row r="39" spans="1:43" x14ac:dyDescent="0.35">
      <c r="A39" s="3"/>
      <c r="B39" s="49"/>
      <c r="C39" s="8" t="s">
        <v>10</v>
      </c>
      <c r="D39" s="11">
        <f t="shared" ref="D39:D43" si="15">SUM(M39,D58,M58,D77,M77)</f>
        <v>5265595926</v>
      </c>
      <c r="E39" s="11">
        <f t="shared" ref="E39:E43" si="16">SUM(N39,E58,N58,E77,N77)</f>
        <v>6849410192</v>
      </c>
      <c r="F39" s="10">
        <f t="shared" ref="F39:F43" si="17">SUM(O39,O58,F58,F77,O77)</f>
        <v>7612800000</v>
      </c>
      <c r="G39" s="9">
        <f t="shared" ref="G39:G43" si="18">SUM(P39,P58,G58,G77,P77)</f>
        <v>7156802945.8841</v>
      </c>
      <c r="H39" s="121">
        <f t="shared" ref="H39:H45" si="19">IFERROR(G39/F39,0)</f>
        <v>0.94010126968843266</v>
      </c>
      <c r="I39" s="124">
        <f t="shared" ref="I39:I51" si="20">IFERROR(G39/D39-1,0)</f>
        <v>0.3591629601781372</v>
      </c>
      <c r="J39" s="14">
        <f t="shared" si="10"/>
        <v>4.4878718789995942E-2</v>
      </c>
      <c r="K39" s="3"/>
      <c r="L39" s="8" t="s">
        <v>10</v>
      </c>
      <c r="M39" s="11">
        <v>1053669827</v>
      </c>
      <c r="N39" s="60">
        <v>1293671358</v>
      </c>
      <c r="O39" s="10">
        <v>1370304000</v>
      </c>
      <c r="P39" s="11">
        <f>FEB!N120</f>
        <v>1305495317.1223001</v>
      </c>
      <c r="Q39" s="12">
        <f t="shared" ref="Q39:Q48" si="21">IFERROR(P39/O39,0)</f>
        <v>0.95270488674213905</v>
      </c>
      <c r="R39" s="125">
        <f t="shared" ref="R39:R51" si="22">IFERROR(P39/M39-1,0)</f>
        <v>0.2389984828922127</v>
      </c>
      <c r="S39" s="14">
        <f t="shared" si="11"/>
        <v>9.1398476507820181E-3</v>
      </c>
      <c r="T39" s="50"/>
      <c r="U39" s="3"/>
      <c r="V39" s="49"/>
      <c r="W39" s="8" t="s">
        <v>10</v>
      </c>
      <c r="X39" s="11">
        <f t="shared" ref="X39:Z39" si="23">SUM(AG39,AG58,X58,X77,AG77)</f>
        <v>2964141448</v>
      </c>
      <c r="Y39" s="11">
        <f t="shared" si="23"/>
        <v>3271365425</v>
      </c>
      <c r="Z39" s="10">
        <f t="shared" si="23"/>
        <v>4867200000</v>
      </c>
      <c r="AA39" s="123">
        <f t="shared" ref="AA39:AA43" si="24">AJ39+AJ58+AJ77+AA77+AA58</f>
        <v>3733944820.5366998</v>
      </c>
      <c r="AB39" s="12">
        <f t="shared" ref="AB39:AB48" si="25">IFERROR(AA39/Z39,0)</f>
        <v>0.76716486286503527</v>
      </c>
      <c r="AC39" s="125">
        <f t="shared" ref="AC39:AC51" si="26">IFERROR(AA39/X39-1,0)</f>
        <v>0.25970534336548301</v>
      </c>
      <c r="AD39" s="14">
        <f t="shared" si="12"/>
        <v>0.14140254463828339</v>
      </c>
      <c r="AE39" s="3"/>
      <c r="AF39" s="8" t="s">
        <v>10</v>
      </c>
      <c r="AG39" s="11">
        <v>527139577</v>
      </c>
      <c r="AH39" s="11">
        <v>618948675</v>
      </c>
      <c r="AI39" s="62">
        <v>924768000</v>
      </c>
      <c r="AJ39" s="60">
        <f>FEB!N132</f>
        <v>765316923.2874999</v>
      </c>
      <c r="AK39" s="12">
        <f t="shared" si="13"/>
        <v>0.8275772121088748</v>
      </c>
      <c r="AL39" s="125">
        <f>IFERROR(AJ39/AG39-1,0)</f>
        <v>0.45182975568442263</v>
      </c>
      <c r="AM39" s="14">
        <f t="shared" si="14"/>
        <v>0.23647881350985989</v>
      </c>
      <c r="AN39" s="50"/>
      <c r="AO39" s="3"/>
      <c r="AP39" s="3"/>
      <c r="AQ39" s="3"/>
    </row>
    <row r="40" spans="1:43" x14ac:dyDescent="0.35">
      <c r="B40" s="49"/>
      <c r="C40" s="8" t="s">
        <v>11</v>
      </c>
      <c r="D40" s="11">
        <f t="shared" si="15"/>
        <v>5667927789</v>
      </c>
      <c r="E40" s="11">
        <f t="shared" si="16"/>
        <v>4792266250</v>
      </c>
      <c r="F40" s="10">
        <f t="shared" si="17"/>
        <v>7612800000</v>
      </c>
      <c r="G40" s="9">
        <f t="shared" si="18"/>
        <v>3381171501.0105996</v>
      </c>
      <c r="H40" s="121">
        <f t="shared" si="19"/>
        <v>0.44414295673216159</v>
      </c>
      <c r="I40" s="124">
        <f t="shared" si="20"/>
        <v>-0.40345543788109128</v>
      </c>
      <c r="J40" s="14">
        <f t="shared" si="10"/>
        <v>-0.29445249395093609</v>
      </c>
      <c r="L40" s="8" t="s">
        <v>11</v>
      </c>
      <c r="M40" s="11">
        <v>1095725356</v>
      </c>
      <c r="N40" s="60">
        <v>1181432496</v>
      </c>
      <c r="O40" s="10">
        <v>1370304000</v>
      </c>
      <c r="P40" s="11">
        <f>MAR!N120</f>
        <v>707527173.02919996</v>
      </c>
      <c r="Q40" s="12">
        <f t="shared" si="21"/>
        <v>0.51632861980202926</v>
      </c>
      <c r="R40" s="125">
        <f t="shared" si="22"/>
        <v>-0.35428420164331764</v>
      </c>
      <c r="S40" s="14">
        <f t="shared" si="11"/>
        <v>-0.40112771959067561</v>
      </c>
      <c r="T40" s="50"/>
      <c r="V40" s="49"/>
      <c r="W40" s="8" t="s">
        <v>11</v>
      </c>
      <c r="X40" s="11">
        <f t="shared" ref="X40:Z40" si="27">SUM(AG40,AG59,X59,X78,AG78)</f>
        <v>3458057650</v>
      </c>
      <c r="Y40" s="11">
        <f t="shared" si="27"/>
        <v>3312112824</v>
      </c>
      <c r="Z40" s="10">
        <f t="shared" si="27"/>
        <v>4867200000</v>
      </c>
      <c r="AA40" s="123">
        <f t="shared" si="24"/>
        <v>1890417428.4589999</v>
      </c>
      <c r="AB40" s="12">
        <f t="shared" si="25"/>
        <v>0.38839937303973532</v>
      </c>
      <c r="AC40" s="125">
        <f t="shared" si="26"/>
        <v>-0.45332969551302882</v>
      </c>
      <c r="AD40" s="14">
        <f t="shared" si="12"/>
        <v>-0.42924123394565861</v>
      </c>
      <c r="AF40" s="8" t="s">
        <v>11</v>
      </c>
      <c r="AG40" s="11">
        <v>854407184</v>
      </c>
      <c r="AH40" s="11">
        <v>676530002</v>
      </c>
      <c r="AI40" s="62">
        <v>924768000</v>
      </c>
      <c r="AJ40" s="60">
        <f>MAR!N132</f>
        <v>277380440.53949994</v>
      </c>
      <c r="AK40" s="12">
        <f t="shared" si="13"/>
        <v>0.29994597622268498</v>
      </c>
      <c r="AL40" s="125">
        <f>IFERROR(AJ40/AG40-1,0)</f>
        <v>-0.67535333768974959</v>
      </c>
      <c r="AM40" s="14">
        <f t="shared" si="14"/>
        <v>-0.58999535908312906</v>
      </c>
      <c r="AN40" s="50"/>
      <c r="AP40" s="3"/>
      <c r="AQ40" s="3"/>
    </row>
    <row r="41" spans="1:43" x14ac:dyDescent="0.35">
      <c r="B41" s="49"/>
      <c r="C41" s="8" t="s">
        <v>12</v>
      </c>
      <c r="D41" s="11">
        <f t="shared" si="15"/>
        <v>3036975894</v>
      </c>
      <c r="E41" s="11">
        <f t="shared" si="16"/>
        <v>4726086385</v>
      </c>
      <c r="F41" s="10">
        <f t="shared" si="17"/>
        <v>8564400000</v>
      </c>
      <c r="G41" s="9">
        <f t="shared" si="18"/>
        <v>6241779998.6854</v>
      </c>
      <c r="H41" s="121">
        <f t="shared" si="19"/>
        <v>0.72880528684851242</v>
      </c>
      <c r="I41" s="124">
        <f t="shared" si="20"/>
        <v>1.0552616209489742</v>
      </c>
      <c r="J41" s="14">
        <f t="shared" si="10"/>
        <v>0.32070797912116444</v>
      </c>
      <c r="L41" s="8" t="s">
        <v>12</v>
      </c>
      <c r="M41" s="11">
        <v>684069851</v>
      </c>
      <c r="N41" s="60">
        <v>713434623</v>
      </c>
      <c r="O41" s="10">
        <v>1541592000</v>
      </c>
      <c r="P41" s="11">
        <f>APR!N120</f>
        <v>955178601.33679986</v>
      </c>
      <c r="Q41" s="12">
        <f t="shared" si="21"/>
        <v>0.61960531796791873</v>
      </c>
      <c r="R41" s="125">
        <f t="shared" si="22"/>
        <v>0.39631734966901777</v>
      </c>
      <c r="S41" s="14">
        <f t="shared" si="11"/>
        <v>0.33884531328219536</v>
      </c>
      <c r="T41" s="50"/>
      <c r="V41" s="49"/>
      <c r="W41" s="8" t="s">
        <v>12</v>
      </c>
      <c r="X41" s="11">
        <f t="shared" ref="X41:Z41" si="28">SUM(AG41,AG60,X60,X79,AG79)</f>
        <v>1899495590</v>
      </c>
      <c r="Y41" s="11">
        <f t="shared" si="28"/>
        <v>2350107004</v>
      </c>
      <c r="Z41" s="10">
        <f t="shared" si="28"/>
        <v>5475600000</v>
      </c>
      <c r="AA41" s="123">
        <f t="shared" si="24"/>
        <v>2861401217.5303993</v>
      </c>
      <c r="AB41" s="12">
        <f t="shared" si="25"/>
        <v>0.52257309108232874</v>
      </c>
      <c r="AC41" s="125">
        <f t="shared" si="26"/>
        <v>0.50640055844004328</v>
      </c>
      <c r="AD41" s="14">
        <f t="shared" si="12"/>
        <v>0.21756209936830584</v>
      </c>
      <c r="AF41" s="8" t="s">
        <v>12</v>
      </c>
      <c r="AG41" s="11">
        <v>441878805</v>
      </c>
      <c r="AH41" s="11">
        <v>411979333</v>
      </c>
      <c r="AI41" s="62">
        <v>1040364000</v>
      </c>
      <c r="AJ41" s="60">
        <f>APR!N132</f>
        <v>486498041.12590015</v>
      </c>
      <c r="AK41" s="12">
        <f t="shared" si="13"/>
        <v>0.4676229099871777</v>
      </c>
      <c r="AL41" s="125">
        <f t="shared" ref="AL41:AL51" si="29">IFERROR(AJ41/AG41-1,0)</f>
        <v>0.10097618537259367</v>
      </c>
      <c r="AM41" s="14">
        <f t="shared" si="14"/>
        <v>0.18087972419213605</v>
      </c>
      <c r="AN41" s="50"/>
      <c r="AP41" s="3"/>
      <c r="AQ41" s="3"/>
    </row>
    <row r="42" spans="1:43" x14ac:dyDescent="0.35">
      <c r="B42" s="49"/>
      <c r="C42" s="8" t="s">
        <v>13</v>
      </c>
      <c r="D42" s="11">
        <f t="shared" si="15"/>
        <v>5755695776</v>
      </c>
      <c r="E42" s="11">
        <f t="shared" si="16"/>
        <v>6884974166</v>
      </c>
      <c r="F42" s="10">
        <f t="shared" si="17"/>
        <v>7612800000</v>
      </c>
      <c r="G42" s="9">
        <f t="shared" si="18"/>
        <v>6379519325.8639984</v>
      </c>
      <c r="H42" s="121">
        <f t="shared" si="19"/>
        <v>0.83799907075767111</v>
      </c>
      <c r="I42" s="124">
        <f t="shared" si="20"/>
        <v>0.10838369054619035</v>
      </c>
      <c r="J42" s="14">
        <f t="shared" si="10"/>
        <v>-7.3414195601790966E-2</v>
      </c>
      <c r="K42" s="3"/>
      <c r="L42" s="8" t="s">
        <v>13</v>
      </c>
      <c r="M42" s="11">
        <v>1117192553</v>
      </c>
      <c r="N42" s="60">
        <v>1401425019</v>
      </c>
      <c r="O42" s="10">
        <v>1370304000</v>
      </c>
      <c r="P42" s="11">
        <f>MEI!N120</f>
        <v>1075747396.6857998</v>
      </c>
      <c r="Q42" s="12">
        <f t="shared" si="21"/>
        <v>0.78504287857716237</v>
      </c>
      <c r="R42" s="125">
        <f t="shared" si="22"/>
        <v>-3.7097594504105325E-2</v>
      </c>
      <c r="S42" s="14">
        <f t="shared" si="11"/>
        <v>-0.2323903297706148</v>
      </c>
      <c r="T42" s="50"/>
      <c r="U42" s="3"/>
      <c r="V42" s="49"/>
      <c r="W42" s="8" t="s">
        <v>13</v>
      </c>
      <c r="X42" s="11">
        <f t="shared" ref="X42:Z42" si="30">SUM(AG42,AG61,X61,X80,AG80)</f>
        <v>2829872927</v>
      </c>
      <c r="Y42" s="11">
        <f t="shared" si="30"/>
        <v>3334047172</v>
      </c>
      <c r="Z42" s="10">
        <f t="shared" si="30"/>
        <v>4867200000</v>
      </c>
      <c r="AA42" s="123">
        <f t="shared" si="24"/>
        <v>3215023669.6602998</v>
      </c>
      <c r="AB42" s="12">
        <f t="shared" si="25"/>
        <v>0.66054891306301355</v>
      </c>
      <c r="AC42" s="125">
        <f t="shared" si="26"/>
        <v>0.13610178004303708</v>
      </c>
      <c r="AD42" s="14">
        <f t="shared" si="12"/>
        <v>-3.5699405617078073E-2</v>
      </c>
      <c r="AE42" s="3"/>
      <c r="AF42" s="8" t="s">
        <v>13</v>
      </c>
      <c r="AG42" s="11">
        <v>532910554</v>
      </c>
      <c r="AH42" s="11">
        <v>591511487</v>
      </c>
      <c r="AI42" s="62">
        <v>924768000</v>
      </c>
      <c r="AJ42" s="60">
        <f>MEI!N132</f>
        <v>601254845.40460002</v>
      </c>
      <c r="AK42" s="12">
        <f t="shared" si="13"/>
        <v>0.65016830751561472</v>
      </c>
      <c r="AL42" s="125">
        <f t="shared" si="29"/>
        <v>0.12824720938928902</v>
      </c>
      <c r="AM42" s="14">
        <f t="shared" si="14"/>
        <v>1.647196820135477E-2</v>
      </c>
      <c r="AN42" s="50"/>
      <c r="AO42" s="3"/>
      <c r="AP42" s="3"/>
      <c r="AQ42" s="3"/>
    </row>
    <row r="43" spans="1:43" ht="15" thickBot="1" x14ac:dyDescent="0.4">
      <c r="B43" s="49"/>
      <c r="C43" s="8" t="s">
        <v>14</v>
      </c>
      <c r="D43" s="11">
        <f t="shared" si="15"/>
        <v>6941152654</v>
      </c>
      <c r="E43" s="11">
        <f t="shared" si="16"/>
        <v>6586130629</v>
      </c>
      <c r="F43" s="17">
        <f t="shared" si="17"/>
        <v>7612800000</v>
      </c>
      <c r="G43" s="9">
        <f t="shared" si="18"/>
        <v>6812518735.0506001</v>
      </c>
      <c r="H43" s="126">
        <f t="shared" si="19"/>
        <v>0.89487688301946722</v>
      </c>
      <c r="I43" s="127">
        <f t="shared" si="20"/>
        <v>-1.8532068859668627E-2</v>
      </c>
      <c r="J43" s="14">
        <f t="shared" si="10"/>
        <v>3.4373461263244476E-2</v>
      </c>
      <c r="L43" s="8" t="s">
        <v>14</v>
      </c>
      <c r="M43" s="111">
        <v>1459042062</v>
      </c>
      <c r="N43" s="65">
        <v>1275156287</v>
      </c>
      <c r="O43" s="17">
        <v>1370304000</v>
      </c>
      <c r="P43" s="11">
        <f>JUN!N120</f>
        <v>1333418038.5052001</v>
      </c>
      <c r="Q43" s="18">
        <f t="shared" si="21"/>
        <v>0.97308191357917673</v>
      </c>
      <c r="R43" s="125">
        <f t="shared" ref="R43" si="31">IFERROR(P43/M43-1,0)</f>
        <v>-8.6100344031617038E-2</v>
      </c>
      <c r="S43" s="14">
        <f t="shared" ref="S43" si="32">IFERROR(P43/N43-1,0)</f>
        <v>4.5689890799401445E-2</v>
      </c>
      <c r="T43" s="50"/>
      <c r="V43" s="49"/>
      <c r="W43" s="8" t="s">
        <v>14</v>
      </c>
      <c r="X43" s="11">
        <f t="shared" ref="X43:Z43" si="33">SUM(AG43,AG62,X62,X81,AG81)</f>
        <v>3493317464</v>
      </c>
      <c r="Y43" s="11">
        <f t="shared" si="33"/>
        <v>3035444247</v>
      </c>
      <c r="Z43" s="17">
        <f t="shared" si="33"/>
        <v>4867200000</v>
      </c>
      <c r="AA43" s="123">
        <f t="shared" si="24"/>
        <v>2876258150.1528001</v>
      </c>
      <c r="AB43" s="18">
        <f t="shared" si="25"/>
        <v>0.59094718732593687</v>
      </c>
      <c r="AC43" s="128">
        <f t="shared" si="26"/>
        <v>-0.17663991898996789</v>
      </c>
      <c r="AD43" s="14">
        <f t="shared" si="12"/>
        <v>-5.2442438040009254E-2</v>
      </c>
      <c r="AF43" s="8" t="s">
        <v>14</v>
      </c>
      <c r="AG43" s="111">
        <v>863201050</v>
      </c>
      <c r="AH43" s="111">
        <v>611544701</v>
      </c>
      <c r="AI43" s="66">
        <v>924768000</v>
      </c>
      <c r="AJ43" s="65">
        <f>JUN!N132</f>
        <v>455163624.3402999</v>
      </c>
      <c r="AK43" s="18">
        <f t="shared" si="13"/>
        <v>0.49219223020292646</v>
      </c>
      <c r="AL43" s="128">
        <f t="shared" si="29"/>
        <v>-0.47270265213382223</v>
      </c>
      <c r="AM43" s="14">
        <f t="shared" si="14"/>
        <v>-0.25571487481452337</v>
      </c>
      <c r="AN43" s="50"/>
      <c r="AP43" s="3"/>
      <c r="AQ43" s="3"/>
    </row>
    <row r="44" spans="1:43" ht="15" thickBot="1" x14ac:dyDescent="0.4">
      <c r="B44" s="49"/>
      <c r="C44" s="20" t="s">
        <v>15</v>
      </c>
      <c r="D44" s="21">
        <f>SUM(D38:D43)</f>
        <v>31729514975</v>
      </c>
      <c r="E44" s="72">
        <f>SUM(E38:E43)</f>
        <v>35029946536</v>
      </c>
      <c r="F44" s="21">
        <f>SUM(F38:F43)</f>
        <v>47580000000</v>
      </c>
      <c r="G44" s="21">
        <f>SUM(G38:G43)</f>
        <v>36814881037.708199</v>
      </c>
      <c r="H44" s="129">
        <f>IFERROR(G44/F44,0)</f>
        <v>0.77374697431080708</v>
      </c>
      <c r="I44" s="130">
        <f>IFERROR(G44/D44-1,0)</f>
        <v>0.16027241723408037</v>
      </c>
      <c r="J44" s="24">
        <f>IFERROR(G44/E44-1,0)</f>
        <v>5.0954531143055926E-2</v>
      </c>
      <c r="L44" s="20" t="s">
        <v>15</v>
      </c>
      <c r="M44" s="21">
        <f>SUM(M38:M43)</f>
        <v>6265829433</v>
      </c>
      <c r="N44" s="73">
        <f>SUM(N38:N43)</f>
        <v>6942489571</v>
      </c>
      <c r="O44" s="21">
        <f>SUM(O38:O43)</f>
        <v>8564400000</v>
      </c>
      <c r="P44" s="21">
        <f>SUM(P38:P43)</f>
        <v>6463548792.5880003</v>
      </c>
      <c r="Q44" s="22">
        <f t="shared" si="21"/>
        <v>0.75469954609639911</v>
      </c>
      <c r="R44" s="131">
        <f t="shared" si="22"/>
        <v>3.1555177443337357E-2</v>
      </c>
      <c r="S44" s="24">
        <f t="shared" si="11"/>
        <v>-6.8986892023953472E-2</v>
      </c>
      <c r="T44" s="50"/>
      <c r="V44" s="49"/>
      <c r="W44" s="20" t="s">
        <v>15</v>
      </c>
      <c r="X44" s="21">
        <f>SUM(X38:X43)</f>
        <v>17641391128</v>
      </c>
      <c r="Y44" s="21">
        <f>SUM(Y38:Y43)</f>
        <v>18269754662</v>
      </c>
      <c r="Z44" s="21">
        <f>SUM(Z38:Z43)</f>
        <v>30420000000</v>
      </c>
      <c r="AA44" s="83">
        <f>SUM(AA38:AA43)</f>
        <v>17678621785.765301</v>
      </c>
      <c r="AB44" s="22">
        <f t="shared" si="25"/>
        <v>0.58115127500872121</v>
      </c>
      <c r="AC44" s="131">
        <f t="shared" si="26"/>
        <v>2.1104150741382277E-3</v>
      </c>
      <c r="AD44" s="24">
        <f t="shared" si="12"/>
        <v>-3.2355819066592129E-2</v>
      </c>
      <c r="AF44" s="20" t="s">
        <v>15</v>
      </c>
      <c r="AG44" s="72">
        <f>SUM(AG38:AG43)</f>
        <v>3780943805</v>
      </c>
      <c r="AH44" s="21">
        <f>SUM(AH38:AH43)</f>
        <v>3433074538</v>
      </c>
      <c r="AI44" s="73">
        <f>SUM(AI38:AI43)</f>
        <v>5779800000</v>
      </c>
      <c r="AJ44" s="73">
        <f>SUM(AJ38:AJ43)</f>
        <v>3100269209.5156002</v>
      </c>
      <c r="AK44" s="22">
        <f t="shared" si="13"/>
        <v>0.53639731643233335</v>
      </c>
      <c r="AL44" s="131">
        <f t="shared" si="29"/>
        <v>-0.18002769429798493</v>
      </c>
      <c r="AM44" s="24">
        <f t="shared" ref="AM44:AM49" si="34">IFERROR(AJ44/AH44-1,0)</f>
        <v>-9.6940897962058736E-2</v>
      </c>
      <c r="AN44" s="50"/>
      <c r="AP44" s="3"/>
      <c r="AQ44" s="3"/>
    </row>
    <row r="45" spans="1:43" x14ac:dyDescent="0.35">
      <c r="B45" s="49"/>
      <c r="C45" s="25" t="s">
        <v>16</v>
      </c>
      <c r="D45" s="11">
        <f>SUM(M45,D64,M64,D83,M83)</f>
        <v>5875679047</v>
      </c>
      <c r="E45" s="11">
        <f>SUM(N45,E64,N64,E83,N83)</f>
        <v>7267894803</v>
      </c>
      <c r="F45" s="26">
        <f t="shared" ref="F45:F50" si="35">SUM(O45,O64,F64,F83,O83)</f>
        <v>7612800000</v>
      </c>
      <c r="G45" s="9">
        <f t="shared" ref="G45:G50" si="36">SUM(P45,P64,G64,G83,P83)</f>
        <v>8021303518.4481993</v>
      </c>
      <c r="H45" s="132">
        <f t="shared" si="19"/>
        <v>1.0536600880685423</v>
      </c>
      <c r="I45" s="133">
        <f t="shared" si="20"/>
        <v>0.3651704686871402</v>
      </c>
      <c r="J45" s="14">
        <f t="shared" si="10"/>
        <v>0.10366257848658078</v>
      </c>
      <c r="L45" s="25" t="s">
        <v>16</v>
      </c>
      <c r="M45" s="11">
        <v>1190076301</v>
      </c>
      <c r="N45" s="60">
        <v>1662797322</v>
      </c>
      <c r="O45" s="26">
        <v>1370304000</v>
      </c>
      <c r="P45" s="11">
        <f>JUL!F120</f>
        <v>1409845632.6701002</v>
      </c>
      <c r="Q45" s="27">
        <f t="shared" si="21"/>
        <v>1.0288561024926588</v>
      </c>
      <c r="R45" s="122">
        <f t="shared" si="22"/>
        <v>0.18466826999700103</v>
      </c>
      <c r="S45" s="14">
        <f t="shared" si="11"/>
        <v>-0.15212418614293377</v>
      </c>
      <c r="T45" s="50"/>
      <c r="V45" s="49"/>
      <c r="W45" s="25" t="s">
        <v>16</v>
      </c>
      <c r="X45" s="11">
        <f t="shared" ref="X45:Z45" si="37">SUM(AG45,AG64,X64,X83,AG83)</f>
        <v>3201449380</v>
      </c>
      <c r="Y45" s="11">
        <f t="shared" si="37"/>
        <v>3255664218</v>
      </c>
      <c r="Z45" s="26">
        <f t="shared" si="37"/>
        <v>4867200000</v>
      </c>
      <c r="AA45" s="123">
        <f t="shared" ref="AA45:AA50" si="38">AJ45+AJ64+AJ83+AA83+AA64</f>
        <v>3420148790.6030998</v>
      </c>
      <c r="AB45" s="27">
        <f t="shared" si="25"/>
        <v>0.70269329195494323</v>
      </c>
      <c r="AC45" s="122">
        <f t="shared" si="26"/>
        <v>6.8312624890886076E-2</v>
      </c>
      <c r="AD45" s="14">
        <f t="shared" si="12"/>
        <v>5.0522585128310649E-2</v>
      </c>
      <c r="AF45" s="25" t="s">
        <v>16</v>
      </c>
      <c r="AG45" s="11">
        <v>584231271</v>
      </c>
      <c r="AH45" s="11">
        <v>623383713</v>
      </c>
      <c r="AI45" s="78">
        <v>924768000</v>
      </c>
      <c r="AJ45" s="60">
        <f>JUL!F133</f>
        <v>633270626.84490001</v>
      </c>
      <c r="AK45" s="27">
        <f t="shared" si="13"/>
        <v>0.68478864628198644</v>
      </c>
      <c r="AL45" s="122">
        <f t="shared" si="29"/>
        <v>8.3938259177674279E-2</v>
      </c>
      <c r="AM45" s="14">
        <f t="shared" si="34"/>
        <v>1.5860077250526405E-2</v>
      </c>
      <c r="AN45" s="50"/>
      <c r="AP45" s="3"/>
      <c r="AQ45" s="3"/>
    </row>
    <row r="46" spans="1:43" x14ac:dyDescent="0.35">
      <c r="B46" s="49"/>
      <c r="C46" s="28" t="s">
        <v>17</v>
      </c>
      <c r="D46" s="11">
        <f t="shared" ref="D46:D50" si="39">SUM(M46,D65,M65,D84,M84)</f>
        <v>6394118075</v>
      </c>
      <c r="E46" s="11">
        <f>SUM(N46,E65,N65,E84,N84)</f>
        <v>6486513254</v>
      </c>
      <c r="F46" s="10">
        <f t="shared" si="35"/>
        <v>8564400000</v>
      </c>
      <c r="G46" s="9">
        <f t="shared" si="36"/>
        <v>7061235136.394599</v>
      </c>
      <c r="H46" s="121">
        <f t="shared" ref="H46:H53" si="40">IFERROR(G46/F46,0)</f>
        <v>0.82448684512570625</v>
      </c>
      <c r="I46" s="124">
        <f t="shared" si="20"/>
        <v>0.10433292810198824</v>
      </c>
      <c r="J46" s="14">
        <f>IFERROR(G46/E46-1,0)</f>
        <v>8.8602591236545791E-2</v>
      </c>
      <c r="K46" s="3"/>
      <c r="L46" s="28" t="s">
        <v>17</v>
      </c>
      <c r="M46" s="11">
        <v>1158539608</v>
      </c>
      <c r="N46" s="60">
        <v>1391179528</v>
      </c>
      <c r="O46" s="10">
        <v>1541592000</v>
      </c>
      <c r="P46" s="11">
        <f>AGS!F120</f>
        <v>1027245048.3465005</v>
      </c>
      <c r="Q46" s="12">
        <f t="shared" si="21"/>
        <v>0.66635338555629542</v>
      </c>
      <c r="R46" s="125">
        <f t="shared" si="22"/>
        <v>-0.11332764002790963</v>
      </c>
      <c r="S46" s="14">
        <f t="shared" si="11"/>
        <v>-0.26160137662225535</v>
      </c>
      <c r="T46" s="50"/>
      <c r="U46" s="3"/>
      <c r="V46" s="49"/>
      <c r="W46" s="28" t="s">
        <v>17</v>
      </c>
      <c r="X46" s="11">
        <f t="shared" ref="X46:Z46" si="41">SUM(AG46,AG65,X65,X84,AG84)</f>
        <v>3230526836</v>
      </c>
      <c r="Y46" s="11">
        <f t="shared" si="41"/>
        <v>3226286515</v>
      </c>
      <c r="Z46" s="10">
        <f t="shared" si="41"/>
        <v>5475600000</v>
      </c>
      <c r="AA46" s="123">
        <f t="shared" si="38"/>
        <v>3402172712.7852998</v>
      </c>
      <c r="AB46" s="12">
        <f t="shared" si="25"/>
        <v>0.62133331740545328</v>
      </c>
      <c r="AC46" s="125">
        <f t="shared" si="26"/>
        <v>5.3132472039089995E-2</v>
      </c>
      <c r="AD46" s="14">
        <f t="shared" si="12"/>
        <v>5.4516608170895653E-2</v>
      </c>
      <c r="AE46" s="3"/>
      <c r="AF46" s="28" t="s">
        <v>17</v>
      </c>
      <c r="AG46" s="11">
        <v>619575041</v>
      </c>
      <c r="AH46" s="11">
        <v>689664909</v>
      </c>
      <c r="AI46" s="62">
        <v>1040364000</v>
      </c>
      <c r="AJ46" s="60">
        <f>AGS!F133</f>
        <v>635647436.78180003</v>
      </c>
      <c r="AK46" s="12">
        <f t="shared" si="13"/>
        <v>0.61098561347932068</v>
      </c>
      <c r="AL46" s="125">
        <f>IFERROR(AJ46/AG46-1,0)</f>
        <v>2.5940999424152178E-2</v>
      </c>
      <c r="AM46" s="14">
        <f t="shared" si="34"/>
        <v>-7.8324228931009654E-2</v>
      </c>
      <c r="AN46" s="50"/>
      <c r="AO46" s="3"/>
      <c r="AP46" s="3"/>
      <c r="AQ46" s="3"/>
    </row>
    <row r="47" spans="1:43" x14ac:dyDescent="0.35">
      <c r="B47" s="49"/>
      <c r="C47" s="28" t="s">
        <v>18</v>
      </c>
      <c r="D47" s="11">
        <f t="shared" si="39"/>
        <v>6664754509</v>
      </c>
      <c r="E47" s="11">
        <f>SUM(N47,E66,N66,E85,N85)</f>
        <v>6964306785</v>
      </c>
      <c r="F47" s="10">
        <f t="shared" si="35"/>
        <v>7612800000</v>
      </c>
      <c r="G47" s="9">
        <f t="shared" si="36"/>
        <v>5369470592.8485003</v>
      </c>
      <c r="H47" s="121">
        <f t="shared" si="40"/>
        <v>0.70532137884201607</v>
      </c>
      <c r="I47" s="124">
        <f t="shared" si="20"/>
        <v>-0.19434833112042837</v>
      </c>
      <c r="J47" s="14">
        <f>IFERROR(G47/E47-1,0)</f>
        <v>-0.22900142704605164</v>
      </c>
      <c r="L47" s="28" t="s">
        <v>18</v>
      </c>
      <c r="M47" s="11">
        <v>1441894421</v>
      </c>
      <c r="N47" s="60">
        <v>1216508213</v>
      </c>
      <c r="O47" s="10">
        <v>1370304000</v>
      </c>
      <c r="P47" s="11">
        <f>SEP!F120</f>
        <v>835732109.38820004</v>
      </c>
      <c r="Q47" s="12">
        <f t="shared" si="21"/>
        <v>0.60988810467472909</v>
      </c>
      <c r="R47" s="125">
        <f t="shared" si="22"/>
        <v>-0.42039299326188317</v>
      </c>
      <c r="S47" s="14">
        <f t="shared" si="11"/>
        <v>-0.31300742530358894</v>
      </c>
      <c r="T47" s="50"/>
      <c r="V47" s="49"/>
      <c r="W47" s="28" t="s">
        <v>18</v>
      </c>
      <c r="X47" s="11">
        <f t="shared" ref="X47:Z47" si="42">SUM(AG47,AG66,X66,X85,AG85)</f>
        <v>3134707739</v>
      </c>
      <c r="Y47" s="11">
        <f t="shared" si="42"/>
        <v>3236898009</v>
      </c>
      <c r="Z47" s="10">
        <f t="shared" si="42"/>
        <v>4867200000</v>
      </c>
      <c r="AA47" s="123">
        <f t="shared" si="38"/>
        <v>2402332853.9408998</v>
      </c>
      <c r="AB47" s="12">
        <f t="shared" si="25"/>
        <v>0.49357594796616122</v>
      </c>
      <c r="AC47" s="125">
        <f t="shared" si="26"/>
        <v>-0.23363418412101611</v>
      </c>
      <c r="AD47" s="14">
        <f t="shared" si="12"/>
        <v>-0.2578286843572587</v>
      </c>
      <c r="AF47" s="28" t="s">
        <v>18</v>
      </c>
      <c r="AG47" s="11">
        <v>667756283</v>
      </c>
      <c r="AH47" s="11">
        <v>608158267</v>
      </c>
      <c r="AI47" s="62">
        <v>924768000</v>
      </c>
      <c r="AJ47" s="11">
        <f>SEP!F133</f>
        <v>386177699.4939</v>
      </c>
      <c r="AK47" s="12">
        <f t="shared" si="13"/>
        <v>0.417594141983611</v>
      </c>
      <c r="AL47" s="125">
        <f>IFERROR(AJ47/AG47-1,0)</f>
        <v>-0.42167867330437381</v>
      </c>
      <c r="AM47" s="14">
        <f t="shared" si="34"/>
        <v>-0.36500460414870917</v>
      </c>
      <c r="AN47" s="50"/>
      <c r="AP47" s="3"/>
      <c r="AQ47" s="3"/>
    </row>
    <row r="48" spans="1:43" x14ac:dyDescent="0.35">
      <c r="B48" s="49"/>
      <c r="C48" s="28" t="s">
        <v>19</v>
      </c>
      <c r="D48" s="11">
        <f t="shared" si="39"/>
        <v>6275099751</v>
      </c>
      <c r="E48" s="11">
        <f>SUM(N48,E67,N67,E86,N86)</f>
        <v>6737105069</v>
      </c>
      <c r="F48" s="10">
        <f t="shared" si="35"/>
        <v>8564400000</v>
      </c>
      <c r="G48" s="9">
        <f t="shared" si="36"/>
        <v>0</v>
      </c>
      <c r="H48" s="121">
        <f t="shared" si="40"/>
        <v>0</v>
      </c>
      <c r="I48" s="124">
        <f t="shared" si="20"/>
        <v>-1</v>
      </c>
      <c r="J48" s="14">
        <f>IFERROR(G48/E48-1,0)</f>
        <v>-1</v>
      </c>
      <c r="L48" s="28" t="s">
        <v>19</v>
      </c>
      <c r="M48" s="11">
        <v>1110054494</v>
      </c>
      <c r="N48" s="60">
        <v>1391856103</v>
      </c>
      <c r="O48" s="10">
        <v>1541592000</v>
      </c>
      <c r="P48" s="11">
        <f>OKT!N130</f>
        <v>0</v>
      </c>
      <c r="Q48" s="12">
        <f t="shared" si="21"/>
        <v>0</v>
      </c>
      <c r="R48" s="125">
        <f t="shared" si="22"/>
        <v>-1</v>
      </c>
      <c r="S48" s="14">
        <f t="shared" si="11"/>
        <v>-1</v>
      </c>
      <c r="T48" s="50"/>
      <c r="V48" s="49"/>
      <c r="W48" s="28" t="s">
        <v>19</v>
      </c>
      <c r="X48" s="11">
        <f t="shared" ref="X48:Z48" si="43">SUM(AG48,AG67,X67,X86,AG86)</f>
        <v>3586195646</v>
      </c>
      <c r="Y48" s="11">
        <f t="shared" si="43"/>
        <v>3378889733</v>
      </c>
      <c r="Z48" s="10">
        <f t="shared" si="43"/>
        <v>5475600000</v>
      </c>
      <c r="AA48" s="123">
        <f t="shared" si="38"/>
        <v>0</v>
      </c>
      <c r="AB48" s="12">
        <f t="shared" si="25"/>
        <v>0</v>
      </c>
      <c r="AC48" s="125">
        <f t="shared" si="26"/>
        <v>-1</v>
      </c>
      <c r="AD48" s="14">
        <f t="shared" si="12"/>
        <v>-1</v>
      </c>
      <c r="AF48" s="28" t="s">
        <v>19</v>
      </c>
      <c r="AG48" s="11">
        <v>622434205</v>
      </c>
      <c r="AH48" s="11">
        <v>764712117</v>
      </c>
      <c r="AI48" s="62">
        <v>1040364000</v>
      </c>
      <c r="AJ48" s="60">
        <f>OKT!N143</f>
        <v>0</v>
      </c>
      <c r="AK48" s="12">
        <f t="shared" si="13"/>
        <v>0</v>
      </c>
      <c r="AL48" s="125">
        <f>IFERROR(AJ48/AG48-1,0)</f>
        <v>-1</v>
      </c>
      <c r="AM48" s="14">
        <f t="shared" si="34"/>
        <v>-1</v>
      </c>
      <c r="AN48" s="50"/>
    </row>
    <row r="49" spans="2:43" x14ac:dyDescent="0.35">
      <c r="B49" s="49"/>
      <c r="C49" s="28" t="s">
        <v>20</v>
      </c>
      <c r="D49" s="11">
        <f t="shared" si="39"/>
        <v>6295450802</v>
      </c>
      <c r="E49" s="11">
        <f>SUM(N49,E68,N68,E87,N87)</f>
        <v>6250912188</v>
      </c>
      <c r="F49" s="10">
        <f t="shared" si="35"/>
        <v>7612800000</v>
      </c>
      <c r="G49" s="9">
        <f t="shared" si="36"/>
        <v>0</v>
      </c>
      <c r="H49" s="121">
        <f t="shared" si="40"/>
        <v>0</v>
      </c>
      <c r="I49" s="124">
        <f t="shared" si="20"/>
        <v>-1</v>
      </c>
      <c r="J49" s="14">
        <f>IFERROR(G49/E49-1,0)</f>
        <v>-1</v>
      </c>
      <c r="L49" s="28" t="s">
        <v>20</v>
      </c>
      <c r="M49" s="11">
        <v>1194727445</v>
      </c>
      <c r="N49" s="60">
        <v>1050415668</v>
      </c>
      <c r="O49" s="10">
        <v>1370304000</v>
      </c>
      <c r="P49" s="11">
        <f>NOV!N130</f>
        <v>0</v>
      </c>
      <c r="Q49" s="12">
        <f>IFERROR(P49/O49,0)</f>
        <v>0</v>
      </c>
      <c r="R49" s="125">
        <f t="shared" si="22"/>
        <v>-1</v>
      </c>
      <c r="S49" s="14">
        <f t="shared" si="11"/>
        <v>-1</v>
      </c>
      <c r="T49" s="50"/>
      <c r="V49" s="49"/>
      <c r="W49" s="28" t="s">
        <v>20</v>
      </c>
      <c r="X49" s="11">
        <f t="shared" ref="X49:Z49" si="44">SUM(AG49,AG68,X68,X87,AG87)</f>
        <v>3203101309</v>
      </c>
      <c r="Y49" s="11">
        <f t="shared" si="44"/>
        <v>2680663229</v>
      </c>
      <c r="Z49" s="10">
        <f t="shared" si="44"/>
        <v>4867200000</v>
      </c>
      <c r="AA49" s="123">
        <f t="shared" si="38"/>
        <v>0</v>
      </c>
      <c r="AB49" s="12">
        <f>IFERROR(AA49/Z49,0)</f>
        <v>0</v>
      </c>
      <c r="AC49" s="125">
        <f t="shared" si="26"/>
        <v>-1</v>
      </c>
      <c r="AD49" s="14">
        <f t="shared" si="12"/>
        <v>-1</v>
      </c>
      <c r="AF49" s="28" t="s">
        <v>20</v>
      </c>
      <c r="AG49" s="11">
        <v>628095512</v>
      </c>
      <c r="AH49" s="11">
        <v>632969529</v>
      </c>
      <c r="AI49" s="62">
        <v>924768000</v>
      </c>
      <c r="AJ49" s="11">
        <f>NOV!N143</f>
        <v>0</v>
      </c>
      <c r="AK49" s="12">
        <f t="shared" si="13"/>
        <v>0</v>
      </c>
      <c r="AL49" s="125">
        <f>IFERROR(AJ49/AG49-1,0)</f>
        <v>-1</v>
      </c>
      <c r="AM49" s="14">
        <f t="shared" si="34"/>
        <v>-1</v>
      </c>
      <c r="AN49" s="50"/>
    </row>
    <row r="50" spans="2:43" ht="15" thickBot="1" x14ac:dyDescent="0.4">
      <c r="B50" s="49"/>
      <c r="C50" s="29" t="s">
        <v>21</v>
      </c>
      <c r="D50" s="11">
        <f t="shared" si="39"/>
        <v>6202665216</v>
      </c>
      <c r="E50" s="11">
        <f>SUM(N50,E69,N69,E88,N88)</f>
        <v>7385635587</v>
      </c>
      <c r="F50" s="11">
        <f t="shared" si="35"/>
        <v>7612800000</v>
      </c>
      <c r="G50" s="9">
        <f t="shared" si="36"/>
        <v>0</v>
      </c>
      <c r="H50" s="126">
        <f t="shared" si="40"/>
        <v>0</v>
      </c>
      <c r="I50" s="127">
        <f t="shared" si="20"/>
        <v>-1</v>
      </c>
      <c r="J50" s="14">
        <f>IFERROR(G50/E50-1,0)</f>
        <v>-1</v>
      </c>
      <c r="L50" s="29" t="s">
        <v>21</v>
      </c>
      <c r="M50" s="11">
        <v>1265831835</v>
      </c>
      <c r="N50" s="60">
        <v>1348731032</v>
      </c>
      <c r="O50" s="11">
        <v>1370304000</v>
      </c>
      <c r="P50" s="11">
        <v>0</v>
      </c>
      <c r="Q50" s="18">
        <f>IFERROR(P50/O50,0)</f>
        <v>0</v>
      </c>
      <c r="R50" s="128">
        <f t="shared" si="22"/>
        <v>-1</v>
      </c>
      <c r="S50" s="14">
        <f t="shared" si="11"/>
        <v>-1</v>
      </c>
      <c r="T50" s="50"/>
      <c r="V50" s="49"/>
      <c r="W50" s="29" t="s">
        <v>21</v>
      </c>
      <c r="X50" s="11">
        <f t="shared" ref="X50:Z50" si="45">SUM(AG50,AG69,X69,X88,AG88)</f>
        <v>3168508121</v>
      </c>
      <c r="Y50" s="11">
        <f t="shared" si="45"/>
        <v>3501669477</v>
      </c>
      <c r="Z50" s="11">
        <f t="shared" si="45"/>
        <v>4867200000</v>
      </c>
      <c r="AA50" s="123">
        <f t="shared" si="38"/>
        <v>0</v>
      </c>
      <c r="AB50" s="18">
        <f>IFERROR(AA50/Z50,0)</f>
        <v>0</v>
      </c>
      <c r="AC50" s="128">
        <f t="shared" si="26"/>
        <v>-1</v>
      </c>
      <c r="AD50" s="14">
        <f t="shared" si="12"/>
        <v>-1</v>
      </c>
      <c r="AF50" s="29" t="s">
        <v>21</v>
      </c>
      <c r="AG50" s="11">
        <v>641067945</v>
      </c>
      <c r="AH50" s="11">
        <v>955986148</v>
      </c>
      <c r="AI50" s="81">
        <v>924768000</v>
      </c>
      <c r="AJ50" s="11">
        <v>0</v>
      </c>
      <c r="AK50" s="18">
        <f t="shared" si="13"/>
        <v>0</v>
      </c>
      <c r="AL50" s="128">
        <f t="shared" si="29"/>
        <v>-1</v>
      </c>
      <c r="AM50" s="14">
        <f>IFERROR(AJ50/AH50-1,0)</f>
        <v>-1</v>
      </c>
      <c r="AN50" s="50"/>
    </row>
    <row r="51" spans="2:43" ht="15" thickBot="1" x14ac:dyDescent="0.4">
      <c r="B51" s="49"/>
      <c r="C51" s="20" t="s">
        <v>22</v>
      </c>
      <c r="D51" s="21">
        <f>SUM(D45:D50)</f>
        <v>37707767400</v>
      </c>
      <c r="E51" s="72">
        <f>SUM(E45:E50)</f>
        <v>41092367686</v>
      </c>
      <c r="F51" s="21">
        <f>SUM(F45:F50)</f>
        <v>47580000000</v>
      </c>
      <c r="G51" s="21">
        <f>SUM(G45:G50)</f>
        <v>20452009247.691299</v>
      </c>
      <c r="H51" s="134">
        <f t="shared" si="40"/>
        <v>0.42984466682831651</v>
      </c>
      <c r="I51" s="135">
        <f t="shared" si="20"/>
        <v>-0.45761813393143769</v>
      </c>
      <c r="J51" s="24">
        <f t="shared" si="10"/>
        <v>-0.50229177826958815</v>
      </c>
      <c r="L51" s="20" t="s">
        <v>22</v>
      </c>
      <c r="M51" s="21">
        <f>SUM(M45:M50)</f>
        <v>7361124104</v>
      </c>
      <c r="N51" s="84">
        <f>SUM(N45:N50)</f>
        <v>8061487866</v>
      </c>
      <c r="O51" s="21">
        <f>SUM(O45:O50)</f>
        <v>8564400000</v>
      </c>
      <c r="P51" s="21">
        <f>SUM(P45:P50)</f>
        <v>3272822790.4048004</v>
      </c>
      <c r="Q51" s="22">
        <f>IFERROR(P51/O51,0)</f>
        <v>0.38214268254691519</v>
      </c>
      <c r="R51" s="131">
        <f t="shared" si="22"/>
        <v>-0.55539089625912386</v>
      </c>
      <c r="S51" s="24">
        <f t="shared" si="11"/>
        <v>-0.59401752569668875</v>
      </c>
      <c r="T51" s="50"/>
      <c r="V51" s="49"/>
      <c r="W51" s="20" t="s">
        <v>22</v>
      </c>
      <c r="X51" s="21">
        <f>SUM(X45:X50)</f>
        <v>19524489031</v>
      </c>
      <c r="Y51" s="21">
        <f>SUM(Y45:Y50)</f>
        <v>19280071181</v>
      </c>
      <c r="Z51" s="21">
        <f>SUM(Z45:Z50)</f>
        <v>30420000000</v>
      </c>
      <c r="AA51" s="83">
        <f>SUM(AA45:AA50)</f>
        <v>9224654357.3292999</v>
      </c>
      <c r="AB51" s="22">
        <f>IFERROR(AA51/Z51,0)</f>
        <v>0.30324307552035834</v>
      </c>
      <c r="AC51" s="131">
        <f t="shared" si="26"/>
        <v>-0.52753414736319815</v>
      </c>
      <c r="AD51" s="24">
        <f t="shared" si="12"/>
        <v>-0.52154459022848665</v>
      </c>
      <c r="AF51" s="20" t="s">
        <v>22</v>
      </c>
      <c r="AG51" s="83">
        <f>SUM(AG45:AG50)</f>
        <v>3763160257</v>
      </c>
      <c r="AH51" s="21">
        <f>SUM(AH45:AH50)</f>
        <v>4274874683</v>
      </c>
      <c r="AI51" s="73">
        <f>SUM(AI45:AI50)</f>
        <v>5779800000</v>
      </c>
      <c r="AJ51" s="84">
        <f>SUM(AJ45:AJ50)</f>
        <v>1655095763.1206</v>
      </c>
      <c r="AK51" s="22">
        <f t="shared" si="13"/>
        <v>0.28635865654877329</v>
      </c>
      <c r="AL51" s="131">
        <f t="shared" si="29"/>
        <v>-0.56018461875443859</v>
      </c>
      <c r="AM51" s="24">
        <f>IFERROR(AJ51/AH51-1,0)</f>
        <v>-0.61283174692758591</v>
      </c>
      <c r="AN51" s="50"/>
    </row>
    <row r="52" spans="2:43" ht="15" thickBot="1" x14ac:dyDescent="0.4">
      <c r="B52" s="49"/>
      <c r="C52" s="136" t="s">
        <v>23</v>
      </c>
      <c r="D52" s="31">
        <f>D44+D51</f>
        <v>69437282375</v>
      </c>
      <c r="E52" s="97">
        <f>E44+E51</f>
        <v>76122314222</v>
      </c>
      <c r="F52" s="31">
        <f>F44+F51</f>
        <v>95160000000</v>
      </c>
      <c r="G52" s="137">
        <f>G44+G51</f>
        <v>57266890285.399498</v>
      </c>
      <c r="H52" s="138">
        <f t="shared" si="40"/>
        <v>0.60179582056956182</v>
      </c>
      <c r="I52" s="34">
        <f>IFERROR(G52/D52-1,0)</f>
        <v>-0.17527172252902423</v>
      </c>
      <c r="J52" s="35">
        <f t="shared" si="10"/>
        <v>-0.24769903712610886</v>
      </c>
      <c r="K52" s="3"/>
      <c r="L52" s="136" t="s">
        <v>23</v>
      </c>
      <c r="M52" s="31">
        <f>M44+M51</f>
        <v>13626953537</v>
      </c>
      <c r="N52" s="97">
        <f>N44+N51</f>
        <v>15003977437</v>
      </c>
      <c r="O52" s="31">
        <f>O44+O51</f>
        <v>17128800000</v>
      </c>
      <c r="P52" s="137">
        <f>P44+P51</f>
        <v>9736371582.9928017</v>
      </c>
      <c r="Q52" s="139">
        <f>IFERROR(P52/O52,0)</f>
        <v>0.56842111432165721</v>
      </c>
      <c r="R52" s="35">
        <f>IFERROR(P52/M52-1,0)</f>
        <v>-0.28550636379902983</v>
      </c>
      <c r="S52" s="35">
        <f t="shared" si="11"/>
        <v>-0.35108063019457858</v>
      </c>
      <c r="T52" s="50"/>
      <c r="U52" s="3"/>
      <c r="V52" s="49"/>
      <c r="W52" s="30" t="s">
        <v>23</v>
      </c>
      <c r="X52" s="31">
        <f>X44+X51</f>
        <v>37165880159</v>
      </c>
      <c r="Y52" s="31">
        <f>Y44+Y51</f>
        <v>37549825843</v>
      </c>
      <c r="Z52" s="31">
        <f>Z44+Z51</f>
        <v>60840000000</v>
      </c>
      <c r="AA52" s="140">
        <f>AA44+AA51</f>
        <v>26903276143.094601</v>
      </c>
      <c r="AB52" s="139">
        <f>IFERROR(AA52/Z52,0)</f>
        <v>0.44219717526453978</v>
      </c>
      <c r="AC52" s="35">
        <f>IFERROR(AA52/X52-1,0)</f>
        <v>-0.27612971822544696</v>
      </c>
      <c r="AD52" s="35">
        <f t="shared" si="12"/>
        <v>-0.28353126708016729</v>
      </c>
      <c r="AE52" s="3"/>
      <c r="AF52" s="30" t="s">
        <v>23</v>
      </c>
      <c r="AG52" s="88">
        <f>AG44+AG51</f>
        <v>7544104062</v>
      </c>
      <c r="AH52" s="31">
        <f>AH44+AH51</f>
        <v>7707949221</v>
      </c>
      <c r="AI52" s="141">
        <f>AI44+AI51</f>
        <v>11559600000</v>
      </c>
      <c r="AJ52" s="99">
        <f>AJ44+AJ51</f>
        <v>4755364972.6362</v>
      </c>
      <c r="AK52" s="139">
        <f t="shared" si="13"/>
        <v>0.41137798649055329</v>
      </c>
      <c r="AL52" s="35">
        <f>IFERROR(AJ52/AG52-1,0)</f>
        <v>-0.36965808881279982</v>
      </c>
      <c r="AM52" s="35">
        <f>IFERROR(AJ52/AH52-1,0)</f>
        <v>-0.38305704457932888</v>
      </c>
      <c r="AN52" s="50"/>
      <c r="AO52" s="3"/>
    </row>
    <row r="53" spans="2:43" ht="15.5" thickTop="1" thickBot="1" x14ac:dyDescent="0.4">
      <c r="B53" s="49"/>
      <c r="C53" s="142" t="s">
        <v>24</v>
      </c>
      <c r="D53" s="37">
        <f>IFERROR(AVERAGE(D38:D43,D45:D50),0)</f>
        <v>5786440197.916667</v>
      </c>
      <c r="E53" s="106">
        <f>IFERROR(AVERAGE(E38:E43,E45:E50),0)</f>
        <v>6343526185.166667</v>
      </c>
      <c r="F53" s="37">
        <f>IFERROR(AVERAGE(F38:F43,F45:F50),0)</f>
        <v>7930000000</v>
      </c>
      <c r="G53" s="38">
        <f>IFERROR(AVERAGE(G38:G43,G45:G50),0)</f>
        <v>4772240857.1166248</v>
      </c>
      <c r="H53" s="143">
        <f t="shared" si="40"/>
        <v>0.60179582056956182</v>
      </c>
      <c r="I53" s="40">
        <f>IFERROR(G53/D53-1,0)</f>
        <v>-0.17527172252902423</v>
      </c>
      <c r="J53" s="41">
        <f t="shared" si="10"/>
        <v>-0.24769903712610886</v>
      </c>
      <c r="L53" s="142" t="s">
        <v>24</v>
      </c>
      <c r="M53" s="37">
        <f>IFERROR(AVERAGE(M38:M43,M45:M50),0)</f>
        <v>1135579461.4166667</v>
      </c>
      <c r="N53" s="106">
        <f>IFERROR(AVERAGE(N38:N43,N45:N50),0)</f>
        <v>1250331453.0833333</v>
      </c>
      <c r="O53" s="37">
        <f>IFERROR(AVERAGE(O38:O43,O45:O50),0)</f>
        <v>1427400000</v>
      </c>
      <c r="P53" s="38">
        <f>IFERROR(AVERAGE(P38:P43,P45:P50),0)</f>
        <v>811364298.58273351</v>
      </c>
      <c r="Q53" s="39">
        <f>IFERROR(P53/O53,0)</f>
        <v>0.56842111432165721</v>
      </c>
      <c r="R53" s="144">
        <f>IFERROR(P53/M53-1,0)</f>
        <v>-0.28550636379902983</v>
      </c>
      <c r="S53" s="41">
        <f t="shared" si="11"/>
        <v>-0.35108063019457858</v>
      </c>
      <c r="T53" s="50"/>
      <c r="V53" s="49"/>
      <c r="W53" s="36" t="s">
        <v>24</v>
      </c>
      <c r="X53" s="37">
        <f>IFERROR(AVERAGE(X38:X43,X45:X50),0)</f>
        <v>3097156679.9166665</v>
      </c>
      <c r="Y53" s="37">
        <f>IFERROR(AVERAGE(Y38:Y43,Y45:Y50),0)</f>
        <v>3129152153.5833335</v>
      </c>
      <c r="Z53" s="37">
        <f>IFERROR(AVERAGE(Z38:Z43,Z45:Z50),0)</f>
        <v>5070000000</v>
      </c>
      <c r="AA53" s="145">
        <f>IFERROR(AVERAGE(AA38:AA43,AA45:AA50),0)</f>
        <v>2241939678.5912166</v>
      </c>
      <c r="AB53" s="39">
        <f>IFERROR(AA53/Z53,0)</f>
        <v>0.44219717526453978</v>
      </c>
      <c r="AC53" s="144">
        <f>IFERROR(AA53/X53-1,0)</f>
        <v>-0.27612971822544696</v>
      </c>
      <c r="AD53" s="41">
        <f t="shared" si="12"/>
        <v>-0.28353126708016729</v>
      </c>
      <c r="AF53" s="36" t="s">
        <v>24</v>
      </c>
      <c r="AG53" s="100">
        <f>IFERROR(AVERAGE(AG38:AG43,AG45:AG50),0)</f>
        <v>628675338.5</v>
      </c>
      <c r="AH53" s="37">
        <f>IFERROR(AVERAGE(AH38:AH43,AH45:AH50),0)</f>
        <v>642329101.75</v>
      </c>
      <c r="AI53" s="109">
        <f>IFERROR(AVERAGE(AI38:AI43,AI45:AI50),0)</f>
        <v>963300000</v>
      </c>
      <c r="AJ53" s="101">
        <f>IFERROR(AVERAGE(AJ38:AJ43,AJ45:AJ50),0)</f>
        <v>396280414.3863501</v>
      </c>
      <c r="AK53" s="39">
        <f t="shared" si="13"/>
        <v>0.4113779864905534</v>
      </c>
      <c r="AL53" s="144">
        <f>IFERROR(AJ53/AG53-1,0)</f>
        <v>-0.36965808881279971</v>
      </c>
      <c r="AM53" s="41">
        <f>IFERROR(AJ53/AH53-1,0)</f>
        <v>-0.38305704457932865</v>
      </c>
      <c r="AN53" s="50"/>
    </row>
    <row r="54" spans="2:43" ht="15" thickBot="1" x14ac:dyDescent="0.4">
      <c r="B54" s="49"/>
      <c r="T54" s="50"/>
      <c r="V54" s="49"/>
      <c r="W54" s="1"/>
      <c r="AN54" s="50"/>
    </row>
    <row r="55" spans="2:43" ht="15" customHeight="1" thickBot="1" x14ac:dyDescent="0.4">
      <c r="B55" s="49"/>
      <c r="C55" s="498" t="s">
        <v>2</v>
      </c>
      <c r="D55" s="502" t="s">
        <v>141</v>
      </c>
      <c r="E55" s="500"/>
      <c r="F55" s="500"/>
      <c r="G55" s="502" t="s">
        <v>173</v>
      </c>
      <c r="H55" s="500"/>
      <c r="I55" s="502" t="s">
        <v>4</v>
      </c>
      <c r="J55" s="501"/>
      <c r="L55" s="498" t="s">
        <v>2</v>
      </c>
      <c r="M55" s="502" t="s">
        <v>163</v>
      </c>
      <c r="N55" s="500"/>
      <c r="O55" s="500"/>
      <c r="P55" s="502" t="s">
        <v>35</v>
      </c>
      <c r="Q55" s="500"/>
      <c r="R55" s="502" t="s">
        <v>4</v>
      </c>
      <c r="S55" s="501"/>
      <c r="T55" s="50"/>
      <c r="V55" s="49"/>
      <c r="W55" s="498" t="s">
        <v>2</v>
      </c>
      <c r="X55" s="502" t="s">
        <v>142</v>
      </c>
      <c r="Y55" s="509"/>
      <c r="Z55" s="500"/>
      <c r="AA55" s="502" t="s">
        <v>196</v>
      </c>
      <c r="AB55" s="500"/>
      <c r="AC55" s="502" t="s">
        <v>4</v>
      </c>
      <c r="AD55" s="501"/>
      <c r="AF55" s="498" t="s">
        <v>2</v>
      </c>
      <c r="AG55" s="502" t="s">
        <v>143</v>
      </c>
      <c r="AH55" s="509"/>
      <c r="AI55" s="500"/>
      <c r="AJ55" s="502" t="s">
        <v>37</v>
      </c>
      <c r="AK55" s="548"/>
      <c r="AL55" s="502" t="s">
        <v>4</v>
      </c>
      <c r="AM55" s="501"/>
      <c r="AN55" s="50"/>
    </row>
    <row r="56" spans="2:43" ht="15" thickBot="1" x14ac:dyDescent="0.4">
      <c r="B56" s="49"/>
      <c r="C56" s="499"/>
      <c r="D56" s="6">
        <v>2024</v>
      </c>
      <c r="E56" s="6">
        <v>2025</v>
      </c>
      <c r="F56" s="155" t="s">
        <v>5</v>
      </c>
      <c r="G56" s="6">
        <v>2026</v>
      </c>
      <c r="H56" s="6" t="s">
        <v>6</v>
      </c>
      <c r="I56" s="6" t="s">
        <v>8</v>
      </c>
      <c r="J56" s="7" t="s">
        <v>7</v>
      </c>
      <c r="L56" s="499"/>
      <c r="M56" s="6">
        <v>2024</v>
      </c>
      <c r="N56" s="6">
        <v>2025</v>
      </c>
      <c r="O56" s="155" t="s">
        <v>5</v>
      </c>
      <c r="P56" s="6">
        <v>2026</v>
      </c>
      <c r="Q56" s="6" t="s">
        <v>6</v>
      </c>
      <c r="R56" s="6" t="s">
        <v>8</v>
      </c>
      <c r="S56" s="7" t="s">
        <v>7</v>
      </c>
      <c r="T56" s="50"/>
      <c r="V56" s="49"/>
      <c r="W56" s="499"/>
      <c r="X56" s="6">
        <v>2024</v>
      </c>
      <c r="Y56" s="6">
        <v>2025</v>
      </c>
      <c r="Z56" s="155" t="s">
        <v>5</v>
      </c>
      <c r="AA56" s="6">
        <v>2026</v>
      </c>
      <c r="AB56" s="6" t="s">
        <v>6</v>
      </c>
      <c r="AC56" s="6" t="s">
        <v>8</v>
      </c>
      <c r="AD56" s="7" t="s">
        <v>7</v>
      </c>
      <c r="AF56" s="499"/>
      <c r="AG56" s="6">
        <v>2024</v>
      </c>
      <c r="AH56" s="6">
        <v>2025</v>
      </c>
      <c r="AI56" s="155" t="s">
        <v>5</v>
      </c>
      <c r="AJ56" s="6">
        <v>2026</v>
      </c>
      <c r="AK56" s="6" t="s">
        <v>6</v>
      </c>
      <c r="AL56" s="6" t="s">
        <v>8</v>
      </c>
      <c r="AM56" s="7" t="s">
        <v>7</v>
      </c>
      <c r="AN56" s="50"/>
      <c r="AP56" s="3"/>
      <c r="AQ56" s="3"/>
    </row>
    <row r="57" spans="2:43" x14ac:dyDescent="0.35">
      <c r="B57" s="49"/>
      <c r="C57" s="8" t="s">
        <v>9</v>
      </c>
      <c r="D57" s="11">
        <v>819654930</v>
      </c>
      <c r="E57" s="57">
        <v>1019392629</v>
      </c>
      <c r="F57" s="26">
        <v>1884168000</v>
      </c>
      <c r="G57" s="11">
        <f>JAN!N123</f>
        <v>1309692668.0379999</v>
      </c>
      <c r="H57" s="27">
        <f>IFERROR(G57/F57,0)</f>
        <v>0.69510397588643891</v>
      </c>
      <c r="I57" s="122">
        <f>IFERROR(G57/D57-1,0)</f>
        <v>0.59785858670794534</v>
      </c>
      <c r="J57" s="14">
        <f t="shared" ref="J57:J72" si="46">IFERROR(G57/E57-1,0)</f>
        <v>0.28477745549600186</v>
      </c>
      <c r="L57" s="8" t="s">
        <v>9</v>
      </c>
      <c r="M57" s="11">
        <v>1310543873</v>
      </c>
      <c r="N57" s="60">
        <v>967099471</v>
      </c>
      <c r="O57" s="26">
        <v>1798524000</v>
      </c>
      <c r="P57" s="11">
        <f>JAN!N124</f>
        <v>1756456249.6178005</v>
      </c>
      <c r="Q57" s="27">
        <f>IFERROR(P57/O57,0)</f>
        <v>0.97660984764050995</v>
      </c>
      <c r="R57" s="122">
        <f>IFERROR(P57/M57-1,0)</f>
        <v>0.34024986557455028</v>
      </c>
      <c r="S57" s="14">
        <f t="shared" ref="S57:S72" si="47">IFERROR(P57/N57-1,0)</f>
        <v>0.81621053706253188</v>
      </c>
      <c r="T57" s="50"/>
      <c r="V57" s="49"/>
      <c r="W57" s="8" t="s">
        <v>9</v>
      </c>
      <c r="X57" s="11">
        <v>457066929</v>
      </c>
      <c r="Y57" s="11">
        <v>447895319</v>
      </c>
      <c r="Z57" s="26">
        <v>985608000</v>
      </c>
      <c r="AA57" s="57">
        <f>JAN!N134</f>
        <v>393837947.92949998</v>
      </c>
      <c r="AB57" s="27">
        <f>IFERROR(AA57/Z57,0)</f>
        <v>0.39958883037627535</v>
      </c>
      <c r="AC57" s="122">
        <f>IFERROR(AA57/X57-1,0)</f>
        <v>-0.13833637276894306</v>
      </c>
      <c r="AD57" s="14">
        <f t="shared" ref="AD57:AD72" si="48">IFERROR(AA57/Y57-1,0)</f>
        <v>-0.12069197595364911</v>
      </c>
      <c r="AF57" s="8" t="s">
        <v>9</v>
      </c>
      <c r="AG57" s="11">
        <v>543901182</v>
      </c>
      <c r="AH57" s="11">
        <v>632950182</v>
      </c>
      <c r="AI57" s="26">
        <v>1040364000</v>
      </c>
      <c r="AJ57" s="123">
        <f>JAN!N136</f>
        <v>564182181.6839</v>
      </c>
      <c r="AK57" s="27">
        <f t="shared" ref="AK57:AK72" si="49">IFERROR(AJ57/AI57,0)</f>
        <v>0.54229306443119907</v>
      </c>
      <c r="AL57" s="133">
        <f>IFERROR(AJ57/AG57-1,0)</f>
        <v>3.7288022815695987E-2</v>
      </c>
      <c r="AM57" s="14">
        <f>IFERROR(AJ57/AH57-1,0)</f>
        <v>-0.10864678180327947</v>
      </c>
      <c r="AN57" s="50"/>
      <c r="AP57" s="3"/>
      <c r="AQ57" s="3"/>
    </row>
    <row r="58" spans="2:43" x14ac:dyDescent="0.35">
      <c r="B58" s="49"/>
      <c r="C58" s="8" t="s">
        <v>10</v>
      </c>
      <c r="D58" s="9">
        <v>682388928</v>
      </c>
      <c r="E58" s="56">
        <v>1046694712</v>
      </c>
      <c r="F58" s="10">
        <v>1674816000</v>
      </c>
      <c r="G58" s="11">
        <f>FEB!N123</f>
        <v>1458115780.2177</v>
      </c>
      <c r="H58" s="12">
        <f t="shared" ref="H58:H67" si="50">IFERROR(G58/F58,0)</f>
        <v>0.87061252114721854</v>
      </c>
      <c r="I58" s="125">
        <f t="shared" ref="I58:I70" si="51">IFERROR(G58/D58-1,0)</f>
        <v>1.1367811234734746</v>
      </c>
      <c r="J58" s="14">
        <f t="shared" si="46"/>
        <v>0.39306692152057043</v>
      </c>
      <c r="K58" s="3"/>
      <c r="L58" s="8" t="s">
        <v>10</v>
      </c>
      <c r="M58" s="11">
        <v>1438214898</v>
      </c>
      <c r="N58" s="60">
        <v>1944398706</v>
      </c>
      <c r="O58" s="10">
        <v>1598688000</v>
      </c>
      <c r="P58" s="11">
        <f>FEB!N124</f>
        <v>1700849566.1242995</v>
      </c>
      <c r="Q58" s="12">
        <f t="shared" ref="Q58:Q67" si="52">IFERROR(P58/O58,0)</f>
        <v>1.0639033795989583</v>
      </c>
      <c r="R58" s="125">
        <f t="shared" ref="R58:R70" si="53">IFERROR(P58/M58-1,0)</f>
        <v>0.18261156138037693</v>
      </c>
      <c r="S58" s="14">
        <f t="shared" si="47"/>
        <v>-0.12525678973358689</v>
      </c>
      <c r="T58" s="50"/>
      <c r="U58" s="3"/>
      <c r="V58" s="49"/>
      <c r="W58" s="8" t="s">
        <v>10</v>
      </c>
      <c r="X58" s="11">
        <v>450229683</v>
      </c>
      <c r="Y58" s="11">
        <v>435444691</v>
      </c>
      <c r="Z58" s="10">
        <v>876096000</v>
      </c>
      <c r="AA58" s="57">
        <f>FEB!N134</f>
        <v>362899191.71889991</v>
      </c>
      <c r="AB58" s="12">
        <f t="shared" ref="AB58:AB67" si="54">IFERROR(AA58/Z58,0)</f>
        <v>0.41422308938620872</v>
      </c>
      <c r="AC58" s="125">
        <f t="shared" ref="AC58:AC70" si="55">IFERROR(AA58/X58-1,0)</f>
        <v>-0.19396875545653458</v>
      </c>
      <c r="AD58" s="14">
        <f t="shared" si="48"/>
        <v>-0.16660095020219245</v>
      </c>
      <c r="AE58" s="3"/>
      <c r="AF58" s="8" t="s">
        <v>10</v>
      </c>
      <c r="AG58" s="11">
        <v>482710778</v>
      </c>
      <c r="AH58" s="11">
        <v>660070913</v>
      </c>
      <c r="AI58" s="10">
        <v>924768000</v>
      </c>
      <c r="AJ58" s="57">
        <f>FEB!N136</f>
        <v>652562669.67069995</v>
      </c>
      <c r="AK58" s="12">
        <f t="shared" si="49"/>
        <v>0.70565014108479096</v>
      </c>
      <c r="AL58" s="124">
        <f t="shared" ref="AL58:AL70" si="56">IFERROR(AJ58/AG58-1,0)</f>
        <v>0.35187093268238545</v>
      </c>
      <c r="AM58" s="14">
        <f t="shared" ref="AM58:AM72" si="57">IFERROR(AJ58/AH58-1,0)</f>
        <v>-1.1374904092009364E-2</v>
      </c>
      <c r="AN58" s="50"/>
      <c r="AO58" s="3"/>
      <c r="AP58" s="3"/>
      <c r="AQ58" s="3"/>
    </row>
    <row r="59" spans="2:43" x14ac:dyDescent="0.35">
      <c r="B59" s="49"/>
      <c r="C59" s="8" t="s">
        <v>11</v>
      </c>
      <c r="D59" s="9">
        <v>988453094</v>
      </c>
      <c r="E59" s="56">
        <v>772436920</v>
      </c>
      <c r="F59" s="10">
        <v>1674816000</v>
      </c>
      <c r="G59" s="11">
        <f>MAR!N123</f>
        <v>508542480.22929996</v>
      </c>
      <c r="H59" s="12">
        <f t="shared" si="50"/>
        <v>0.30364080605230664</v>
      </c>
      <c r="I59" s="125">
        <f t="shared" si="51"/>
        <v>-0.48551683097943754</v>
      </c>
      <c r="J59" s="14">
        <f t="shared" si="46"/>
        <v>-0.34163882245646682</v>
      </c>
      <c r="L59" s="8" t="s">
        <v>11</v>
      </c>
      <c r="M59" s="11">
        <v>1511933365</v>
      </c>
      <c r="N59" s="60">
        <v>1093454962</v>
      </c>
      <c r="O59" s="26">
        <v>1598688000</v>
      </c>
      <c r="P59" s="11">
        <f>MAR!N124</f>
        <v>732941900.67879999</v>
      </c>
      <c r="Q59" s="12">
        <f t="shared" si="52"/>
        <v>0.45846462891996437</v>
      </c>
      <c r="R59" s="125">
        <f t="shared" si="53"/>
        <v>-0.51522870144558253</v>
      </c>
      <c r="S59" s="14">
        <f t="shared" si="47"/>
        <v>-0.32970087827101557</v>
      </c>
      <c r="T59" s="50"/>
      <c r="V59" s="49"/>
      <c r="W59" s="8" t="s">
        <v>11</v>
      </c>
      <c r="X59" s="11">
        <v>402431136</v>
      </c>
      <c r="Y59" s="11">
        <v>580210630</v>
      </c>
      <c r="Z59" s="10">
        <v>876096000</v>
      </c>
      <c r="AA59" s="57">
        <f>MAR!N134</f>
        <v>325496908.10620004</v>
      </c>
      <c r="AB59" s="12">
        <f t="shared" si="54"/>
        <v>0.37153109716994487</v>
      </c>
      <c r="AC59" s="125">
        <f t="shared" si="55"/>
        <v>-0.19117364689644678</v>
      </c>
      <c r="AD59" s="14">
        <f t="shared" si="48"/>
        <v>-0.43900216356566912</v>
      </c>
      <c r="AF59" s="8" t="s">
        <v>11</v>
      </c>
      <c r="AG59" s="11">
        <v>666299103</v>
      </c>
      <c r="AH59" s="11">
        <v>550701528</v>
      </c>
      <c r="AI59" s="10">
        <v>924768000</v>
      </c>
      <c r="AJ59" s="57">
        <f>MAR!N136</f>
        <v>306793293.3229</v>
      </c>
      <c r="AK59" s="12">
        <f t="shared" si="49"/>
        <v>0.3317516321097832</v>
      </c>
      <c r="AL59" s="124">
        <f t="shared" si="56"/>
        <v>-0.5395561963965303</v>
      </c>
      <c r="AM59" s="14">
        <f t="shared" si="57"/>
        <v>-0.44290459037386221</v>
      </c>
      <c r="AN59" s="50"/>
      <c r="AP59" s="3"/>
      <c r="AQ59" s="3"/>
    </row>
    <row r="60" spans="2:43" x14ac:dyDescent="0.35">
      <c r="B60" s="49"/>
      <c r="C60" s="8" t="s">
        <v>12</v>
      </c>
      <c r="D60" s="9">
        <v>597724990</v>
      </c>
      <c r="E60" s="56">
        <v>867629533</v>
      </c>
      <c r="F60" s="10">
        <v>1884168000</v>
      </c>
      <c r="G60" s="11">
        <f>APR!N123</f>
        <v>1265656737.6189001</v>
      </c>
      <c r="H60" s="12">
        <f t="shared" si="50"/>
        <v>0.67173242387032372</v>
      </c>
      <c r="I60" s="125">
        <f t="shared" si="51"/>
        <v>1.1174566210104415</v>
      </c>
      <c r="J60" s="14">
        <f t="shared" si="46"/>
        <v>0.45875248534088353</v>
      </c>
      <c r="L60" s="8" t="s">
        <v>12</v>
      </c>
      <c r="M60" s="11">
        <v>651882667</v>
      </c>
      <c r="N60" s="60">
        <v>1418958751</v>
      </c>
      <c r="O60" s="26">
        <v>1798524000</v>
      </c>
      <c r="P60" s="11">
        <f>APR!N124</f>
        <v>1713282805.2996995</v>
      </c>
      <c r="Q60" s="12">
        <f t="shared" si="52"/>
        <v>0.95260491675379344</v>
      </c>
      <c r="R60" s="125">
        <f t="shared" si="53"/>
        <v>1.6282073324396267</v>
      </c>
      <c r="S60" s="14">
        <f t="shared" si="47"/>
        <v>0.2074225583317888</v>
      </c>
      <c r="T60" s="50"/>
      <c r="V60" s="49"/>
      <c r="W60" s="8" t="s">
        <v>12</v>
      </c>
      <c r="X60" s="11">
        <v>281633309</v>
      </c>
      <c r="Y60" s="11">
        <v>464075857</v>
      </c>
      <c r="Z60" s="10">
        <v>985608000</v>
      </c>
      <c r="AA60" s="57">
        <f>APR!N134</f>
        <v>384129394.82090008</v>
      </c>
      <c r="AB60" s="12">
        <f t="shared" si="54"/>
        <v>0.3897385114780928</v>
      </c>
      <c r="AC60" s="125">
        <f t="shared" si="55"/>
        <v>0.3639345295655354</v>
      </c>
      <c r="AD60" s="14">
        <f t="shared" si="48"/>
        <v>-0.17227024628238718</v>
      </c>
      <c r="AF60" s="8" t="s">
        <v>12</v>
      </c>
      <c r="AG60" s="11">
        <v>261792390</v>
      </c>
      <c r="AH60" s="11">
        <v>455350899</v>
      </c>
      <c r="AI60" s="10">
        <v>1040364000</v>
      </c>
      <c r="AJ60" s="57">
        <f>APR!N136</f>
        <v>611427987.84479988</v>
      </c>
      <c r="AK60" s="12">
        <f t="shared" si="49"/>
        <v>0.58770582973343932</v>
      </c>
      <c r="AL60" s="124">
        <f t="shared" si="56"/>
        <v>1.3355453068929921</v>
      </c>
      <c r="AM60" s="14">
        <f t="shared" si="57"/>
        <v>0.34276222839915782</v>
      </c>
      <c r="AN60" s="50"/>
      <c r="AP60" s="3"/>
      <c r="AQ60" s="3"/>
    </row>
    <row r="61" spans="2:43" x14ac:dyDescent="0.35">
      <c r="B61" s="49"/>
      <c r="C61" s="8" t="s">
        <v>13</v>
      </c>
      <c r="D61" s="9">
        <v>1103676660</v>
      </c>
      <c r="E61" s="56">
        <v>1224303284</v>
      </c>
      <c r="F61" s="10">
        <v>1674816000</v>
      </c>
      <c r="G61" s="11">
        <f>MEI!N123</f>
        <v>1611461717.5405998</v>
      </c>
      <c r="H61" s="12">
        <f t="shared" si="50"/>
        <v>0.96217239239450769</v>
      </c>
      <c r="I61" s="125">
        <f t="shared" si="51"/>
        <v>0.46008498316943647</v>
      </c>
      <c r="J61" s="14">
        <f t="shared" si="46"/>
        <v>0.31622755456122742</v>
      </c>
      <c r="K61" s="3"/>
      <c r="L61" s="8" t="s">
        <v>13</v>
      </c>
      <c r="M61" s="11">
        <v>1547786756</v>
      </c>
      <c r="N61" s="60">
        <v>1759409230</v>
      </c>
      <c r="O61" s="10">
        <v>1598688000</v>
      </c>
      <c r="P61" s="11">
        <f>MEI!N124</f>
        <v>1551609619.0098996</v>
      </c>
      <c r="Q61" s="12">
        <f t="shared" si="52"/>
        <v>0.97055186441000352</v>
      </c>
      <c r="R61" s="125">
        <f t="shared" si="53"/>
        <v>2.469889986511653E-3</v>
      </c>
      <c r="S61" s="14">
        <f t="shared" si="47"/>
        <v>-0.11810760535233766</v>
      </c>
      <c r="T61" s="50"/>
      <c r="U61" s="3"/>
      <c r="V61" s="49"/>
      <c r="W61" s="8" t="s">
        <v>13</v>
      </c>
      <c r="X61" s="11">
        <v>424162591</v>
      </c>
      <c r="Y61" s="11">
        <v>523109269</v>
      </c>
      <c r="Z61" s="10">
        <v>876096000</v>
      </c>
      <c r="AA61" s="57">
        <f>MEI!N134</f>
        <v>319752833.77689993</v>
      </c>
      <c r="AB61" s="12">
        <f t="shared" si="54"/>
        <v>0.36497465320798173</v>
      </c>
      <c r="AC61" s="125">
        <f t="shared" si="55"/>
        <v>-0.24615503450444565</v>
      </c>
      <c r="AD61" s="14">
        <f t="shared" si="48"/>
        <v>-0.38874561640218241</v>
      </c>
      <c r="AE61" s="3"/>
      <c r="AF61" s="8" t="s">
        <v>13</v>
      </c>
      <c r="AG61" s="11">
        <v>551292345</v>
      </c>
      <c r="AH61" s="11">
        <v>735402452</v>
      </c>
      <c r="AI61" s="10">
        <v>924768000</v>
      </c>
      <c r="AJ61" s="57">
        <f>MEI!N136</f>
        <v>471410846.49899983</v>
      </c>
      <c r="AK61" s="12">
        <f t="shared" si="49"/>
        <v>0.50976120118667578</v>
      </c>
      <c r="AL61" s="124">
        <f t="shared" si="56"/>
        <v>-0.14489861726812148</v>
      </c>
      <c r="AM61" s="14">
        <f t="shared" si="57"/>
        <v>-0.35897569389801298</v>
      </c>
      <c r="AN61" s="50"/>
      <c r="AO61" s="3"/>
      <c r="AP61" s="3"/>
      <c r="AQ61" s="3"/>
    </row>
    <row r="62" spans="2:43" ht="15" thickBot="1" x14ac:dyDescent="0.4">
      <c r="B62" s="49"/>
      <c r="C62" s="8" t="s">
        <v>14</v>
      </c>
      <c r="D62" s="16">
        <v>1257418068</v>
      </c>
      <c r="E62" s="64">
        <v>970431771</v>
      </c>
      <c r="F62" s="17">
        <v>1674816000</v>
      </c>
      <c r="G62" s="11">
        <f>JUN!N123</f>
        <v>1325783285.7166998</v>
      </c>
      <c r="H62" s="18">
        <f t="shared" si="50"/>
        <v>0.79159936716433321</v>
      </c>
      <c r="I62" s="125">
        <f t="shared" ref="I62" si="58">IFERROR(G62/D62-1,0)</f>
        <v>5.4369520731826881E-2</v>
      </c>
      <c r="J62" s="14">
        <f t="shared" ref="J62" si="59">IFERROR(G62/E62-1,0)</f>
        <v>0.36617877251743414</v>
      </c>
      <c r="L62" s="8" t="s">
        <v>14</v>
      </c>
      <c r="M62" s="111">
        <v>1692755707</v>
      </c>
      <c r="N62" s="65">
        <v>1687447141</v>
      </c>
      <c r="O62" s="26">
        <v>1598688000</v>
      </c>
      <c r="P62" s="11">
        <f>JUN!N124</f>
        <v>1619417656.1147001</v>
      </c>
      <c r="Q62" s="18">
        <f t="shared" si="52"/>
        <v>1.0129666677392337</v>
      </c>
      <c r="R62" s="125">
        <f t="shared" ref="R62" si="60">IFERROR(P62/M62-1,0)</f>
        <v>-4.3324651384737511E-2</v>
      </c>
      <c r="S62" s="14">
        <f t="shared" ref="S62" si="61">IFERROR(P62/N62-1,0)</f>
        <v>-4.0315031642997101E-2</v>
      </c>
      <c r="T62" s="50"/>
      <c r="V62" s="49"/>
      <c r="W62" s="8" t="s">
        <v>14</v>
      </c>
      <c r="X62" s="111">
        <v>521821697</v>
      </c>
      <c r="Y62" s="111">
        <v>443588326</v>
      </c>
      <c r="Z62" s="17">
        <v>876096000</v>
      </c>
      <c r="AA62" s="57">
        <f>JUN!N134</f>
        <v>293715332.88249999</v>
      </c>
      <c r="AB62" s="18">
        <f t="shared" si="54"/>
        <v>0.3352547356482623</v>
      </c>
      <c r="AC62" s="160">
        <f t="shared" si="55"/>
        <v>-0.43713468686508072</v>
      </c>
      <c r="AD62" s="14">
        <f t="shared" si="48"/>
        <v>-0.33786505264680933</v>
      </c>
      <c r="AF62" s="8" t="s">
        <v>14</v>
      </c>
      <c r="AG62" s="111">
        <v>545613482</v>
      </c>
      <c r="AH62" s="111">
        <v>488261937</v>
      </c>
      <c r="AI62" s="17">
        <v>924768000</v>
      </c>
      <c r="AJ62" s="152">
        <f>JUN!N136</f>
        <v>495811318.21600008</v>
      </c>
      <c r="AK62" s="153">
        <f t="shared" si="49"/>
        <v>0.5361467072995606</v>
      </c>
      <c r="AL62" s="127">
        <f t="shared" si="56"/>
        <v>-9.1277370202519914E-2</v>
      </c>
      <c r="AM62" s="14">
        <f t="shared" si="57"/>
        <v>1.5461744289111179E-2</v>
      </c>
      <c r="AN62" s="50"/>
      <c r="AP62" s="3"/>
      <c r="AQ62" s="3"/>
    </row>
    <row r="63" spans="2:43" ht="15" thickBot="1" x14ac:dyDescent="0.4">
      <c r="B63" s="49"/>
      <c r="C63" s="20" t="s">
        <v>15</v>
      </c>
      <c r="D63" s="21">
        <f>SUM(D57:D62)</f>
        <v>5449316670</v>
      </c>
      <c r="E63" s="72">
        <f>SUM(E57:E62)</f>
        <v>5900888849</v>
      </c>
      <c r="F63" s="21">
        <f>SUM(F57:F62)</f>
        <v>10467600000</v>
      </c>
      <c r="G63" s="72">
        <f>SUM(G57:G62)</f>
        <v>7479252669.3611994</v>
      </c>
      <c r="H63" s="22">
        <f t="shared" si="50"/>
        <v>0.71451456583755579</v>
      </c>
      <c r="I63" s="131">
        <f t="shared" si="51"/>
        <v>0.37251202715682874</v>
      </c>
      <c r="J63" s="24">
        <f t="shared" si="46"/>
        <v>0.26747899524131502</v>
      </c>
      <c r="L63" s="20" t="s">
        <v>15</v>
      </c>
      <c r="M63" s="21">
        <f>SUM(M57:M62)</f>
        <v>8153117266</v>
      </c>
      <c r="N63" s="73">
        <f>SUM(N57:N62)</f>
        <v>8870768261</v>
      </c>
      <c r="O63" s="21">
        <f>SUM(O57:O62)</f>
        <v>9991800000</v>
      </c>
      <c r="P63" s="72">
        <f>SUM(P57:P62)</f>
        <v>9074557796.8451996</v>
      </c>
      <c r="Q63" s="22">
        <f t="shared" si="52"/>
        <v>0.90820050409788022</v>
      </c>
      <c r="R63" s="131">
        <f t="shared" si="53"/>
        <v>0.11301696035794517</v>
      </c>
      <c r="S63" s="24">
        <f t="shared" si="47"/>
        <v>2.2973155182190119E-2</v>
      </c>
      <c r="T63" s="50"/>
      <c r="V63" s="49"/>
      <c r="W63" s="20" t="s">
        <v>15</v>
      </c>
      <c r="X63" s="72">
        <f>SUM(X57:X62)</f>
        <v>2537345345</v>
      </c>
      <c r="Y63" s="21">
        <f>SUM(Y57:Y62)</f>
        <v>2894324092</v>
      </c>
      <c r="Z63" s="21">
        <f>SUM(Z57:Z62)</f>
        <v>5475600000</v>
      </c>
      <c r="AA63" s="83">
        <f>SUM(AA57:AA62)</f>
        <v>2079831609.2348998</v>
      </c>
      <c r="AB63" s="22">
        <f t="shared" si="54"/>
        <v>0.37983629359976984</v>
      </c>
      <c r="AC63" s="131">
        <f t="shared" si="55"/>
        <v>-0.18031196922668025</v>
      </c>
      <c r="AD63" s="24">
        <f t="shared" si="48"/>
        <v>-0.28141025568504308</v>
      </c>
      <c r="AF63" s="20" t="s">
        <v>15</v>
      </c>
      <c r="AG63" s="72">
        <f>SUM(AG57:AG62)</f>
        <v>3051609280</v>
      </c>
      <c r="AH63" s="21">
        <f>SUM(AH57:AH62)</f>
        <v>3522737911</v>
      </c>
      <c r="AI63" s="21">
        <f>SUM(AI57:AI62)</f>
        <v>5779800000</v>
      </c>
      <c r="AJ63" s="21">
        <f>SUM(AJ57:AJ62)</f>
        <v>3102188297.2372994</v>
      </c>
      <c r="AK63" s="119">
        <f t="shared" si="49"/>
        <v>0.53672935001856459</v>
      </c>
      <c r="AL63" s="135">
        <f t="shared" si="56"/>
        <v>1.6574539069857508E-2</v>
      </c>
      <c r="AM63" s="24">
        <f t="shared" si="57"/>
        <v>-0.11938146532261296</v>
      </c>
      <c r="AN63" s="50"/>
      <c r="AP63" s="3"/>
      <c r="AQ63" s="3"/>
    </row>
    <row r="64" spans="2:43" x14ac:dyDescent="0.35">
      <c r="B64" s="49"/>
      <c r="C64" s="25" t="s">
        <v>16</v>
      </c>
      <c r="D64" s="11">
        <v>888116128</v>
      </c>
      <c r="E64" s="57">
        <v>1512801038</v>
      </c>
      <c r="F64" s="26">
        <v>1674816000</v>
      </c>
      <c r="G64" s="11">
        <f>JUL!F123</f>
        <v>1630024959.0342996</v>
      </c>
      <c r="H64" s="27">
        <f t="shared" si="50"/>
        <v>0.97325614218773859</v>
      </c>
      <c r="I64" s="122">
        <f t="shared" si="51"/>
        <v>0.83537367202760637</v>
      </c>
      <c r="J64" s="14">
        <f t="shared" si="46"/>
        <v>7.7487996167212803E-2</v>
      </c>
      <c r="L64" s="25" t="s">
        <v>16</v>
      </c>
      <c r="M64" s="11">
        <v>1616366507</v>
      </c>
      <c r="N64" s="60">
        <v>1762324551</v>
      </c>
      <c r="O64" s="26">
        <v>1598688000</v>
      </c>
      <c r="P64" s="11">
        <f>JUL!F124</f>
        <v>1704131235.2603996</v>
      </c>
      <c r="Q64" s="27">
        <f t="shared" si="52"/>
        <v>1.0659561060447065</v>
      </c>
      <c r="R64" s="122">
        <f t="shared" si="53"/>
        <v>5.4297541974742014E-2</v>
      </c>
      <c r="S64" s="14">
        <f t="shared" si="47"/>
        <v>-3.3020771177805885E-2</v>
      </c>
      <c r="T64" s="50"/>
      <c r="V64" s="49"/>
      <c r="W64" s="25" t="s">
        <v>16</v>
      </c>
      <c r="X64" s="11">
        <v>514507392</v>
      </c>
      <c r="Y64" s="11">
        <v>489738927</v>
      </c>
      <c r="Z64" s="26">
        <v>876096000</v>
      </c>
      <c r="AA64" s="57">
        <f>JUL!F135</f>
        <v>313297887.38249987</v>
      </c>
      <c r="AB64" s="27">
        <f t="shared" si="54"/>
        <v>0.35760680037632847</v>
      </c>
      <c r="AC64" s="122">
        <f t="shared" si="55"/>
        <v>-0.39107213568954924</v>
      </c>
      <c r="AD64" s="14">
        <f t="shared" si="48"/>
        <v>-0.3602757099549494</v>
      </c>
      <c r="AF64" s="25" t="s">
        <v>16</v>
      </c>
      <c r="AG64" s="11">
        <v>532522316</v>
      </c>
      <c r="AH64" s="11">
        <v>622010959</v>
      </c>
      <c r="AI64" s="26">
        <v>924768000</v>
      </c>
      <c r="AJ64" s="11">
        <f>JUL!F137</f>
        <v>512775485.05140001</v>
      </c>
      <c r="AK64" s="148">
        <f t="shared" si="49"/>
        <v>0.55449094805551236</v>
      </c>
      <c r="AL64" s="133">
        <f t="shared" si="56"/>
        <v>-3.7081696588655233E-2</v>
      </c>
      <c r="AM64" s="14">
        <f t="shared" si="57"/>
        <v>-0.17561663885185663</v>
      </c>
      <c r="AN64" s="50"/>
      <c r="AP64" s="3"/>
      <c r="AQ64" s="3"/>
    </row>
    <row r="65" spans="2:43" x14ac:dyDescent="0.35">
      <c r="B65" s="49"/>
      <c r="C65" s="28" t="s">
        <v>17</v>
      </c>
      <c r="D65" s="9">
        <v>1224291544</v>
      </c>
      <c r="E65" s="56">
        <v>1057040100</v>
      </c>
      <c r="F65" s="10">
        <v>1884168000</v>
      </c>
      <c r="G65" s="11">
        <f>AGS!F123</f>
        <v>1484266731.2544999</v>
      </c>
      <c r="H65" s="12">
        <f t="shared" si="50"/>
        <v>0.78775710618931005</v>
      </c>
      <c r="I65" s="125">
        <f t="shared" si="51"/>
        <v>0.21234744986076604</v>
      </c>
      <c r="J65" s="162">
        <f t="shared" si="46"/>
        <v>0.40417258650310428</v>
      </c>
      <c r="K65" s="3"/>
      <c r="L65" s="28" t="s">
        <v>17</v>
      </c>
      <c r="M65" s="11">
        <v>1585475915</v>
      </c>
      <c r="N65" s="60">
        <v>1689062022</v>
      </c>
      <c r="O65" s="10">
        <v>1798524000</v>
      </c>
      <c r="P65" s="11">
        <f>AGS!F124</f>
        <v>1660054321.190099</v>
      </c>
      <c r="Q65" s="12">
        <f t="shared" si="52"/>
        <v>0.92300926826114027</v>
      </c>
      <c r="R65" s="125">
        <f t="shared" si="53"/>
        <v>4.7038498336380519E-2</v>
      </c>
      <c r="S65" s="14">
        <f t="shared" si="47"/>
        <v>-1.7173851778132687E-2</v>
      </c>
      <c r="T65" s="50"/>
      <c r="U65" s="3"/>
      <c r="V65" s="49"/>
      <c r="W65" s="28" t="s">
        <v>17</v>
      </c>
      <c r="X65" s="11">
        <v>504742497</v>
      </c>
      <c r="Y65" s="11">
        <v>483301698</v>
      </c>
      <c r="Z65" s="10">
        <v>985608000</v>
      </c>
      <c r="AA65" s="57">
        <f>AGS!F135</f>
        <v>380141905.13459998</v>
      </c>
      <c r="AB65" s="12">
        <f t="shared" si="54"/>
        <v>0.38569279585250932</v>
      </c>
      <c r="AC65" s="125">
        <f t="shared" si="55"/>
        <v>-0.24685972076054463</v>
      </c>
      <c r="AD65" s="14">
        <f t="shared" si="48"/>
        <v>-0.21344802489272452</v>
      </c>
      <c r="AE65" s="3"/>
      <c r="AF65" s="28" t="s">
        <v>17</v>
      </c>
      <c r="AG65" s="11">
        <v>578402877</v>
      </c>
      <c r="AH65" s="11">
        <v>601952157</v>
      </c>
      <c r="AI65" s="10">
        <v>1040364000</v>
      </c>
      <c r="AJ65" s="11">
        <f>AGS!F137</f>
        <v>536524087.00900006</v>
      </c>
      <c r="AK65" s="146">
        <f t="shared" si="49"/>
        <v>0.51570804738437703</v>
      </c>
      <c r="AL65" s="124">
        <f t="shared" si="56"/>
        <v>-7.2404186867486731E-2</v>
      </c>
      <c r="AM65" s="14">
        <f t="shared" si="57"/>
        <v>-0.10869313986194407</v>
      </c>
      <c r="AN65" s="50"/>
      <c r="AO65" s="3"/>
      <c r="AP65" s="3"/>
      <c r="AQ65" s="3"/>
    </row>
    <row r="66" spans="2:43" x14ac:dyDescent="0.35">
      <c r="B66" s="49"/>
      <c r="C66" s="28" t="s">
        <v>18</v>
      </c>
      <c r="D66" s="9">
        <v>1197543308</v>
      </c>
      <c r="E66" s="56">
        <v>1201997919</v>
      </c>
      <c r="F66" s="10">
        <v>1674816000</v>
      </c>
      <c r="G66" s="11">
        <f>SEP!F123</f>
        <v>1143220688.1868997</v>
      </c>
      <c r="H66" s="12">
        <f t="shared" si="50"/>
        <v>0.68259479739081763</v>
      </c>
      <c r="I66" s="125">
        <f t="shared" si="51"/>
        <v>-4.5361716315565848E-2</v>
      </c>
      <c r="J66" s="14">
        <f t="shared" si="46"/>
        <v>-4.8899611125782894E-2</v>
      </c>
      <c r="L66" s="28" t="s">
        <v>18</v>
      </c>
      <c r="M66" s="11">
        <v>1647416097</v>
      </c>
      <c r="N66" s="60">
        <v>1836368611</v>
      </c>
      <c r="O66" s="10">
        <v>1598688000</v>
      </c>
      <c r="P66" s="11">
        <f>SEP!F124</f>
        <v>1149889851.3766999</v>
      </c>
      <c r="Q66" s="12">
        <f t="shared" si="52"/>
        <v>0.71927095929706109</v>
      </c>
      <c r="R66" s="125">
        <f t="shared" si="53"/>
        <v>-0.30200399676154199</v>
      </c>
      <c r="S66" s="14">
        <f t="shared" si="47"/>
        <v>-0.37382405444704048</v>
      </c>
      <c r="T66" s="50"/>
      <c r="V66" s="49"/>
      <c r="W66" s="28" t="s">
        <v>18</v>
      </c>
      <c r="X66" s="11">
        <v>487947699</v>
      </c>
      <c r="Y66" s="11">
        <v>431653434</v>
      </c>
      <c r="Z66" s="10">
        <v>876096000</v>
      </c>
      <c r="AA66" s="123">
        <f>SEP!F135</f>
        <v>556560456.82789993</v>
      </c>
      <c r="AB66" s="12">
        <f t="shared" si="54"/>
        <v>0.63527336824720115</v>
      </c>
      <c r="AC66" s="125">
        <f t="shared" si="55"/>
        <v>0.14061498387740112</v>
      </c>
      <c r="AD66" s="14">
        <f t="shared" si="48"/>
        <v>0.28936876899234854</v>
      </c>
      <c r="AF66" s="28" t="s">
        <v>18</v>
      </c>
      <c r="AG66" s="11">
        <v>572922426</v>
      </c>
      <c r="AH66" s="11">
        <v>479600855</v>
      </c>
      <c r="AI66" s="10">
        <v>924768000</v>
      </c>
      <c r="AJ66" s="11">
        <f>SEP!F137</f>
        <v>298716174.62570006</v>
      </c>
      <c r="AK66" s="146">
        <f t="shared" si="49"/>
        <v>0.3230174212620896</v>
      </c>
      <c r="AL66" s="124">
        <f t="shared" si="56"/>
        <v>-0.47860973655497985</v>
      </c>
      <c r="AM66" s="14">
        <f t="shared" si="57"/>
        <v>-0.37715670956070324</v>
      </c>
      <c r="AN66" s="50"/>
      <c r="AP66" s="3"/>
      <c r="AQ66" s="3"/>
    </row>
    <row r="67" spans="2:43" x14ac:dyDescent="0.35">
      <c r="B67" s="49"/>
      <c r="C67" s="28" t="s">
        <v>19</v>
      </c>
      <c r="D67" s="9">
        <v>1019002896</v>
      </c>
      <c r="E67" s="56">
        <v>1229990174</v>
      </c>
      <c r="F67" s="10">
        <v>1884168000</v>
      </c>
      <c r="G67" s="11">
        <f>OKT!N133</f>
        <v>0</v>
      </c>
      <c r="H67" s="12">
        <f t="shared" si="50"/>
        <v>0</v>
      </c>
      <c r="I67" s="125">
        <f t="shared" si="51"/>
        <v>-1</v>
      </c>
      <c r="J67" s="14">
        <f t="shared" si="46"/>
        <v>-1</v>
      </c>
      <c r="L67" s="28" t="s">
        <v>19</v>
      </c>
      <c r="M67" s="11">
        <v>1619037541</v>
      </c>
      <c r="N67" s="60">
        <v>1674735458</v>
      </c>
      <c r="O67" s="10">
        <v>1798524000</v>
      </c>
      <c r="P67" s="11">
        <f>OKT!N134</f>
        <v>0</v>
      </c>
      <c r="Q67" s="12">
        <f t="shared" si="52"/>
        <v>0</v>
      </c>
      <c r="R67" s="125">
        <f t="shared" si="53"/>
        <v>-1</v>
      </c>
      <c r="S67" s="14">
        <f t="shared" si="47"/>
        <v>-1</v>
      </c>
      <c r="T67" s="50"/>
      <c r="V67" s="49"/>
      <c r="W67" s="28" t="s">
        <v>19</v>
      </c>
      <c r="X67" s="11">
        <v>600301099</v>
      </c>
      <c r="Y67" s="11">
        <v>480002367</v>
      </c>
      <c r="Z67" s="10">
        <v>985608000</v>
      </c>
      <c r="AA67" s="57">
        <f>OKT!N147</f>
        <v>0</v>
      </c>
      <c r="AB67" s="12">
        <f t="shared" si="54"/>
        <v>0</v>
      </c>
      <c r="AC67" s="125">
        <f t="shared" si="55"/>
        <v>-1</v>
      </c>
      <c r="AD67" s="14">
        <f t="shared" si="48"/>
        <v>-1</v>
      </c>
      <c r="AF67" s="28" t="s">
        <v>19</v>
      </c>
      <c r="AG67" s="11">
        <v>657911341</v>
      </c>
      <c r="AH67" s="11">
        <v>650054427</v>
      </c>
      <c r="AI67" s="10">
        <v>1040364000</v>
      </c>
      <c r="AJ67" s="11">
        <f>OKT!N145</f>
        <v>0</v>
      </c>
      <c r="AK67" s="146">
        <f t="shared" si="49"/>
        <v>0</v>
      </c>
      <c r="AL67" s="124">
        <f t="shared" si="56"/>
        <v>-1</v>
      </c>
      <c r="AM67" s="14">
        <f t="shared" si="57"/>
        <v>-1</v>
      </c>
      <c r="AN67" s="50"/>
    </row>
    <row r="68" spans="2:43" x14ac:dyDescent="0.35">
      <c r="B68" s="49"/>
      <c r="C68" s="28" t="s">
        <v>20</v>
      </c>
      <c r="D68" s="9">
        <v>1155792350</v>
      </c>
      <c r="E68" s="56">
        <v>1100934788</v>
      </c>
      <c r="F68" s="10">
        <v>1674816000</v>
      </c>
      <c r="G68" s="11">
        <f>NOV!N133</f>
        <v>0</v>
      </c>
      <c r="H68" s="12">
        <f>IFERROR(G68/F68,0)</f>
        <v>0</v>
      </c>
      <c r="I68" s="125">
        <f t="shared" si="51"/>
        <v>-1</v>
      </c>
      <c r="J68" s="14">
        <f t="shared" si="46"/>
        <v>-1</v>
      </c>
      <c r="L68" s="28" t="s">
        <v>20</v>
      </c>
      <c r="M68" s="11">
        <v>1721238159</v>
      </c>
      <c r="N68" s="60">
        <v>1668963532</v>
      </c>
      <c r="O68" s="10">
        <v>1598688000</v>
      </c>
      <c r="P68" s="11">
        <f>NOV!N134</f>
        <v>0</v>
      </c>
      <c r="Q68" s="12">
        <f>IFERROR(P68/O68,0)</f>
        <v>0</v>
      </c>
      <c r="R68" s="125">
        <f t="shared" si="53"/>
        <v>-1</v>
      </c>
      <c r="S68" s="14">
        <f t="shared" si="47"/>
        <v>-1</v>
      </c>
      <c r="T68" s="50"/>
      <c r="V68" s="49"/>
      <c r="W68" s="28" t="s">
        <v>20</v>
      </c>
      <c r="X68" s="11">
        <v>518500155</v>
      </c>
      <c r="Y68" s="11">
        <v>342986760</v>
      </c>
      <c r="Z68" s="10">
        <v>876096000</v>
      </c>
      <c r="AA68" s="11">
        <f>NOV!N147</f>
        <v>0</v>
      </c>
      <c r="AB68" s="12">
        <f>IFERROR(AA68/Z68,0)</f>
        <v>0</v>
      </c>
      <c r="AC68" s="125">
        <f t="shared" si="55"/>
        <v>-1</v>
      </c>
      <c r="AD68" s="14">
        <f t="shared" si="48"/>
        <v>-1</v>
      </c>
      <c r="AF68" s="28" t="s">
        <v>20</v>
      </c>
      <c r="AG68" s="11">
        <v>569224903</v>
      </c>
      <c r="AH68" s="11">
        <v>479879881</v>
      </c>
      <c r="AI68" s="10">
        <v>924768000</v>
      </c>
      <c r="AJ68" s="11">
        <f>NOV!N145</f>
        <v>0</v>
      </c>
      <c r="AK68" s="146">
        <f t="shared" si="49"/>
        <v>0</v>
      </c>
      <c r="AL68" s="124">
        <f t="shared" si="56"/>
        <v>-1</v>
      </c>
      <c r="AM68" s="14">
        <f t="shared" si="57"/>
        <v>-1</v>
      </c>
      <c r="AN68" s="50"/>
    </row>
    <row r="69" spans="2:43" ht="15" thickBot="1" x14ac:dyDescent="0.4">
      <c r="B69" s="49"/>
      <c r="C69" s="29" t="s">
        <v>21</v>
      </c>
      <c r="D69" s="11">
        <v>931598318</v>
      </c>
      <c r="E69" s="57">
        <v>1400156927</v>
      </c>
      <c r="F69" s="11">
        <v>1674816000</v>
      </c>
      <c r="G69" s="11">
        <v>0</v>
      </c>
      <c r="H69" s="18">
        <f>IFERROR(G69/F69,0)</f>
        <v>0</v>
      </c>
      <c r="I69" s="128">
        <f t="shared" si="51"/>
        <v>-1</v>
      </c>
      <c r="J69" s="14">
        <f t="shared" si="46"/>
        <v>-1</v>
      </c>
      <c r="L69" s="29" t="s">
        <v>21</v>
      </c>
      <c r="M69" s="11">
        <v>1560360924</v>
      </c>
      <c r="N69" s="60">
        <v>1611262945</v>
      </c>
      <c r="O69" s="11">
        <v>1598688000</v>
      </c>
      <c r="P69" s="11">
        <v>0</v>
      </c>
      <c r="Q69" s="18">
        <f>IFERROR(P69/O69,0)</f>
        <v>0</v>
      </c>
      <c r="R69" s="128">
        <f t="shared" si="53"/>
        <v>-1</v>
      </c>
      <c r="S69" s="14">
        <f t="shared" si="47"/>
        <v>-1</v>
      </c>
      <c r="T69" s="50"/>
      <c r="V69" s="49"/>
      <c r="W69" s="29" t="s">
        <v>21</v>
      </c>
      <c r="X69" s="11">
        <v>543484283</v>
      </c>
      <c r="Y69" s="11">
        <v>449481511</v>
      </c>
      <c r="Z69" s="11">
        <v>876096000</v>
      </c>
      <c r="AA69" s="11">
        <v>0</v>
      </c>
      <c r="AB69" s="18">
        <f>IFERROR(AA69/Z69,0)</f>
        <v>0</v>
      </c>
      <c r="AC69" s="128">
        <f t="shared" si="55"/>
        <v>-1</v>
      </c>
      <c r="AD69" s="14">
        <f t="shared" si="48"/>
        <v>-1</v>
      </c>
      <c r="AF69" s="29" t="s">
        <v>21</v>
      </c>
      <c r="AG69" s="11">
        <v>500419727</v>
      </c>
      <c r="AH69" s="11">
        <v>431978233</v>
      </c>
      <c r="AI69" s="11">
        <v>924768000</v>
      </c>
      <c r="AJ69" s="11">
        <v>0</v>
      </c>
      <c r="AK69" s="147">
        <f t="shared" si="49"/>
        <v>0</v>
      </c>
      <c r="AL69" s="127">
        <f t="shared" si="56"/>
        <v>-1</v>
      </c>
      <c r="AM69" s="14">
        <f t="shared" si="57"/>
        <v>-1</v>
      </c>
      <c r="AN69" s="50"/>
    </row>
    <row r="70" spans="2:43" ht="15" thickBot="1" x14ac:dyDescent="0.4">
      <c r="B70" s="49"/>
      <c r="C70" s="20" t="s">
        <v>22</v>
      </c>
      <c r="D70" s="21">
        <f>SUM(D64:D69)</f>
        <v>6416344544</v>
      </c>
      <c r="E70" s="72">
        <f>SUM(E64:E69)</f>
        <v>7502920946</v>
      </c>
      <c r="F70" s="21">
        <f>SUM(F64:F69)</f>
        <v>10467600000</v>
      </c>
      <c r="G70" s="72">
        <f>SUM(G64:G69)</f>
        <v>4257512378.4756989</v>
      </c>
      <c r="H70" s="22">
        <f>IFERROR(G70/F70,0)</f>
        <v>0.40673242944664478</v>
      </c>
      <c r="I70" s="131">
        <f t="shared" si="51"/>
        <v>-0.33645826696495762</v>
      </c>
      <c r="J70" s="24">
        <f t="shared" si="46"/>
        <v>-0.43255268060028162</v>
      </c>
      <c r="L70" s="20" t="s">
        <v>22</v>
      </c>
      <c r="M70" s="21">
        <f>SUM(M64:M69)</f>
        <v>9749895143</v>
      </c>
      <c r="N70" s="84">
        <f>SUM(N64:N69)</f>
        <v>10242717119</v>
      </c>
      <c r="O70" s="21">
        <f>SUM(O64:O69)</f>
        <v>9991800000</v>
      </c>
      <c r="P70" s="72">
        <f>SUM(P64:P69)</f>
        <v>4514075407.827198</v>
      </c>
      <c r="Q70" s="22">
        <f>IFERROR(P70/O70,0)</f>
        <v>0.451777998741688</v>
      </c>
      <c r="R70" s="131">
        <f t="shared" si="53"/>
        <v>-0.53701292766537012</v>
      </c>
      <c r="S70" s="24">
        <f t="shared" si="47"/>
        <v>-0.55928926325089123</v>
      </c>
      <c r="T70" s="50"/>
      <c r="V70" s="49"/>
      <c r="W70" s="20" t="s">
        <v>22</v>
      </c>
      <c r="X70" s="83">
        <f>SUM(X64:X69)</f>
        <v>3169483125</v>
      </c>
      <c r="Y70" s="21">
        <f>SUM(Y64:Y69)</f>
        <v>2677164697</v>
      </c>
      <c r="Z70" s="21">
        <f>SUM(Z64:Z69)</f>
        <v>5475600000</v>
      </c>
      <c r="AA70" s="83">
        <f>SUM(AA64:AA69)</f>
        <v>1250000249.3449998</v>
      </c>
      <c r="AB70" s="22">
        <f>IFERROR(AA70/Z70,0)</f>
        <v>0.2282855302332164</v>
      </c>
      <c r="AC70" s="131">
        <f t="shared" si="55"/>
        <v>-0.60561384931020901</v>
      </c>
      <c r="AD70" s="24">
        <f t="shared" si="48"/>
        <v>-0.53308802751443141</v>
      </c>
      <c r="AF70" s="20" t="s">
        <v>22</v>
      </c>
      <c r="AG70" s="83">
        <f>SUM(AG64:AG69)</f>
        <v>3411403590</v>
      </c>
      <c r="AH70" s="21">
        <f>SUM(AH64:AH69)</f>
        <v>3265476512</v>
      </c>
      <c r="AI70" s="21">
        <f>SUM(AI64:AI69)</f>
        <v>5779800000</v>
      </c>
      <c r="AJ70" s="21">
        <f>SUM(AJ64:AJ69)</f>
        <v>1348015746.6861</v>
      </c>
      <c r="AK70" s="119">
        <f t="shared" si="49"/>
        <v>0.23322878762000415</v>
      </c>
      <c r="AL70" s="135">
        <f t="shared" si="56"/>
        <v>-0.60485011194875948</v>
      </c>
      <c r="AM70" s="24">
        <f t="shared" si="57"/>
        <v>-0.58719171865655728</v>
      </c>
      <c r="AN70" s="50"/>
    </row>
    <row r="71" spans="2:43" ht="15" thickBot="1" x14ac:dyDescent="0.4">
      <c r="B71" s="49"/>
      <c r="C71" s="136" t="s">
        <v>23</v>
      </c>
      <c r="D71" s="31">
        <f>D63+D70</f>
        <v>11865661214</v>
      </c>
      <c r="E71" s="97">
        <f>E63+E70</f>
        <v>13403809795</v>
      </c>
      <c r="F71" s="31">
        <f>F63+F70</f>
        <v>20935200000</v>
      </c>
      <c r="G71" s="149">
        <f>G63+G70</f>
        <v>11736765047.836899</v>
      </c>
      <c r="H71" s="139">
        <f>IFERROR(G71/F71,0)</f>
        <v>0.56062349764210029</v>
      </c>
      <c r="I71" s="35">
        <f>IFERROR(G71/D71-1,0)</f>
        <v>-1.0862956883601171E-2</v>
      </c>
      <c r="J71" s="35">
        <f t="shared" si="46"/>
        <v>-0.12437096412580817</v>
      </c>
      <c r="K71" s="3"/>
      <c r="L71" s="136" t="s">
        <v>23</v>
      </c>
      <c r="M71" s="31">
        <f>M63+M70</f>
        <v>17903012409</v>
      </c>
      <c r="N71" s="97">
        <f>N63+N70</f>
        <v>19113485380</v>
      </c>
      <c r="O71" s="31">
        <f>O63+O70</f>
        <v>19983600000</v>
      </c>
      <c r="P71" s="149">
        <f>P63+P70</f>
        <v>13588633204.672398</v>
      </c>
      <c r="Q71" s="139">
        <f>IFERROR(P71/O71,0)</f>
        <v>0.67998925141978406</v>
      </c>
      <c r="R71" s="35">
        <f>IFERROR(P71/M71-1,0)</f>
        <v>-0.24098621537896758</v>
      </c>
      <c r="S71" s="35">
        <f t="shared" si="47"/>
        <v>-0.28905519142566782</v>
      </c>
      <c r="T71" s="50"/>
      <c r="U71" s="3"/>
      <c r="V71" s="49"/>
      <c r="W71" s="30" t="s">
        <v>23</v>
      </c>
      <c r="X71" s="88">
        <f>X63+X70</f>
        <v>5706828470</v>
      </c>
      <c r="Y71" s="31">
        <f>Y63+Y70</f>
        <v>5571488789</v>
      </c>
      <c r="Z71" s="31">
        <f>Z63+Z70</f>
        <v>10951200000</v>
      </c>
      <c r="AA71" s="158">
        <f>AA63+AA70</f>
        <v>3329831858.5798998</v>
      </c>
      <c r="AB71" s="139">
        <f>IFERROR(AA71/Z71,0)</f>
        <v>0.30406091191649315</v>
      </c>
      <c r="AC71" s="35">
        <f>IFERROR(AA71/X71-1,0)</f>
        <v>-0.41651797034300919</v>
      </c>
      <c r="AD71" s="35">
        <f t="shared" si="48"/>
        <v>-0.4023443311679793</v>
      </c>
      <c r="AE71" s="3"/>
      <c r="AF71" s="30" t="s">
        <v>23</v>
      </c>
      <c r="AG71" s="88">
        <f>AG63+AG70</f>
        <v>6463012870</v>
      </c>
      <c r="AH71" s="31">
        <f>AH63+AH70</f>
        <v>6788214423</v>
      </c>
      <c r="AI71" s="31">
        <f>AI63+AI70</f>
        <v>11559600000</v>
      </c>
      <c r="AJ71" s="137">
        <f>AJ63+AJ70</f>
        <v>4450204043.923399</v>
      </c>
      <c r="AK71" s="150">
        <f t="shared" si="49"/>
        <v>0.38497906881928434</v>
      </c>
      <c r="AL71" s="34">
        <f>IFERROR(AJ71/AG71-1,0)</f>
        <v>-0.3114350638878739</v>
      </c>
      <c r="AM71" s="35">
        <f t="shared" si="57"/>
        <v>-0.34442199868567724</v>
      </c>
      <c r="AN71" s="50"/>
      <c r="AO71" s="3"/>
    </row>
    <row r="72" spans="2:43" ht="15.5" thickTop="1" thickBot="1" x14ac:dyDescent="0.4">
      <c r="B72" s="49"/>
      <c r="C72" s="142" t="s">
        <v>24</v>
      </c>
      <c r="D72" s="37">
        <f>IFERROR(AVERAGE(D57:D62,D64:D69),0)</f>
        <v>988805101.16666663</v>
      </c>
      <c r="E72" s="106">
        <f>IFERROR(AVERAGE(E57:E62,E64:E69),0)</f>
        <v>1116984149.5833333</v>
      </c>
      <c r="F72" s="37">
        <f>IFERROR(AVERAGE(F57:F62,F64:F69),0)</f>
        <v>1744600000</v>
      </c>
      <c r="G72" s="145">
        <f>IFERROR(AVERAGE(G57:G62,G64:G69),0)</f>
        <v>978063753.98640811</v>
      </c>
      <c r="H72" s="39">
        <f>IFERROR(G72/F72,0)</f>
        <v>0.56062349764210029</v>
      </c>
      <c r="I72" s="144">
        <f>IFERROR(G72/D72-1,0)</f>
        <v>-1.0862956883601282E-2</v>
      </c>
      <c r="J72" s="41">
        <f t="shared" si="46"/>
        <v>-0.12437096412580817</v>
      </c>
      <c r="L72" s="142" t="s">
        <v>24</v>
      </c>
      <c r="M72" s="37">
        <f>IFERROR(AVERAGE(M57:M62,M64:M69),0)</f>
        <v>1491917700.75</v>
      </c>
      <c r="N72" s="106">
        <f>IFERROR(AVERAGE(N57:N62,N64:N69),0)</f>
        <v>1592790448.3333333</v>
      </c>
      <c r="O72" s="37">
        <f>IFERROR(AVERAGE(O57:O62,O64:O69),0)</f>
        <v>1665300000</v>
      </c>
      <c r="P72" s="145">
        <f>IFERROR(AVERAGE(P57:P62,P64:P69),0)</f>
        <v>1132386100.3893664</v>
      </c>
      <c r="Q72" s="39">
        <f>IFERROR(P72/O72,0)</f>
        <v>0.67998925141978406</v>
      </c>
      <c r="R72" s="144">
        <f>IFERROR(P72/M72-1,0)</f>
        <v>-0.24098621537896758</v>
      </c>
      <c r="S72" s="41">
        <f t="shared" si="47"/>
        <v>-0.28905519142566782</v>
      </c>
      <c r="T72" s="50"/>
      <c r="V72" s="49"/>
      <c r="W72" s="36" t="s">
        <v>24</v>
      </c>
      <c r="X72" s="100">
        <f>IFERROR(AVERAGE(X57:X62,X64:X69),0)</f>
        <v>475569039.16666669</v>
      </c>
      <c r="Y72" s="37">
        <f>IFERROR(AVERAGE(Y57:Y62,Y64:Y69),0)</f>
        <v>464290732.41666669</v>
      </c>
      <c r="Z72" s="37">
        <f>IFERROR(AVERAGE(Z57:Z62,Z64:Z69),0)</f>
        <v>912600000</v>
      </c>
      <c r="AA72" s="159">
        <f>IFERROR(AVERAGE(AA57:AA62,AA64:AA69),0)</f>
        <v>277485988.21499163</v>
      </c>
      <c r="AB72" s="39">
        <f>IFERROR(AA72/Z72,0)</f>
        <v>0.30406091191649315</v>
      </c>
      <c r="AC72" s="144">
        <f>IFERROR(AA72/X72-1,0)</f>
        <v>-0.41651797034300919</v>
      </c>
      <c r="AD72" s="41">
        <f t="shared" si="48"/>
        <v>-0.40234433116797941</v>
      </c>
      <c r="AF72" s="36" t="s">
        <v>24</v>
      </c>
      <c r="AG72" s="100">
        <f>IFERROR(AVERAGE(AG57:AG62,AG64:AG69),0)</f>
        <v>538584405.83333337</v>
      </c>
      <c r="AH72" s="37">
        <f>IFERROR(AVERAGE(AH57:AH62,AH64:AH69),0)</f>
        <v>565684535.25</v>
      </c>
      <c r="AI72" s="37">
        <f>IFERROR(AVERAGE(AI57:AI62,AI64:AI69),0)</f>
        <v>963300000</v>
      </c>
      <c r="AJ72" s="38">
        <f>IFERROR(AVERAGE(AJ57:AJ62,AJ64:AJ69),0)</f>
        <v>370850336.99361664</v>
      </c>
      <c r="AK72" s="151">
        <f t="shared" si="49"/>
        <v>0.3849790688192844</v>
      </c>
      <c r="AL72" s="40">
        <f>IFERROR(AJ72/AG72-1,0)</f>
        <v>-0.31143506388787379</v>
      </c>
      <c r="AM72" s="41">
        <f t="shared" si="57"/>
        <v>-0.34442199868567713</v>
      </c>
      <c r="AN72" s="50"/>
    </row>
    <row r="73" spans="2:43" ht="15" thickBot="1" x14ac:dyDescent="0.4">
      <c r="B73" s="49"/>
      <c r="T73" s="50"/>
      <c r="V73" s="49"/>
      <c r="W73" s="1"/>
      <c r="AN73" s="50"/>
    </row>
    <row r="74" spans="2:43" ht="15" customHeight="1" thickBot="1" x14ac:dyDescent="0.4">
      <c r="B74" s="49"/>
      <c r="C74" s="498" t="s">
        <v>2</v>
      </c>
      <c r="D74" s="502" t="s">
        <v>38</v>
      </c>
      <c r="E74" s="500"/>
      <c r="F74" s="500"/>
      <c r="G74" s="502" t="s">
        <v>39</v>
      </c>
      <c r="H74" s="500"/>
      <c r="I74" s="502" t="s">
        <v>4</v>
      </c>
      <c r="J74" s="501"/>
      <c r="L74" s="498" t="s">
        <v>2</v>
      </c>
      <c r="M74" s="502" t="s">
        <v>40</v>
      </c>
      <c r="N74" s="500"/>
      <c r="O74" s="500"/>
      <c r="P74" s="502" t="s">
        <v>196</v>
      </c>
      <c r="Q74" s="501"/>
      <c r="R74" s="502" t="s">
        <v>4</v>
      </c>
      <c r="S74" s="501"/>
      <c r="T74" s="50"/>
      <c r="V74" s="49"/>
      <c r="W74" s="498" t="s">
        <v>2</v>
      </c>
      <c r="X74" s="502" t="s">
        <v>151</v>
      </c>
      <c r="Y74" s="500"/>
      <c r="Z74" s="500"/>
      <c r="AA74" s="502" t="s">
        <v>166</v>
      </c>
      <c r="AB74" s="500"/>
      <c r="AC74" s="502" t="s">
        <v>4</v>
      </c>
      <c r="AD74" s="501"/>
      <c r="AF74" s="498" t="s">
        <v>2</v>
      </c>
      <c r="AG74" s="502" t="s">
        <v>42</v>
      </c>
      <c r="AH74" s="500"/>
      <c r="AI74" s="500"/>
      <c r="AJ74" s="502" t="s">
        <v>43</v>
      </c>
      <c r="AK74" s="500"/>
      <c r="AL74" s="502" t="s">
        <v>4</v>
      </c>
      <c r="AM74" s="501"/>
      <c r="AN74" s="50"/>
    </row>
    <row r="75" spans="2:43" ht="15" thickBot="1" x14ac:dyDescent="0.4">
      <c r="B75" s="49"/>
      <c r="C75" s="499"/>
      <c r="D75" s="6">
        <v>2024</v>
      </c>
      <c r="E75" s="6">
        <v>2025</v>
      </c>
      <c r="F75" s="155" t="s">
        <v>5</v>
      </c>
      <c r="G75" s="6">
        <v>2026</v>
      </c>
      <c r="H75" s="6" t="s">
        <v>6</v>
      </c>
      <c r="I75" s="6" t="s">
        <v>8</v>
      </c>
      <c r="J75" s="7" t="s">
        <v>7</v>
      </c>
      <c r="L75" s="499"/>
      <c r="M75" s="6">
        <v>2024</v>
      </c>
      <c r="N75" s="6">
        <v>2025</v>
      </c>
      <c r="O75" s="155" t="s">
        <v>5</v>
      </c>
      <c r="P75" s="6">
        <v>2026</v>
      </c>
      <c r="Q75" s="6" t="s">
        <v>6</v>
      </c>
      <c r="R75" s="6" t="s">
        <v>8</v>
      </c>
      <c r="S75" s="7" t="s">
        <v>7</v>
      </c>
      <c r="T75" s="50"/>
      <c r="V75" s="49"/>
      <c r="W75" s="547"/>
      <c r="X75" s="6">
        <v>2024</v>
      </c>
      <c r="Y75" s="6">
        <v>2025</v>
      </c>
      <c r="Z75" s="155" t="s">
        <v>5</v>
      </c>
      <c r="AA75" s="6">
        <v>2026</v>
      </c>
      <c r="AB75" s="6" t="s">
        <v>6</v>
      </c>
      <c r="AC75" s="6" t="s">
        <v>8</v>
      </c>
      <c r="AD75" s="7" t="s">
        <v>7</v>
      </c>
      <c r="AF75" s="499"/>
      <c r="AG75" s="6">
        <v>2024</v>
      </c>
      <c r="AH75" s="6">
        <v>2025</v>
      </c>
      <c r="AI75" s="155" t="s">
        <v>5</v>
      </c>
      <c r="AJ75" s="6">
        <v>2026</v>
      </c>
      <c r="AK75" s="6" t="s">
        <v>6</v>
      </c>
      <c r="AL75" s="6" t="s">
        <v>8</v>
      </c>
      <c r="AM75" s="7" t="s">
        <v>7</v>
      </c>
      <c r="AN75" s="50"/>
    </row>
    <row r="76" spans="2:43" x14ac:dyDescent="0.35">
      <c r="B76" s="49"/>
      <c r="C76" s="8" t="s">
        <v>9</v>
      </c>
      <c r="D76" s="110">
        <v>1005326039</v>
      </c>
      <c r="E76" s="110">
        <v>1084097176</v>
      </c>
      <c r="F76" s="10">
        <v>1627236000</v>
      </c>
      <c r="G76" s="110">
        <f>JAN!N122</f>
        <v>1686817543.2429001</v>
      </c>
      <c r="H76" s="12">
        <f>IFERROR(G76/F76,0)</f>
        <v>1.0366151825813221</v>
      </c>
      <c r="I76" s="122">
        <f>IFERROR(G76/D76-1,0)</f>
        <v>0.67788108315664553</v>
      </c>
      <c r="J76" s="14">
        <f t="shared" ref="J76:J91" si="62">IFERROR(G76/E76-1,0)</f>
        <v>0.55596525900635685</v>
      </c>
      <c r="L76" s="8" t="s">
        <v>9</v>
      </c>
      <c r="M76" s="11">
        <v>1070512310</v>
      </c>
      <c r="N76" s="60">
        <v>1043119850</v>
      </c>
      <c r="O76" s="26">
        <v>1712880000</v>
      </c>
      <c r="P76" s="11">
        <f>JAN!N121</f>
        <v>1003939804.4061002</v>
      </c>
      <c r="Q76" s="27">
        <f>IFERROR(P76/O76,0)</f>
        <v>0.58611216454515214</v>
      </c>
      <c r="R76" s="122">
        <f>IFERROR(P76/M76-1,0)</f>
        <v>-6.218751991175131E-2</v>
      </c>
      <c r="S76" s="14">
        <f t="shared" ref="S76:S91" si="63">IFERROR(P76/N76-1,0)</f>
        <v>-3.7560444846198471E-2</v>
      </c>
      <c r="T76" s="50"/>
      <c r="V76" s="49"/>
      <c r="W76" s="63" t="s">
        <v>9</v>
      </c>
      <c r="X76" s="11">
        <v>537278596</v>
      </c>
      <c r="Y76" s="60">
        <v>701915900</v>
      </c>
      <c r="Z76" s="26">
        <v>1368900000</v>
      </c>
      <c r="AA76" s="57">
        <f>JAN!N133</f>
        <v>729266143.77509999</v>
      </c>
      <c r="AB76" s="27">
        <f>IFERROR(AA76/Z76,0)</f>
        <v>0.53273880033245669</v>
      </c>
      <c r="AC76" s="122">
        <f>IFERROR(AA76/X76-1,0)</f>
        <v>0.35733332614482194</v>
      </c>
      <c r="AD76" s="14">
        <f t="shared" ref="AD76:AD91" si="64">IFERROR(AA76/Y76-1,0)</f>
        <v>3.8965129262779286E-2</v>
      </c>
      <c r="AF76" s="8" t="s">
        <v>9</v>
      </c>
      <c r="AG76" s="11">
        <v>896852707</v>
      </c>
      <c r="AH76" s="11">
        <v>661356249</v>
      </c>
      <c r="AI76" s="78">
        <v>1040364000</v>
      </c>
      <c r="AJ76" s="60">
        <f>JAN!N135</f>
        <v>899634891.21979988</v>
      </c>
      <c r="AK76" s="27">
        <f>IFERROR(AJ76/AI76,0)</f>
        <v>0.86473089343710463</v>
      </c>
      <c r="AL76" s="122">
        <f>IFERROR(AJ76/AG76-1,0)</f>
        <v>3.1021640433090969E-3</v>
      </c>
      <c r="AM76" s="14">
        <f t="shared" ref="AM76:AM91" si="65">IFERROR(AJ76/AH76-1,0)</f>
        <v>0.36028788203043027</v>
      </c>
      <c r="AN76" s="50"/>
    </row>
    <row r="77" spans="2:43" x14ac:dyDescent="0.35">
      <c r="B77" s="49"/>
      <c r="C77" s="8" t="s">
        <v>10</v>
      </c>
      <c r="D77" s="11">
        <v>982971873</v>
      </c>
      <c r="E77" s="11">
        <v>1236212266</v>
      </c>
      <c r="F77" s="10">
        <v>1446432000</v>
      </c>
      <c r="G77" s="11">
        <f>FEB!N122</f>
        <v>1613296230.2348003</v>
      </c>
      <c r="H77" s="12">
        <f t="shared" ref="H77:H86" si="66">IFERROR(G77/F77,0)</f>
        <v>1.1153626511545653</v>
      </c>
      <c r="I77" s="125">
        <f t="shared" ref="I77:I89" si="67">IFERROR(G77/D77-1,0)</f>
        <v>0.64124353356222663</v>
      </c>
      <c r="J77" s="14">
        <f t="shared" si="62"/>
        <v>0.30503172845463444</v>
      </c>
      <c r="K77" s="3"/>
      <c r="L77" s="8" t="s">
        <v>10</v>
      </c>
      <c r="M77" s="11">
        <v>1108350400</v>
      </c>
      <c r="N77" s="60">
        <v>1328433150</v>
      </c>
      <c r="O77" s="10">
        <v>1522560000</v>
      </c>
      <c r="P77" s="11">
        <f>FEB!N121</f>
        <v>1079046052.1849999</v>
      </c>
      <c r="Q77" s="12">
        <f t="shared" ref="Q77:Q86" si="68">IFERROR(P77/O77,0)</f>
        <v>0.70870510993655422</v>
      </c>
      <c r="R77" s="125">
        <f t="shared" ref="R77:R89" si="69">IFERROR(P77/M77-1,0)</f>
        <v>-2.6439605935992816E-2</v>
      </c>
      <c r="S77" s="14">
        <f t="shared" si="63"/>
        <v>-0.1877302578718395</v>
      </c>
      <c r="T77" s="50"/>
      <c r="U77" s="3"/>
      <c r="V77" s="49"/>
      <c r="W77" s="63" t="s">
        <v>10</v>
      </c>
      <c r="X77" s="11">
        <v>678938991</v>
      </c>
      <c r="Y77" s="60">
        <v>821876774</v>
      </c>
      <c r="Z77" s="10">
        <v>1216800000</v>
      </c>
      <c r="AA77" s="57">
        <f>FEB!N133</f>
        <v>1155283749.2876</v>
      </c>
      <c r="AB77" s="12">
        <f t="shared" ref="AB77:AB86" si="70">IFERROR(AA77/Z77,0)</f>
        <v>0.94944423840203818</v>
      </c>
      <c r="AC77" s="125">
        <f t="shared" ref="AC77:AC89" si="71">IFERROR(AA77/X77-1,0)</f>
        <v>0.70160171179150921</v>
      </c>
      <c r="AD77" s="14">
        <f t="shared" si="64"/>
        <v>0.40566540609845725</v>
      </c>
      <c r="AE77" s="3"/>
      <c r="AF77" s="8" t="s">
        <v>10</v>
      </c>
      <c r="AG77" s="11">
        <v>825122419</v>
      </c>
      <c r="AH77" s="11">
        <v>735024372</v>
      </c>
      <c r="AI77" s="62">
        <v>924768000</v>
      </c>
      <c r="AJ77" s="60">
        <f>FEB!N135</f>
        <v>797882286.57199991</v>
      </c>
      <c r="AK77" s="12">
        <f t="shared" ref="AK77:AK86" si="72">IFERROR(AJ77/AI77,0)</f>
        <v>0.86279184246427199</v>
      </c>
      <c r="AL77" s="125">
        <f t="shared" ref="AL77:AL89" si="73">IFERROR(AJ77/AG77-1,0)</f>
        <v>-3.3013443582121438E-2</v>
      </c>
      <c r="AM77" s="14">
        <f t="shared" si="65"/>
        <v>8.551813649520712E-2</v>
      </c>
      <c r="AN77" s="50"/>
      <c r="AO77" s="3"/>
      <c r="AP77" s="3"/>
      <c r="AQ77" s="3"/>
    </row>
    <row r="78" spans="2:43" x14ac:dyDescent="0.35">
      <c r="B78" s="49"/>
      <c r="C78" s="8" t="s">
        <v>11</v>
      </c>
      <c r="D78" s="11">
        <v>967525766</v>
      </c>
      <c r="E78" s="11">
        <v>992223964</v>
      </c>
      <c r="F78" s="10">
        <v>1446432000</v>
      </c>
      <c r="G78" s="11">
        <f>MAR!N122</f>
        <v>785404608.17199993</v>
      </c>
      <c r="H78" s="12">
        <f t="shared" si="66"/>
        <v>0.54299449139123024</v>
      </c>
      <c r="I78" s="125">
        <f t="shared" si="67"/>
        <v>-0.18823390986364708</v>
      </c>
      <c r="J78" s="14">
        <f t="shared" si="62"/>
        <v>-0.20844019428258842</v>
      </c>
      <c r="L78" s="8" t="s">
        <v>11</v>
      </c>
      <c r="M78" s="11">
        <v>1104290208</v>
      </c>
      <c r="N78" s="60">
        <v>752717908</v>
      </c>
      <c r="O78" s="10">
        <v>1522560000</v>
      </c>
      <c r="P78" s="11">
        <f>MAR!N121</f>
        <v>646755338.90129995</v>
      </c>
      <c r="Q78" s="12">
        <f t="shared" si="68"/>
        <v>0.42478151199381303</v>
      </c>
      <c r="R78" s="125">
        <f t="shared" si="69"/>
        <v>-0.41432484484975174</v>
      </c>
      <c r="S78" s="14">
        <f t="shared" si="63"/>
        <v>-0.14077328036507941</v>
      </c>
      <c r="T78" s="50"/>
      <c r="V78" s="49"/>
      <c r="W78" s="63" t="s">
        <v>11</v>
      </c>
      <c r="X78" s="11">
        <v>637935094</v>
      </c>
      <c r="Y78" s="60">
        <v>802075921</v>
      </c>
      <c r="Z78" s="10">
        <v>1216800000</v>
      </c>
      <c r="AA78" s="60">
        <f>MAR!N133</f>
        <v>553709881.28659999</v>
      </c>
      <c r="AB78" s="12">
        <f t="shared" si="70"/>
        <v>0.45505414306919789</v>
      </c>
      <c r="AC78" s="125">
        <f t="shared" si="71"/>
        <v>-0.13202787165272334</v>
      </c>
      <c r="AD78" s="14">
        <f t="shared" si="64"/>
        <v>-0.30965402801738018</v>
      </c>
      <c r="AF78" s="8" t="s">
        <v>11</v>
      </c>
      <c r="AG78" s="11">
        <v>896985133</v>
      </c>
      <c r="AH78" s="11">
        <v>702594743</v>
      </c>
      <c r="AI78" s="62">
        <v>924768000</v>
      </c>
      <c r="AJ78" s="60">
        <f>MAR!N135</f>
        <v>427036905.20379996</v>
      </c>
      <c r="AK78" s="12">
        <f t="shared" si="72"/>
        <v>0.46177733788777292</v>
      </c>
      <c r="AL78" s="125">
        <f t="shared" si="73"/>
        <v>-0.52391975129447332</v>
      </c>
      <c r="AM78" s="14">
        <f t="shared" si="65"/>
        <v>-0.3922002556119325</v>
      </c>
      <c r="AN78" s="50"/>
      <c r="AP78" s="3"/>
      <c r="AQ78" s="3"/>
    </row>
    <row r="79" spans="2:43" x14ac:dyDescent="0.35">
      <c r="B79" s="49"/>
      <c r="C79" s="8" t="s">
        <v>12</v>
      </c>
      <c r="D79" s="11">
        <v>578312124</v>
      </c>
      <c r="E79" s="11">
        <v>887244276</v>
      </c>
      <c r="F79" s="10">
        <v>1627236000</v>
      </c>
      <c r="G79" s="11">
        <f>APR!N122</f>
        <v>1700707502.4006</v>
      </c>
      <c r="H79" s="12">
        <f t="shared" si="66"/>
        <v>1.0451511043269692</v>
      </c>
      <c r="I79" s="125">
        <f t="shared" si="67"/>
        <v>1.9408124641021707</v>
      </c>
      <c r="J79" s="14">
        <f t="shared" si="62"/>
        <v>0.91684246199701591</v>
      </c>
      <c r="L79" s="8" t="s">
        <v>12</v>
      </c>
      <c r="M79" s="11">
        <v>524986262</v>
      </c>
      <c r="N79" s="60">
        <v>838819202</v>
      </c>
      <c r="O79" s="10">
        <v>1712880000</v>
      </c>
      <c r="P79" s="11">
        <f>APR!N121</f>
        <v>606954352.02939987</v>
      </c>
      <c r="Q79" s="12">
        <f t="shared" si="68"/>
        <v>0.35434727011197509</v>
      </c>
      <c r="R79" s="125">
        <f t="shared" si="69"/>
        <v>0.15613378094339514</v>
      </c>
      <c r="S79" s="14">
        <f t="shared" si="63"/>
        <v>-0.27641814757907768</v>
      </c>
      <c r="T79" s="50"/>
      <c r="V79" s="49"/>
      <c r="W79" s="63" t="s">
        <v>12</v>
      </c>
      <c r="X79" s="11">
        <v>358101468</v>
      </c>
      <c r="Y79" s="60">
        <v>488986202</v>
      </c>
      <c r="Z79" s="10">
        <v>1368900000</v>
      </c>
      <c r="AA79" s="60">
        <f>APR!N133</f>
        <v>575366835.12999988</v>
      </c>
      <c r="AB79" s="12">
        <f t="shared" si="70"/>
        <v>0.42031326987362105</v>
      </c>
      <c r="AC79" s="125">
        <f t="shared" si="71"/>
        <v>0.60671453915961004</v>
      </c>
      <c r="AD79" s="14">
        <f t="shared" si="64"/>
        <v>0.17665249607595235</v>
      </c>
      <c r="AF79" s="8" t="s">
        <v>12</v>
      </c>
      <c r="AG79" s="11">
        <v>556089618</v>
      </c>
      <c r="AH79" s="11">
        <v>529714713</v>
      </c>
      <c r="AI79" s="62">
        <v>1040364000</v>
      </c>
      <c r="AJ79" s="60">
        <f>APR!N135</f>
        <v>803978958.60879982</v>
      </c>
      <c r="AK79" s="12">
        <f t="shared" si="72"/>
        <v>0.77278621579447171</v>
      </c>
      <c r="AL79" s="125">
        <f t="shared" si="73"/>
        <v>0.4457722866690883</v>
      </c>
      <c r="AM79" s="14">
        <f t="shared" si="65"/>
        <v>0.51775840632314063</v>
      </c>
      <c r="AN79" s="50"/>
      <c r="AP79" s="3"/>
      <c r="AQ79" s="3"/>
    </row>
    <row r="80" spans="2:43" x14ac:dyDescent="0.35">
      <c r="B80" s="49"/>
      <c r="C80" s="8" t="s">
        <v>13</v>
      </c>
      <c r="D80" s="11">
        <v>872682976</v>
      </c>
      <c r="E80" s="11">
        <v>1451288131</v>
      </c>
      <c r="F80" s="10">
        <v>1446432000</v>
      </c>
      <c r="G80" s="11">
        <f>MEI!N122</f>
        <v>1457577312.9061995</v>
      </c>
      <c r="H80" s="12">
        <f t="shared" si="66"/>
        <v>1.007705383250785</v>
      </c>
      <c r="I80" s="125">
        <f t="shared" si="67"/>
        <v>0.67022544611458024</v>
      </c>
      <c r="J80" s="14">
        <f t="shared" si="62"/>
        <v>4.3335170817293545E-3</v>
      </c>
      <c r="K80" s="3"/>
      <c r="L80" s="8" t="s">
        <v>13</v>
      </c>
      <c r="M80" s="11">
        <v>1114356831</v>
      </c>
      <c r="N80" s="60">
        <v>1048548502</v>
      </c>
      <c r="O80" s="10">
        <v>1522560000</v>
      </c>
      <c r="P80" s="11">
        <f>MEI!N121</f>
        <v>683123279.72149992</v>
      </c>
      <c r="Q80" s="12">
        <f t="shared" si="68"/>
        <v>0.44866755971620159</v>
      </c>
      <c r="R80" s="125">
        <f t="shared" si="69"/>
        <v>-0.38697977100523562</v>
      </c>
      <c r="S80" s="14">
        <f t="shared" si="63"/>
        <v>-0.34850578831736301</v>
      </c>
      <c r="T80" s="50"/>
      <c r="U80" s="3"/>
      <c r="V80" s="49"/>
      <c r="W80" s="63" t="s">
        <v>13</v>
      </c>
      <c r="X80" s="11">
        <v>530152418</v>
      </c>
      <c r="Y80" s="60">
        <v>693281692</v>
      </c>
      <c r="Z80" s="10">
        <v>1216800000</v>
      </c>
      <c r="AA80" s="60">
        <f>MEI!N133</f>
        <v>1160943155.0809999</v>
      </c>
      <c r="AB80" s="12">
        <f t="shared" si="70"/>
        <v>0.95409529510272839</v>
      </c>
      <c r="AC80" s="125">
        <f t="shared" si="71"/>
        <v>1.1898290296602965</v>
      </c>
      <c r="AD80" s="14">
        <f t="shared" si="64"/>
        <v>0.67456196878915975</v>
      </c>
      <c r="AE80" s="3"/>
      <c r="AF80" s="8" t="s">
        <v>13</v>
      </c>
      <c r="AG80" s="11">
        <v>791355019</v>
      </c>
      <c r="AH80" s="11">
        <v>790742272</v>
      </c>
      <c r="AI80" s="62">
        <v>924768000</v>
      </c>
      <c r="AJ80" s="60">
        <f>MEI!N135</f>
        <v>661661988.89880002</v>
      </c>
      <c r="AK80" s="12">
        <f t="shared" si="72"/>
        <v>0.71548971082347146</v>
      </c>
      <c r="AL80" s="125">
        <f t="shared" si="73"/>
        <v>-0.16388729077006081</v>
      </c>
      <c r="AM80" s="14">
        <f t="shared" si="65"/>
        <v>-0.16323938617157929</v>
      </c>
      <c r="AN80" s="50"/>
      <c r="AO80" s="3"/>
      <c r="AP80" s="3"/>
      <c r="AQ80" s="3"/>
    </row>
    <row r="81" spans="2:43" ht="15" thickBot="1" x14ac:dyDescent="0.4">
      <c r="B81" s="49"/>
      <c r="C81" s="8" t="s">
        <v>14</v>
      </c>
      <c r="D81" s="111">
        <v>1256177216</v>
      </c>
      <c r="E81" s="111">
        <v>1363888567</v>
      </c>
      <c r="F81" s="17">
        <v>1446432000</v>
      </c>
      <c r="G81" s="11">
        <f>JUN!N122</f>
        <v>1494334844.5528002</v>
      </c>
      <c r="H81" s="18">
        <f t="shared" si="66"/>
        <v>1.0331179374853434</v>
      </c>
      <c r="I81" s="125">
        <f t="shared" ref="I81" si="74">IFERROR(G81/D81-1,0)</f>
        <v>0.18958919610973113</v>
      </c>
      <c r="J81" s="14">
        <f t="shared" ref="J81" si="75">IFERROR(G81/E81-1,0)</f>
        <v>9.5642914464580508E-2</v>
      </c>
      <c r="L81" s="8" t="s">
        <v>14</v>
      </c>
      <c r="M81" s="111">
        <v>1275759601</v>
      </c>
      <c r="N81" s="65">
        <v>1289206863</v>
      </c>
      <c r="O81" s="17">
        <v>1522560000</v>
      </c>
      <c r="P81" s="11">
        <f>JUN!N121</f>
        <v>1039564910.1611999</v>
      </c>
      <c r="Q81" s="18">
        <f t="shared" si="68"/>
        <v>0.68277434725803909</v>
      </c>
      <c r="R81" s="125">
        <f t="shared" ref="R81" si="76">IFERROR(P81/M81-1,0)</f>
        <v>-0.18514043762920507</v>
      </c>
      <c r="S81" s="14">
        <f t="shared" ref="S81" si="77">IFERROR(P81/N81-1,0)</f>
        <v>-0.1936399502697963</v>
      </c>
      <c r="T81" s="50"/>
      <c r="V81" s="49"/>
      <c r="W81" s="63" t="s">
        <v>14</v>
      </c>
      <c r="X81" s="111">
        <v>634467763</v>
      </c>
      <c r="Y81" s="65">
        <v>651293067</v>
      </c>
      <c r="Z81" s="17">
        <v>1216800000</v>
      </c>
      <c r="AA81" s="65">
        <f>JUN!N133</f>
        <v>786977686.61199975</v>
      </c>
      <c r="AB81" s="18">
        <f t="shared" si="70"/>
        <v>0.64676009747863228</v>
      </c>
      <c r="AC81" s="128">
        <f t="shared" si="71"/>
        <v>0.24037458245455379</v>
      </c>
      <c r="AD81" s="14">
        <f t="shared" si="64"/>
        <v>0.20833112846877544</v>
      </c>
      <c r="AF81" s="8" t="s">
        <v>14</v>
      </c>
      <c r="AG81" s="111">
        <v>928213472</v>
      </c>
      <c r="AH81" s="111">
        <v>840756216</v>
      </c>
      <c r="AI81" s="66">
        <v>924768000</v>
      </c>
      <c r="AJ81" s="65">
        <f>JUN!N135</f>
        <v>844590188.102</v>
      </c>
      <c r="AK81" s="18">
        <f t="shared" si="72"/>
        <v>0.91329953902167893</v>
      </c>
      <c r="AL81" s="128">
        <f t="shared" si="73"/>
        <v>-9.0090573365433801E-2</v>
      </c>
      <c r="AM81" s="14">
        <f t="shared" si="65"/>
        <v>4.5601471972940288E-3</v>
      </c>
      <c r="AN81" s="50"/>
      <c r="AP81" s="3"/>
      <c r="AQ81" s="3"/>
    </row>
    <row r="82" spans="2:43" ht="15" thickBot="1" x14ac:dyDescent="0.4">
      <c r="B82" s="49"/>
      <c r="C82" s="20" t="s">
        <v>15</v>
      </c>
      <c r="D82" s="72">
        <f>SUM(D76:D81)</f>
        <v>5662995994</v>
      </c>
      <c r="E82" s="21">
        <f>SUM(E76:E81)</f>
        <v>7014954380</v>
      </c>
      <c r="F82" s="21">
        <f>SUM(F76:F81)</f>
        <v>9040200000</v>
      </c>
      <c r="G82" s="72">
        <f>SUM(G76:G81)</f>
        <v>8738138041.5093002</v>
      </c>
      <c r="H82" s="22">
        <f t="shared" si="66"/>
        <v>0.96658680576860023</v>
      </c>
      <c r="I82" s="131">
        <f t="shared" si="67"/>
        <v>0.54302387830883925</v>
      </c>
      <c r="J82" s="24">
        <f t="shared" si="62"/>
        <v>0.24564431472600678</v>
      </c>
      <c r="L82" s="20" t="s">
        <v>15</v>
      </c>
      <c r="M82" s="21">
        <f>SUM(M76:M81)</f>
        <v>6198255612</v>
      </c>
      <c r="N82" s="73">
        <f>SUM(N76:N81)</f>
        <v>6300845475</v>
      </c>
      <c r="O82" s="21">
        <f>SUM(O76:O81)</f>
        <v>9516000000</v>
      </c>
      <c r="P82" s="72">
        <f>SUM(P76:P81)</f>
        <v>5059383737.4045</v>
      </c>
      <c r="Q82" s="22">
        <f t="shared" si="68"/>
        <v>0.53167126286302013</v>
      </c>
      <c r="R82" s="131">
        <f t="shared" si="69"/>
        <v>-0.18374070801317255</v>
      </c>
      <c r="S82" s="24">
        <f t="shared" si="63"/>
        <v>-0.19703097663976599</v>
      </c>
      <c r="T82" s="50"/>
      <c r="V82" s="49"/>
      <c r="W82" s="75" t="s">
        <v>15</v>
      </c>
      <c r="X82" s="21">
        <f>SUM(X76:X81)</f>
        <v>3376874330</v>
      </c>
      <c r="Y82" s="73">
        <f>SUM(Y76:Y81)</f>
        <v>4159429556</v>
      </c>
      <c r="Z82" s="21">
        <f>SUM(Z76:Z81)</f>
        <v>7605000000</v>
      </c>
      <c r="AA82" s="72">
        <f>SUM(AA76:AA81)</f>
        <v>4961547451.1722994</v>
      </c>
      <c r="AB82" s="22">
        <f t="shared" si="70"/>
        <v>0.65240597648550946</v>
      </c>
      <c r="AC82" s="131">
        <f t="shared" si="71"/>
        <v>0.46927216304561137</v>
      </c>
      <c r="AD82" s="24">
        <f t="shared" si="64"/>
        <v>0.19284324553958121</v>
      </c>
      <c r="AF82" s="20" t="s">
        <v>15</v>
      </c>
      <c r="AG82" s="72">
        <f>SUM(AG76:AG81)</f>
        <v>4894618368</v>
      </c>
      <c r="AH82" s="21">
        <f>SUM(AH76:AH81)</f>
        <v>4260188565</v>
      </c>
      <c r="AI82" s="73">
        <f>SUM(AI76:AI81)</f>
        <v>5779800000</v>
      </c>
      <c r="AJ82" s="73">
        <f>SUM(AJ76:AJ81)</f>
        <v>4434785218.6051998</v>
      </c>
      <c r="AK82" s="22">
        <f t="shared" si="72"/>
        <v>0.76729042849323503</v>
      </c>
      <c r="AL82" s="131">
        <f t="shared" si="73"/>
        <v>-9.3946680787432624E-2</v>
      </c>
      <c r="AM82" s="24">
        <f t="shared" si="65"/>
        <v>4.0983315865315451E-2</v>
      </c>
      <c r="AN82" s="50"/>
      <c r="AP82" s="3"/>
      <c r="AQ82" s="3"/>
    </row>
    <row r="83" spans="2:43" x14ac:dyDescent="0.35">
      <c r="B83" s="49"/>
      <c r="C83" s="25" t="s">
        <v>16</v>
      </c>
      <c r="D83" s="11">
        <v>1085794322</v>
      </c>
      <c r="E83" s="11">
        <v>1410254278</v>
      </c>
      <c r="F83" s="26">
        <v>1446432000</v>
      </c>
      <c r="G83" s="11">
        <f>JUL!F122</f>
        <v>1878744324.2985997</v>
      </c>
      <c r="H83" s="27">
        <f t="shared" si="66"/>
        <v>1.2988818861160425</v>
      </c>
      <c r="I83" s="122">
        <f t="shared" si="67"/>
        <v>0.73029485072090816</v>
      </c>
      <c r="J83" s="14">
        <f t="shared" si="62"/>
        <v>0.33220253510806907</v>
      </c>
      <c r="L83" s="25" t="s">
        <v>16</v>
      </c>
      <c r="M83" s="11">
        <v>1095325789</v>
      </c>
      <c r="N83" s="60">
        <v>919717614</v>
      </c>
      <c r="O83" s="26">
        <v>1522560000</v>
      </c>
      <c r="P83" s="11">
        <f>JUL!F121</f>
        <v>1398557367.1848001</v>
      </c>
      <c r="Q83" s="27">
        <f t="shared" si="68"/>
        <v>0.91855648853562433</v>
      </c>
      <c r="R83" s="122">
        <f t="shared" si="69"/>
        <v>0.27684144866308835</v>
      </c>
      <c r="S83" s="14">
        <f t="shared" si="63"/>
        <v>0.52063779783693498</v>
      </c>
      <c r="T83" s="50"/>
      <c r="V83" s="49"/>
      <c r="W83" s="79" t="s">
        <v>16</v>
      </c>
      <c r="X83" s="11">
        <v>638390029</v>
      </c>
      <c r="Y83" s="60">
        <v>801639312</v>
      </c>
      <c r="Z83" s="26">
        <v>1216800000</v>
      </c>
      <c r="AA83" s="60">
        <f>JUL!F134</f>
        <v>1003942568.2142</v>
      </c>
      <c r="AB83" s="27">
        <f t="shared" si="70"/>
        <v>0.82506785684927686</v>
      </c>
      <c r="AC83" s="122">
        <f t="shared" si="71"/>
        <v>0.57261630446643452</v>
      </c>
      <c r="AD83" s="14">
        <f t="shared" si="64"/>
        <v>0.25236194531113521</v>
      </c>
      <c r="AF83" s="25" t="s">
        <v>16</v>
      </c>
      <c r="AG83" s="11">
        <v>931798372</v>
      </c>
      <c r="AH83" s="11">
        <v>718891307</v>
      </c>
      <c r="AI83" s="78">
        <v>924768000</v>
      </c>
      <c r="AJ83" s="60">
        <f>JUL!F136</f>
        <v>956862223.11009979</v>
      </c>
      <c r="AK83" s="27">
        <f t="shared" si="72"/>
        <v>1.0347051618461061</v>
      </c>
      <c r="AL83" s="122">
        <f t="shared" si="73"/>
        <v>2.6898363276062653E-2</v>
      </c>
      <c r="AM83" s="14">
        <f t="shared" si="65"/>
        <v>0.3310248904012687</v>
      </c>
      <c r="AN83" s="50"/>
      <c r="AP83" s="3"/>
      <c r="AQ83" s="3"/>
    </row>
    <row r="84" spans="2:43" x14ac:dyDescent="0.35">
      <c r="B84" s="49"/>
      <c r="C84" s="28" t="s">
        <v>17</v>
      </c>
      <c r="D84" s="11">
        <v>1121407015</v>
      </c>
      <c r="E84" s="11">
        <v>1438546531</v>
      </c>
      <c r="F84" s="10">
        <v>1627236000</v>
      </c>
      <c r="G84" s="11">
        <f>AGS!F122</f>
        <v>1829687240.2887998</v>
      </c>
      <c r="H84" s="12">
        <f t="shared" si="66"/>
        <v>1.1244141847210851</v>
      </c>
      <c r="I84" s="125">
        <f t="shared" si="67"/>
        <v>0.63159960283358818</v>
      </c>
      <c r="J84" s="14">
        <f t="shared" si="62"/>
        <v>0.27189993570586823</v>
      </c>
      <c r="K84" s="3"/>
      <c r="L84" s="28" t="s">
        <v>17</v>
      </c>
      <c r="M84" s="11">
        <v>1304403993</v>
      </c>
      <c r="N84" s="60">
        <v>910685073</v>
      </c>
      <c r="O84" s="10">
        <v>1712880000</v>
      </c>
      <c r="P84" s="11">
        <f>AGS!F121</f>
        <v>1059981795.3146999</v>
      </c>
      <c r="Q84" s="12">
        <f t="shared" si="68"/>
        <v>0.61883015466039648</v>
      </c>
      <c r="R84" s="125">
        <f t="shared" si="69"/>
        <v>-0.18738228263404288</v>
      </c>
      <c r="S84" s="14">
        <f t="shared" si="63"/>
        <v>0.16393891449530762</v>
      </c>
      <c r="T84" s="50"/>
      <c r="U84" s="3"/>
      <c r="V84" s="49"/>
      <c r="W84" s="80" t="s">
        <v>17</v>
      </c>
      <c r="X84" s="11">
        <v>659662980</v>
      </c>
      <c r="Y84" s="60">
        <v>592624576</v>
      </c>
      <c r="Z84" s="10">
        <v>1368900000</v>
      </c>
      <c r="AA84" s="60">
        <f>AGS!F134</f>
        <v>864454324.10309982</v>
      </c>
      <c r="AB84" s="12">
        <f t="shared" si="70"/>
        <v>0.63149559800065735</v>
      </c>
      <c r="AC84" s="125">
        <f t="shared" si="71"/>
        <v>0.31044844157102736</v>
      </c>
      <c r="AD84" s="14">
        <f t="shared" si="64"/>
        <v>0.45868794361828802</v>
      </c>
      <c r="AE84" s="3"/>
      <c r="AF84" s="28" t="s">
        <v>17</v>
      </c>
      <c r="AG84" s="11">
        <v>868143441</v>
      </c>
      <c r="AH84" s="11">
        <v>858743175</v>
      </c>
      <c r="AI84" s="62">
        <v>1040364000</v>
      </c>
      <c r="AJ84" s="60">
        <f>AGS!F136</f>
        <v>985404959.75679994</v>
      </c>
      <c r="AK84" s="12">
        <f t="shared" si="72"/>
        <v>0.94717325835649824</v>
      </c>
      <c r="AL84" s="125">
        <f t="shared" si="73"/>
        <v>0.13507159441500627</v>
      </c>
      <c r="AM84" s="14">
        <f t="shared" si="65"/>
        <v>0.14749670034559514</v>
      </c>
      <c r="AN84" s="50"/>
      <c r="AO84" s="3"/>
      <c r="AP84" s="3"/>
      <c r="AQ84" s="3"/>
    </row>
    <row r="85" spans="2:43" x14ac:dyDescent="0.35">
      <c r="B85" s="49"/>
      <c r="C85" s="28" t="s">
        <v>18</v>
      </c>
      <c r="D85" s="11">
        <v>1321195006</v>
      </c>
      <c r="E85" s="11">
        <v>1455597482</v>
      </c>
      <c r="F85" s="10">
        <v>1446432000</v>
      </c>
      <c r="G85" s="11">
        <f>SEP!F122</f>
        <v>1393150690.8766005</v>
      </c>
      <c r="H85" s="12">
        <f t="shared" si="66"/>
        <v>0.96316362668732469</v>
      </c>
      <c r="I85" s="125">
        <f t="shared" si="67"/>
        <v>5.4462577098630449E-2</v>
      </c>
      <c r="J85" s="14">
        <f t="shared" si="62"/>
        <v>-4.2901139838190216E-2</v>
      </c>
      <c r="L85" s="28" t="s">
        <v>18</v>
      </c>
      <c r="M85" s="11">
        <v>1056705677</v>
      </c>
      <c r="N85" s="60">
        <v>1253834560</v>
      </c>
      <c r="O85" s="10">
        <v>1522560000</v>
      </c>
      <c r="P85" s="11">
        <f>SEP!F121</f>
        <v>847477253.02010024</v>
      </c>
      <c r="Q85" s="12">
        <f t="shared" si="68"/>
        <v>0.55661337025805235</v>
      </c>
      <c r="R85" s="125">
        <f t="shared" si="69"/>
        <v>-0.19800066237355873</v>
      </c>
      <c r="S85" s="14">
        <f t="shared" si="63"/>
        <v>-0.32409164649273969</v>
      </c>
      <c r="T85" s="50"/>
      <c r="V85" s="49"/>
      <c r="W85" s="80" t="s">
        <v>18</v>
      </c>
      <c r="X85" s="11">
        <v>475704907</v>
      </c>
      <c r="Y85" s="60">
        <v>884843284</v>
      </c>
      <c r="Z85" s="10">
        <v>1216800000</v>
      </c>
      <c r="AA85" s="11">
        <f>SEP!F134</f>
        <v>674362975.05649996</v>
      </c>
      <c r="AB85" s="12">
        <f t="shared" si="70"/>
        <v>0.55421020303788626</v>
      </c>
      <c r="AC85" s="125">
        <f t="shared" si="71"/>
        <v>0.41760777560467743</v>
      </c>
      <c r="AD85" s="14">
        <f t="shared" si="64"/>
        <v>-0.23787298016436098</v>
      </c>
      <c r="AF85" s="28" t="s">
        <v>18</v>
      </c>
      <c r="AG85" s="11">
        <v>930376424</v>
      </c>
      <c r="AH85" s="11">
        <v>832642169</v>
      </c>
      <c r="AI85" s="62">
        <v>924768000</v>
      </c>
      <c r="AJ85" s="11">
        <f>SEP!F136</f>
        <v>486515547.93690002</v>
      </c>
      <c r="AK85" s="12">
        <f t="shared" si="72"/>
        <v>0.52609470476584397</v>
      </c>
      <c r="AL85" s="125">
        <f t="shared" si="73"/>
        <v>-0.47707665909545871</v>
      </c>
      <c r="AM85" s="14">
        <f t="shared" si="65"/>
        <v>-0.41569672297380367</v>
      </c>
      <c r="AN85" s="50"/>
      <c r="AP85" s="3"/>
      <c r="AQ85" s="3"/>
    </row>
    <row r="86" spans="2:43" x14ac:dyDescent="0.35">
      <c r="B86" s="49"/>
      <c r="C86" s="28" t="s">
        <v>19</v>
      </c>
      <c r="D86" s="11">
        <v>1405728968</v>
      </c>
      <c r="E86" s="11">
        <v>1618452665</v>
      </c>
      <c r="F86" s="10">
        <v>1627236000</v>
      </c>
      <c r="G86" s="11">
        <f>OKT!N132</f>
        <v>0</v>
      </c>
      <c r="H86" s="12">
        <f t="shared" si="66"/>
        <v>0</v>
      </c>
      <c r="I86" s="125">
        <f t="shared" si="67"/>
        <v>-1</v>
      </c>
      <c r="J86" s="14">
        <f t="shared" si="62"/>
        <v>-1</v>
      </c>
      <c r="L86" s="28" t="s">
        <v>19</v>
      </c>
      <c r="M86" s="11">
        <v>1121275852</v>
      </c>
      <c r="N86" s="60">
        <v>822070669</v>
      </c>
      <c r="O86" s="10">
        <v>1712880000</v>
      </c>
      <c r="P86" s="11">
        <f>OKT!N131</f>
        <v>0</v>
      </c>
      <c r="Q86" s="12">
        <f t="shared" si="68"/>
        <v>0</v>
      </c>
      <c r="R86" s="125">
        <f t="shared" si="69"/>
        <v>-1</v>
      </c>
      <c r="S86" s="14">
        <f t="shared" si="63"/>
        <v>-1</v>
      </c>
      <c r="T86" s="50"/>
      <c r="V86" s="49"/>
      <c r="W86" s="80" t="s">
        <v>19</v>
      </c>
      <c r="X86" s="11">
        <v>777575552</v>
      </c>
      <c r="Y86" s="60">
        <v>629708073</v>
      </c>
      <c r="Z86" s="10">
        <v>1368900000</v>
      </c>
      <c r="AA86" s="60">
        <f>OKT!N144</f>
        <v>0</v>
      </c>
      <c r="AB86" s="12">
        <f t="shared" si="70"/>
        <v>0</v>
      </c>
      <c r="AC86" s="125">
        <f t="shared" si="71"/>
        <v>-1</v>
      </c>
      <c r="AD86" s="14">
        <f t="shared" si="64"/>
        <v>-1</v>
      </c>
      <c r="AF86" s="28" t="s">
        <v>19</v>
      </c>
      <c r="AG86" s="11">
        <v>927973449</v>
      </c>
      <c r="AH86" s="11">
        <v>854412749</v>
      </c>
      <c r="AI86" s="62">
        <v>1040364000</v>
      </c>
      <c r="AJ86" s="60">
        <f>OKT!N146</f>
        <v>0</v>
      </c>
      <c r="AK86" s="12">
        <f t="shared" si="72"/>
        <v>0</v>
      </c>
      <c r="AL86" s="125">
        <f t="shared" si="73"/>
        <v>-1</v>
      </c>
      <c r="AM86" s="14">
        <f t="shared" si="65"/>
        <v>-1</v>
      </c>
      <c r="AN86" s="50"/>
      <c r="AP86" s="3"/>
      <c r="AQ86" s="3"/>
    </row>
    <row r="87" spans="2:43" x14ac:dyDescent="0.35">
      <c r="B87" s="49"/>
      <c r="C87" s="28" t="s">
        <v>20</v>
      </c>
      <c r="D87" s="11">
        <v>1019061907</v>
      </c>
      <c r="E87" s="11">
        <v>1510742451</v>
      </c>
      <c r="F87" s="10">
        <v>1446432000</v>
      </c>
      <c r="G87" s="11">
        <f>NOV!N132</f>
        <v>0</v>
      </c>
      <c r="H87" s="12">
        <f>IFERROR(G87/F87,0)</f>
        <v>0</v>
      </c>
      <c r="I87" s="125">
        <f t="shared" si="67"/>
        <v>-1</v>
      </c>
      <c r="J87" s="14">
        <f t="shared" si="62"/>
        <v>-1</v>
      </c>
      <c r="L87" s="28" t="s">
        <v>20</v>
      </c>
      <c r="M87" s="11">
        <v>1204630941</v>
      </c>
      <c r="N87" s="60">
        <v>919855749</v>
      </c>
      <c r="O87" s="10">
        <v>1522560000</v>
      </c>
      <c r="P87" s="11">
        <f>NOV!N131</f>
        <v>0</v>
      </c>
      <c r="Q87" s="12">
        <f>IFERROR(P87/O87,0)</f>
        <v>0</v>
      </c>
      <c r="R87" s="125">
        <f t="shared" si="69"/>
        <v>-1</v>
      </c>
      <c r="S87" s="14">
        <f t="shared" si="63"/>
        <v>-1</v>
      </c>
      <c r="T87" s="50"/>
      <c r="V87" s="49"/>
      <c r="W87" s="80" t="s">
        <v>20</v>
      </c>
      <c r="X87" s="11">
        <v>701994610</v>
      </c>
      <c r="Y87" s="60">
        <v>570602761</v>
      </c>
      <c r="Z87" s="10">
        <v>1216800000</v>
      </c>
      <c r="AA87" s="11">
        <f>NOV!N144</f>
        <v>0</v>
      </c>
      <c r="AB87" s="12">
        <f>IFERROR(AA87/Z87,0)</f>
        <v>0</v>
      </c>
      <c r="AC87" s="125">
        <f t="shared" si="71"/>
        <v>-1</v>
      </c>
      <c r="AD87" s="14">
        <f t="shared" si="64"/>
        <v>-1</v>
      </c>
      <c r="AF87" s="28" t="s">
        <v>20</v>
      </c>
      <c r="AG87" s="11">
        <v>785286129</v>
      </c>
      <c r="AH87" s="11">
        <v>654224298</v>
      </c>
      <c r="AI87" s="62">
        <v>924768000</v>
      </c>
      <c r="AJ87" s="11">
        <f>NOV!N146</f>
        <v>0</v>
      </c>
      <c r="AK87" s="12">
        <f>IFERROR(AJ87/AI87,0)</f>
        <v>0</v>
      </c>
      <c r="AL87" s="125">
        <f t="shared" si="73"/>
        <v>-1</v>
      </c>
      <c r="AM87" s="14">
        <f t="shared" si="65"/>
        <v>-1</v>
      </c>
      <c r="AN87" s="50"/>
      <c r="AP87" s="3"/>
      <c r="AQ87" s="3"/>
    </row>
    <row r="88" spans="2:43" ht="15" thickBot="1" x14ac:dyDescent="0.4">
      <c r="B88" s="49"/>
      <c r="C88" s="29" t="s">
        <v>21</v>
      </c>
      <c r="D88" s="11">
        <v>1256814011</v>
      </c>
      <c r="E88" s="11">
        <v>1599825097</v>
      </c>
      <c r="F88" s="11">
        <v>1446432000</v>
      </c>
      <c r="G88" s="11">
        <v>0</v>
      </c>
      <c r="H88" s="18">
        <f>IFERROR(G88/F88,0)</f>
        <v>0</v>
      </c>
      <c r="I88" s="128">
        <f t="shared" si="67"/>
        <v>-1</v>
      </c>
      <c r="J88" s="14">
        <f t="shared" si="62"/>
        <v>-1</v>
      </c>
      <c r="L88" s="29" t="s">
        <v>21</v>
      </c>
      <c r="M88" s="11">
        <v>1188060128</v>
      </c>
      <c r="N88" s="60">
        <v>1425659586</v>
      </c>
      <c r="O88" s="11">
        <v>1522560000</v>
      </c>
      <c r="P88" s="11">
        <v>0</v>
      </c>
      <c r="Q88" s="18">
        <f>IFERROR(P88/O88,0)</f>
        <v>0</v>
      </c>
      <c r="R88" s="128">
        <f t="shared" si="69"/>
        <v>-1</v>
      </c>
      <c r="S88" s="14">
        <f t="shared" si="63"/>
        <v>-1</v>
      </c>
      <c r="T88" s="50"/>
      <c r="V88" s="49"/>
      <c r="W88" s="82" t="s">
        <v>21</v>
      </c>
      <c r="X88" s="11">
        <v>682544832</v>
      </c>
      <c r="Y88" s="60">
        <v>777056854</v>
      </c>
      <c r="Z88" s="11">
        <v>1216800000</v>
      </c>
      <c r="AA88" s="11">
        <v>0</v>
      </c>
      <c r="AB88" s="18">
        <f>IFERROR(AA88/Z88,0)</f>
        <v>0</v>
      </c>
      <c r="AC88" s="128">
        <f t="shared" si="71"/>
        <v>-1</v>
      </c>
      <c r="AD88" s="14">
        <f t="shared" si="64"/>
        <v>-1</v>
      </c>
      <c r="AF88" s="29" t="s">
        <v>21</v>
      </c>
      <c r="AG88" s="11">
        <v>800991334</v>
      </c>
      <c r="AH88" s="11">
        <v>887166731</v>
      </c>
      <c r="AI88" s="81">
        <v>924768000</v>
      </c>
      <c r="AJ88" s="11">
        <v>0</v>
      </c>
      <c r="AK88" s="18">
        <f>IFERROR(AJ88/AI88,0)</f>
        <v>0</v>
      </c>
      <c r="AL88" s="128">
        <f t="shared" si="73"/>
        <v>-1</v>
      </c>
      <c r="AM88" s="14">
        <f t="shared" si="65"/>
        <v>-1</v>
      </c>
      <c r="AN88" s="50"/>
    </row>
    <row r="89" spans="2:43" ht="15" thickBot="1" x14ac:dyDescent="0.4">
      <c r="B89" s="49"/>
      <c r="C89" s="20" t="s">
        <v>22</v>
      </c>
      <c r="D89" s="83">
        <f>SUM(D83:D88)</f>
        <v>7210001229</v>
      </c>
      <c r="E89" s="21">
        <f>SUM(E83:E88)</f>
        <v>9033418504</v>
      </c>
      <c r="F89" s="21">
        <f>SUM(F83:F88)</f>
        <v>9040200000</v>
      </c>
      <c r="G89" s="72">
        <f>SUM(G83:G88)</f>
        <v>5101582255.4639997</v>
      </c>
      <c r="H89" s="22">
        <f>IFERROR(G89/F89,0)</f>
        <v>0.56432183529833413</v>
      </c>
      <c r="I89" s="131">
        <f t="shared" si="67"/>
        <v>-0.29242976617750593</v>
      </c>
      <c r="J89" s="24">
        <f t="shared" si="62"/>
        <v>-0.4352545215075535</v>
      </c>
      <c r="L89" s="20" t="s">
        <v>22</v>
      </c>
      <c r="M89" s="21">
        <f>SUM(M83:M88)</f>
        <v>6970402380</v>
      </c>
      <c r="N89" s="73">
        <f>SUM(N83:N88)</f>
        <v>6251823251</v>
      </c>
      <c r="O89" s="21">
        <f>SUM(O83:O88)</f>
        <v>9516000000</v>
      </c>
      <c r="P89" s="72">
        <f>SUM(P83:P88)</f>
        <v>3306016415.5196004</v>
      </c>
      <c r="Q89" s="22">
        <f>IFERROR(P89/O89,0)</f>
        <v>0.34741660524585966</v>
      </c>
      <c r="R89" s="131">
        <f t="shared" si="69"/>
        <v>-0.52570651803323865</v>
      </c>
      <c r="S89" s="24">
        <f t="shared" si="63"/>
        <v>-0.47119163757695937</v>
      </c>
      <c r="T89" s="50"/>
      <c r="V89" s="49"/>
      <c r="W89" s="75" t="s">
        <v>22</v>
      </c>
      <c r="X89" s="21">
        <f>SUM(X83:X88)</f>
        <v>3935872910</v>
      </c>
      <c r="Y89" s="84">
        <f>SUM(Y83:Y88)</f>
        <v>4256474860</v>
      </c>
      <c r="Z89" s="21">
        <f>SUM(Z83:Z88)</f>
        <v>7605000000</v>
      </c>
      <c r="AA89" s="72">
        <f>SUM(AA83:AA88)</f>
        <v>2542759867.3737998</v>
      </c>
      <c r="AB89" s="22">
        <f>IFERROR(AA89/Z89,0)</f>
        <v>0.33435369722206443</v>
      </c>
      <c r="AC89" s="131">
        <f t="shared" si="71"/>
        <v>-0.35395275063040599</v>
      </c>
      <c r="AD89" s="24">
        <f t="shared" si="64"/>
        <v>-0.40261367657324776</v>
      </c>
      <c r="AF89" s="20" t="s">
        <v>22</v>
      </c>
      <c r="AG89" s="83">
        <f>SUM(AG83:AG88)</f>
        <v>5244569149</v>
      </c>
      <c r="AH89" s="21">
        <f>SUM(AH83:AH88)</f>
        <v>4806080429</v>
      </c>
      <c r="AI89" s="73">
        <f>SUM(AI83:AI88)</f>
        <v>5779800000</v>
      </c>
      <c r="AJ89" s="84">
        <f>SUM(AJ83:AJ88)</f>
        <v>2428782730.8037996</v>
      </c>
      <c r="AK89" s="22">
        <f>IFERROR(AJ89/AI89,0)</f>
        <v>0.42021916516208169</v>
      </c>
      <c r="AL89" s="131">
        <f t="shared" si="73"/>
        <v>-0.53689566067273531</v>
      </c>
      <c r="AM89" s="24">
        <f t="shared" si="65"/>
        <v>-0.49464376081838568</v>
      </c>
      <c r="AN89" s="50"/>
    </row>
    <row r="90" spans="2:43" ht="15" thickBot="1" x14ac:dyDescent="0.4">
      <c r="B90" s="49"/>
      <c r="C90" s="136" t="s">
        <v>23</v>
      </c>
      <c r="D90" s="88">
        <f>D82+D89</f>
        <v>12872997223</v>
      </c>
      <c r="E90" s="31">
        <f>E82+E89</f>
        <v>16048372884</v>
      </c>
      <c r="F90" s="31">
        <f>F82+F89</f>
        <v>18080400000</v>
      </c>
      <c r="G90" s="149">
        <f>G82+G89</f>
        <v>13839720296.973301</v>
      </c>
      <c r="H90" s="139">
        <f>IFERROR(G90/F90,0)</f>
        <v>0.76545432053346718</v>
      </c>
      <c r="I90" s="35">
        <f>IFERROR(G90/D90-1,0)</f>
        <v>7.5096969045100881E-2</v>
      </c>
      <c r="J90" s="35">
        <f t="shared" si="62"/>
        <v>-0.13762470519542169</v>
      </c>
      <c r="K90" s="3"/>
      <c r="L90" s="136" t="s">
        <v>23</v>
      </c>
      <c r="M90" s="31">
        <f>M82+M89</f>
        <v>13168657992</v>
      </c>
      <c r="N90" s="141">
        <f>N82+N89</f>
        <v>12552668726</v>
      </c>
      <c r="O90" s="31">
        <f>O82+O89</f>
        <v>19032000000</v>
      </c>
      <c r="P90" s="149">
        <f>P82+P89</f>
        <v>8365400152.9241009</v>
      </c>
      <c r="Q90" s="139">
        <f>IFERROR(P90/O90,0)</f>
        <v>0.43954393405443992</v>
      </c>
      <c r="R90" s="35">
        <f>IFERROR(P90/M90-1,0)</f>
        <v>-0.36474922820487043</v>
      </c>
      <c r="S90" s="35">
        <f t="shared" si="63"/>
        <v>-0.33357596416154311</v>
      </c>
      <c r="T90" s="50"/>
      <c r="U90" s="3"/>
      <c r="V90" s="49"/>
      <c r="W90" s="95" t="s">
        <v>23</v>
      </c>
      <c r="X90" s="31">
        <f>X82+X89</f>
        <v>7312747240</v>
      </c>
      <c r="Y90" s="97">
        <f>Y82+Y89</f>
        <v>8415904416</v>
      </c>
      <c r="Z90" s="31">
        <f>Z82+Z89</f>
        <v>15210000000</v>
      </c>
      <c r="AA90" s="149">
        <f>AA82+AA89</f>
        <v>7504307318.5460987</v>
      </c>
      <c r="AB90" s="139">
        <f>IFERROR(AA90/Z90,0)</f>
        <v>0.49337983685378689</v>
      </c>
      <c r="AC90" s="35">
        <f>IFERROR(AA90/X90-1,0)</f>
        <v>2.6195364376644159E-2</v>
      </c>
      <c r="AD90" s="35">
        <f t="shared" si="64"/>
        <v>-0.10831837582670345</v>
      </c>
      <c r="AE90" s="3"/>
      <c r="AF90" s="30" t="s">
        <v>23</v>
      </c>
      <c r="AG90" s="88">
        <f>AG82+AG89</f>
        <v>10139187517</v>
      </c>
      <c r="AH90" s="31">
        <f>AH82+AH89</f>
        <v>9066268994</v>
      </c>
      <c r="AI90" s="141">
        <f>AI82+AI89</f>
        <v>11559600000</v>
      </c>
      <c r="AJ90" s="99">
        <f>AJ82+AJ89</f>
        <v>6863567949.4089994</v>
      </c>
      <c r="AK90" s="139">
        <f>IFERROR(AJ90/AI90,0)</f>
        <v>0.5937547968276583</v>
      </c>
      <c r="AL90" s="35">
        <f>IFERROR(AJ90/AG90-1,0)</f>
        <v>-0.32306529118816385</v>
      </c>
      <c r="AM90" s="35">
        <f t="shared" si="65"/>
        <v>-0.24295562441934315</v>
      </c>
      <c r="AN90" s="50"/>
      <c r="AO90" s="3"/>
    </row>
    <row r="91" spans="2:43" ht="15.5" thickTop="1" thickBot="1" x14ac:dyDescent="0.4">
      <c r="B91" s="49"/>
      <c r="C91" s="142" t="s">
        <v>24</v>
      </c>
      <c r="D91" s="100">
        <f>IFERROR(AVERAGE(D76:D81,D83:D88),0)</f>
        <v>1072749768.5833334</v>
      </c>
      <c r="E91" s="37">
        <f>IFERROR(AVERAGE(E76:E81,E83:E88),0)</f>
        <v>1337364407</v>
      </c>
      <c r="F91" s="37">
        <f>IFERROR(AVERAGE(F76:F81,F83:F88),0)</f>
        <v>1506700000</v>
      </c>
      <c r="G91" s="145">
        <f>IFERROR(AVERAGE(G76:G81,G83:G88),0)</f>
        <v>1153310024.7477748</v>
      </c>
      <c r="H91" s="39">
        <f>IFERROR(G91/F91,0)</f>
        <v>0.76545432053346707</v>
      </c>
      <c r="I91" s="144">
        <f>IFERROR(G91/D91-1,0)</f>
        <v>7.5096969045100659E-2</v>
      </c>
      <c r="J91" s="41">
        <f t="shared" si="62"/>
        <v>-0.1376247051954218</v>
      </c>
      <c r="L91" s="142" t="s">
        <v>24</v>
      </c>
      <c r="M91" s="37">
        <f>IFERROR(AVERAGE(M76:M81,M83:M88),0)</f>
        <v>1097388166</v>
      </c>
      <c r="N91" s="109">
        <f>IFERROR(AVERAGE(N76:N81,N83:N88),0)</f>
        <v>1046055727.1666666</v>
      </c>
      <c r="O91" s="37">
        <f>IFERROR(AVERAGE(O76:O81,O83:O88),0)</f>
        <v>1586000000</v>
      </c>
      <c r="P91" s="145">
        <f>IFERROR(AVERAGE(P76:P81,P83:P88),0)</f>
        <v>697116679.41034174</v>
      </c>
      <c r="Q91" s="39">
        <f>IFERROR(P91/O91,0)</f>
        <v>0.43954393405443992</v>
      </c>
      <c r="R91" s="144">
        <f>IFERROR(P91/M91-1,0)</f>
        <v>-0.36474922820487043</v>
      </c>
      <c r="S91" s="35">
        <f t="shared" si="63"/>
        <v>-0.33357596416154311</v>
      </c>
      <c r="T91" s="50"/>
      <c r="V91" s="49"/>
      <c r="W91" s="104" t="s">
        <v>24</v>
      </c>
      <c r="X91" s="37">
        <f>IFERROR(AVERAGE(X76:X81,X83:X88),0)</f>
        <v>609395603.33333337</v>
      </c>
      <c r="Y91" s="106">
        <f>IFERROR(AVERAGE(Y76:Y81,Y83:Y88),0)</f>
        <v>701325368</v>
      </c>
      <c r="Z91" s="37">
        <f>IFERROR(AVERAGE(Z76:Z81,Z83:Z88),0)</f>
        <v>1267500000</v>
      </c>
      <c r="AA91" s="145">
        <f>IFERROR(AVERAGE(AA76:AA81,AA83:AA88),0)</f>
        <v>625358943.21217489</v>
      </c>
      <c r="AB91" s="39">
        <f>IFERROR(AA91/Z91,0)</f>
        <v>0.49337983685378689</v>
      </c>
      <c r="AC91" s="144">
        <f>IFERROR(AA91/X91-1,0)</f>
        <v>2.6195364376644159E-2</v>
      </c>
      <c r="AD91" s="41">
        <f t="shared" si="64"/>
        <v>-0.10831837582670345</v>
      </c>
      <c r="AF91" s="36" t="s">
        <v>24</v>
      </c>
      <c r="AG91" s="100">
        <f>IFERROR(AVERAGE(AG76:AG81,AG83:AG88),0)</f>
        <v>844932293.08333337</v>
      </c>
      <c r="AH91" s="37">
        <f>IFERROR(AVERAGE(AH76:AH81,AH83:AH88),0)</f>
        <v>755522416.16666663</v>
      </c>
      <c r="AI91" s="109">
        <f>IFERROR(AVERAGE(AI76:AI81,AI83:AI88),0)</f>
        <v>963300000</v>
      </c>
      <c r="AJ91" s="101">
        <f>IFERROR(AVERAGE(AJ76:AJ81,AJ83:AJ88),0)</f>
        <v>571963995.78408325</v>
      </c>
      <c r="AK91" s="39">
        <f>IFERROR(AJ91/AI91,0)</f>
        <v>0.5937547968276583</v>
      </c>
      <c r="AL91" s="144">
        <f>IFERROR(AJ91/AG91-1,0)</f>
        <v>-0.32306529118816385</v>
      </c>
      <c r="AM91" s="41">
        <f t="shared" si="65"/>
        <v>-0.24295562441934326</v>
      </c>
      <c r="AN91" s="50"/>
    </row>
    <row r="92" spans="2:43" ht="15" thickBot="1" x14ac:dyDescent="0.4">
      <c r="B92" s="115"/>
      <c r="C92" s="348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8"/>
      <c r="V92" s="115"/>
      <c r="W92" s="348"/>
      <c r="X92" s="116"/>
      <c r="Y92" s="116"/>
      <c r="Z92" s="116"/>
      <c r="AA92" s="116"/>
      <c r="AB92" s="348"/>
      <c r="AC92" s="348"/>
      <c r="AD92" s="348"/>
      <c r="AE92" s="116"/>
      <c r="AF92" s="116"/>
      <c r="AG92" s="116"/>
      <c r="AH92" s="116"/>
      <c r="AI92" s="116"/>
      <c r="AJ92" s="116"/>
      <c r="AK92" s="348"/>
      <c r="AL92" s="348"/>
      <c r="AM92" s="348"/>
      <c r="AN92" s="118"/>
    </row>
    <row r="93" spans="2:43" ht="15" thickBot="1" x14ac:dyDescent="0.4"/>
    <row r="94" spans="2:43" ht="14.5" customHeight="1" thickBot="1" x14ac:dyDescent="0.4">
      <c r="C94" s="540" t="s">
        <v>46</v>
      </c>
      <c r="D94" s="541"/>
      <c r="E94" s="541"/>
      <c r="F94" s="541"/>
      <c r="G94" s="542"/>
      <c r="H94" s="1"/>
      <c r="I94" s="540" t="s">
        <v>44</v>
      </c>
      <c r="J94" s="541"/>
      <c r="K94" s="541"/>
      <c r="L94" s="541"/>
      <c r="M94" s="541"/>
      <c r="N94" s="541"/>
      <c r="O94" s="542"/>
      <c r="Q94" s="539" t="s">
        <v>45</v>
      </c>
      <c r="R94" s="539"/>
      <c r="S94" s="539"/>
      <c r="W94" s="540" t="s">
        <v>46</v>
      </c>
      <c r="X94" s="541"/>
      <c r="Y94" s="541"/>
      <c r="Z94" s="541"/>
      <c r="AA94" s="542"/>
      <c r="AC94" s="540" t="s">
        <v>44</v>
      </c>
      <c r="AD94" s="541"/>
      <c r="AE94" s="541"/>
      <c r="AF94" s="541"/>
      <c r="AG94" s="541"/>
      <c r="AH94" s="541"/>
      <c r="AI94" s="542"/>
      <c r="AK94" s="539" t="s">
        <v>45</v>
      </c>
      <c r="AL94" s="539"/>
      <c r="AM94" s="539"/>
    </row>
    <row r="95" spans="2:43" ht="15" customHeight="1" thickBot="1" x14ac:dyDescent="0.4">
      <c r="C95" s="543"/>
      <c r="D95" s="544"/>
      <c r="E95" s="544"/>
      <c r="F95" s="544"/>
      <c r="G95" s="545"/>
      <c r="H95" s="1"/>
      <c r="I95" s="543"/>
      <c r="J95" s="544"/>
      <c r="K95" s="544"/>
      <c r="L95" s="544"/>
      <c r="M95" s="544"/>
      <c r="N95" s="544"/>
      <c r="O95" s="545"/>
      <c r="Q95" s="518"/>
      <c r="R95" s="519"/>
      <c r="S95" s="520"/>
      <c r="W95" s="543"/>
      <c r="X95" s="544"/>
      <c r="Y95" s="544"/>
      <c r="Z95" s="544"/>
      <c r="AA95" s="545"/>
      <c r="AC95" s="543"/>
      <c r="AD95" s="544"/>
      <c r="AE95" s="544"/>
      <c r="AF95" s="544"/>
      <c r="AG95" s="544"/>
      <c r="AH95" s="544"/>
      <c r="AI95" s="545"/>
      <c r="AK95" s="518"/>
      <c r="AL95" s="519"/>
      <c r="AM95" s="520"/>
    </row>
    <row r="96" spans="2:43" ht="15" thickBot="1" x14ac:dyDescent="0.4">
      <c r="C96"/>
      <c r="D96" s="4"/>
      <c r="E96" s="4"/>
      <c r="F96" s="4"/>
      <c r="G96" s="4"/>
      <c r="H96" s="1"/>
      <c r="I96" s="1"/>
      <c r="J96" s="1"/>
      <c r="Q96" s="521"/>
      <c r="R96" s="522"/>
      <c r="S96" s="523"/>
      <c r="X96" s="4"/>
      <c r="Y96" s="4"/>
      <c r="Z96" s="4"/>
      <c r="AA96" s="4"/>
      <c r="AK96" s="521"/>
      <c r="AL96" s="522"/>
      <c r="AM96" s="523"/>
    </row>
    <row r="97" spans="3:39" ht="14.5" customHeight="1" x14ac:dyDescent="0.35">
      <c r="C97" s="532">
        <f>E52-D52</f>
        <v>6685031847</v>
      </c>
      <c r="D97" s="533"/>
      <c r="E97" s="533"/>
      <c r="F97" s="533"/>
      <c r="G97" s="534"/>
      <c r="H97" s="1"/>
      <c r="I97" s="532">
        <f>G52-F52</f>
        <v>-37893109714.600502</v>
      </c>
      <c r="J97" s="546"/>
      <c r="K97" s="533"/>
      <c r="L97" s="533"/>
      <c r="M97" s="533"/>
      <c r="N97" s="533"/>
      <c r="O97" s="534"/>
      <c r="Q97" s="521"/>
      <c r="R97" s="522"/>
      <c r="S97" s="523"/>
      <c r="W97" s="532">
        <f>Y52-X52</f>
        <v>383945684</v>
      </c>
      <c r="X97" s="533"/>
      <c r="Y97" s="533"/>
      <c r="Z97" s="533"/>
      <c r="AA97" s="534"/>
      <c r="AC97" s="532">
        <f>AA52-Z52</f>
        <v>-33936723856.905399</v>
      </c>
      <c r="AD97" s="546"/>
      <c r="AE97" s="533"/>
      <c r="AF97" s="533"/>
      <c r="AG97" s="533"/>
      <c r="AH97" s="533"/>
      <c r="AI97" s="534"/>
      <c r="AK97" s="521"/>
      <c r="AL97" s="522"/>
      <c r="AM97" s="523"/>
    </row>
    <row r="98" spans="3:39" ht="15" customHeight="1" thickBot="1" x14ac:dyDescent="0.4">
      <c r="C98" s="535"/>
      <c r="D98" s="536"/>
      <c r="E98" s="536"/>
      <c r="F98" s="536"/>
      <c r="G98" s="537"/>
      <c r="H98" s="1"/>
      <c r="I98" s="535"/>
      <c r="J98" s="536"/>
      <c r="K98" s="536"/>
      <c r="L98" s="536"/>
      <c r="M98" s="536"/>
      <c r="N98" s="536"/>
      <c r="O98" s="537"/>
      <c r="Q98" s="521"/>
      <c r="R98" s="522"/>
      <c r="S98" s="523"/>
      <c r="W98" s="535"/>
      <c r="X98" s="536"/>
      <c r="Y98" s="536"/>
      <c r="Z98" s="536"/>
      <c r="AA98" s="537"/>
      <c r="AC98" s="535"/>
      <c r="AD98" s="536"/>
      <c r="AE98" s="536"/>
      <c r="AF98" s="536"/>
      <c r="AG98" s="536"/>
      <c r="AH98" s="536"/>
      <c r="AI98" s="537"/>
      <c r="AK98" s="521"/>
      <c r="AL98" s="522"/>
      <c r="AM98" s="523"/>
    </row>
    <row r="99" spans="3:39" ht="15" thickBot="1" x14ac:dyDescent="0.4">
      <c r="C99"/>
      <c r="D99" s="4"/>
      <c r="E99" s="4"/>
      <c r="F99" s="4"/>
      <c r="G99" s="4"/>
      <c r="H99" s="1"/>
      <c r="I99" s="1"/>
      <c r="J99" s="1"/>
      <c r="Q99" s="521"/>
      <c r="R99" s="522"/>
      <c r="S99" s="523"/>
      <c r="X99" s="4"/>
      <c r="Y99" s="4"/>
      <c r="Z99" s="4"/>
      <c r="AA99" s="4"/>
      <c r="AK99" s="521"/>
      <c r="AL99" s="522"/>
      <c r="AM99" s="523"/>
    </row>
    <row r="100" spans="3:39" ht="15" customHeight="1" thickBot="1" x14ac:dyDescent="0.4">
      <c r="C100" s="540" t="s">
        <v>152</v>
      </c>
      <c r="D100" s="541"/>
      <c r="E100" s="541"/>
      <c r="F100" s="541"/>
      <c r="G100" s="542"/>
      <c r="H100" s="1"/>
      <c r="I100" s="1"/>
      <c r="J100" s="1"/>
      <c r="Q100" s="524"/>
      <c r="R100" s="517"/>
      <c r="S100" s="525"/>
      <c r="W100" s="540" t="s">
        <v>152</v>
      </c>
      <c r="X100" s="541"/>
      <c r="Y100" s="541"/>
      <c r="Z100" s="541"/>
      <c r="AA100" s="542"/>
      <c r="AK100" s="524"/>
      <c r="AL100" s="517"/>
      <c r="AM100" s="525"/>
    </row>
    <row r="101" spans="3:39" ht="15" customHeight="1" thickBot="1" x14ac:dyDescent="0.4">
      <c r="C101" s="543"/>
      <c r="D101" s="544"/>
      <c r="E101" s="544"/>
      <c r="F101" s="544"/>
      <c r="G101" s="545"/>
      <c r="H101" s="1"/>
      <c r="I101" s="1"/>
      <c r="J101" s="1"/>
      <c r="W101" s="543"/>
      <c r="X101" s="544"/>
      <c r="Y101" s="544"/>
      <c r="Z101" s="544"/>
      <c r="AA101" s="545"/>
      <c r="AL101"/>
      <c r="AM101"/>
    </row>
    <row r="102" spans="3:39" ht="15" thickBot="1" x14ac:dyDescent="0.4">
      <c r="C102"/>
      <c r="D102" s="4"/>
      <c r="E102" s="4"/>
      <c r="F102" s="4"/>
      <c r="G102" s="4"/>
      <c r="H102" s="1"/>
      <c r="I102" s="1"/>
      <c r="J102" s="1"/>
      <c r="X102" s="4"/>
      <c r="Y102" s="4"/>
      <c r="Z102" s="4"/>
      <c r="AA102" s="4"/>
      <c r="AL102"/>
      <c r="AM102"/>
    </row>
    <row r="103" spans="3:39" x14ac:dyDescent="0.35">
      <c r="C103" s="532">
        <f>G52-E52</f>
        <v>-18855423936.600502</v>
      </c>
      <c r="D103" s="533"/>
      <c r="E103" s="533"/>
      <c r="F103" s="533"/>
      <c r="G103" s="534"/>
      <c r="H103" s="1"/>
      <c r="I103" s="1"/>
      <c r="J103" s="1"/>
      <c r="W103" s="532">
        <f>AA52-Y52</f>
        <v>-10646549699.905399</v>
      </c>
      <c r="X103" s="533"/>
      <c r="Y103" s="533"/>
      <c r="Z103" s="533"/>
      <c r="AA103" s="534"/>
    </row>
    <row r="104" spans="3:39" ht="15" thickBot="1" x14ac:dyDescent="0.4">
      <c r="C104" s="535"/>
      <c r="D104" s="536"/>
      <c r="E104" s="536"/>
      <c r="F104" s="536"/>
      <c r="G104" s="537"/>
      <c r="H104" s="1"/>
      <c r="I104" s="1"/>
      <c r="J104" s="1"/>
      <c r="W104" s="535"/>
      <c r="X104" s="536"/>
      <c r="Y104" s="536"/>
      <c r="Z104" s="536"/>
      <c r="AA104" s="537"/>
    </row>
    <row r="105" spans="3:39" x14ac:dyDescent="0.35">
      <c r="C105"/>
      <c r="D105" s="4"/>
      <c r="E105" s="4"/>
      <c r="F105" s="4"/>
      <c r="G105" s="4"/>
      <c r="H105" s="1"/>
      <c r="I105" s="1"/>
      <c r="J105" s="1"/>
      <c r="X105" s="4"/>
      <c r="Y105" s="4"/>
      <c r="Z105" s="4"/>
      <c r="AA105" s="4"/>
    </row>
    <row r="106" spans="3:39" x14ac:dyDescent="0.35">
      <c r="D106" s="3"/>
      <c r="E106" s="3"/>
      <c r="F106" s="3"/>
      <c r="G106" s="3"/>
      <c r="H106" s="3"/>
      <c r="M106" s="3"/>
      <c r="N106" s="3"/>
      <c r="X106" s="3"/>
      <c r="Y106" s="3"/>
      <c r="Z106" s="3"/>
      <c r="AB106"/>
      <c r="AC106"/>
      <c r="AD106"/>
    </row>
    <row r="107" spans="3:39" x14ac:dyDescent="0.35">
      <c r="G107" s="3"/>
      <c r="H107" s="3"/>
    </row>
  </sheetData>
  <mergeCells count="73">
    <mergeCell ref="C36:C37"/>
    <mergeCell ref="I36:J36"/>
    <mergeCell ref="D36:H36"/>
    <mergeCell ref="C29:E30"/>
    <mergeCell ref="W36:W37"/>
    <mergeCell ref="P36:Q36"/>
    <mergeCell ref="L36:L37"/>
    <mergeCell ref="M36:O36"/>
    <mergeCell ref="R36:S36"/>
    <mergeCell ref="G29:I29"/>
    <mergeCell ref="G30:I32"/>
    <mergeCell ref="AL55:AM55"/>
    <mergeCell ref="AC55:AD55"/>
    <mergeCell ref="AJ55:AK55"/>
    <mergeCell ref="AF55:AF56"/>
    <mergeCell ref="X55:Z55"/>
    <mergeCell ref="AL36:AM36"/>
    <mergeCell ref="X36:AB36"/>
    <mergeCell ref="AJ36:AK36"/>
    <mergeCell ref="AF36:AF37"/>
    <mergeCell ref="AG36:AI36"/>
    <mergeCell ref="AC36:AD36"/>
    <mergeCell ref="W74:W75"/>
    <mergeCell ref="C103:G104"/>
    <mergeCell ref="I94:O95"/>
    <mergeCell ref="L55:L56"/>
    <mergeCell ref="M55:O55"/>
    <mergeCell ref="C94:G95"/>
    <mergeCell ref="C97:G98"/>
    <mergeCell ref="C74:C75"/>
    <mergeCell ref="I74:J74"/>
    <mergeCell ref="G74:H74"/>
    <mergeCell ref="C55:C56"/>
    <mergeCell ref="D55:F55"/>
    <mergeCell ref="I55:J55"/>
    <mergeCell ref="G55:H55"/>
    <mergeCell ref="C100:G101"/>
    <mergeCell ref="I97:O98"/>
    <mergeCell ref="D74:F74"/>
    <mergeCell ref="L74:L75"/>
    <mergeCell ref="M74:O74"/>
    <mergeCell ref="R74:S74"/>
    <mergeCell ref="P74:Q74"/>
    <mergeCell ref="C4:C5"/>
    <mergeCell ref="G23:I24"/>
    <mergeCell ref="G26:I27"/>
    <mergeCell ref="D4:H4"/>
    <mergeCell ref="I4:J4"/>
    <mergeCell ref="C23:E24"/>
    <mergeCell ref="C25:E26"/>
    <mergeCell ref="C27:E28"/>
    <mergeCell ref="W103:AA104"/>
    <mergeCell ref="AC94:AI95"/>
    <mergeCell ref="AC97:AI98"/>
    <mergeCell ref="Q94:S94"/>
    <mergeCell ref="W94:AA95"/>
    <mergeCell ref="W97:AA98"/>
    <mergeCell ref="AK94:AM94"/>
    <mergeCell ref="Q95:S100"/>
    <mergeCell ref="AK95:AM100"/>
    <mergeCell ref="AA55:AB55"/>
    <mergeCell ref="AG55:AI55"/>
    <mergeCell ref="W100:AA101"/>
    <mergeCell ref="AL74:AM74"/>
    <mergeCell ref="AC74:AD74"/>
    <mergeCell ref="AJ74:AK74"/>
    <mergeCell ref="X74:Z74"/>
    <mergeCell ref="AF74:AF75"/>
    <mergeCell ref="AG74:AI74"/>
    <mergeCell ref="AA74:AB74"/>
    <mergeCell ref="R55:S55"/>
    <mergeCell ref="P55:Q55"/>
    <mergeCell ref="W55:W56"/>
  </mergeCells>
  <conditionalFormatting sqref="H6:H21">
    <cfRule type="cellIs" dxfId="124" priority="7" stopIfTrue="1" operator="lessThan">
      <formula>0.9</formula>
    </cfRule>
    <cfRule type="cellIs" dxfId="123" priority="8" stopIfTrue="1" operator="greaterThan">
      <formula>1</formula>
    </cfRule>
    <cfRule type="cellIs" dxfId="122" priority="9" stopIfTrue="1" operator="greaterThan">
      <formula>0.9</formula>
    </cfRule>
  </conditionalFormatting>
  <conditionalFormatting sqref="H38:H53">
    <cfRule type="cellIs" dxfId="121" priority="76" stopIfTrue="1" operator="lessThan">
      <formula>0.9</formula>
    </cfRule>
    <cfRule type="cellIs" dxfId="120" priority="78" stopIfTrue="1" operator="greaterThan">
      <formula>0.9</formula>
    </cfRule>
    <cfRule type="cellIs" dxfId="119" priority="77" stopIfTrue="1" operator="greaterThan">
      <formula>1</formula>
    </cfRule>
  </conditionalFormatting>
  <conditionalFormatting sqref="H57:H72">
    <cfRule type="cellIs" dxfId="118" priority="75" stopIfTrue="1" operator="greaterThan">
      <formula>0.9</formula>
    </cfRule>
    <cfRule type="cellIs" dxfId="117" priority="74" stopIfTrue="1" operator="greaterThan">
      <formula>1</formula>
    </cfRule>
    <cfRule type="cellIs" dxfId="116" priority="73" stopIfTrue="1" operator="lessThan">
      <formula>0.9</formula>
    </cfRule>
  </conditionalFormatting>
  <conditionalFormatting sqref="H76:H91">
    <cfRule type="cellIs" dxfId="115" priority="70" stopIfTrue="1" operator="lessThan">
      <formula>0.9</formula>
    </cfRule>
    <cfRule type="cellIs" dxfId="114" priority="72" stopIfTrue="1" operator="greaterThan">
      <formula>0.9</formula>
    </cfRule>
    <cfRule type="cellIs" dxfId="113" priority="71" stopIfTrue="1" operator="greaterThan">
      <formula>1</formula>
    </cfRule>
  </conditionalFormatting>
  <conditionalFormatting sqref="I6:J21">
    <cfRule type="cellIs" dxfId="112" priority="10" operator="greaterThan">
      <formula>0</formula>
    </cfRule>
    <cfRule type="cellIs" dxfId="111" priority="11" operator="lessThan">
      <formula>0</formula>
    </cfRule>
  </conditionalFormatting>
  <conditionalFormatting sqref="I38:J53">
    <cfRule type="cellIs" dxfId="110" priority="37" operator="lessThan">
      <formula>0</formula>
    </cfRule>
    <cfRule type="cellIs" dxfId="109" priority="36" operator="greaterThan">
      <formula>0</formula>
    </cfRule>
  </conditionalFormatting>
  <conditionalFormatting sqref="I57:J72">
    <cfRule type="cellIs" dxfId="108" priority="35" operator="lessThan">
      <formula>0</formula>
    </cfRule>
    <cfRule type="cellIs" dxfId="107" priority="34" operator="greaterThan">
      <formula>0</formula>
    </cfRule>
  </conditionalFormatting>
  <conditionalFormatting sqref="I76:J91">
    <cfRule type="cellIs" dxfId="106" priority="33" operator="lessThan">
      <formula>0</formula>
    </cfRule>
    <cfRule type="cellIs" dxfId="105" priority="32" operator="greaterThan">
      <formula>0</formula>
    </cfRule>
  </conditionalFormatting>
  <conditionalFormatting sqref="Q38:Q53">
    <cfRule type="cellIs" dxfId="104" priority="67" stopIfTrue="1" operator="lessThan">
      <formula>0.9</formula>
    </cfRule>
    <cfRule type="cellIs" dxfId="103" priority="69" stopIfTrue="1" operator="greaterThan">
      <formula>0.9</formula>
    </cfRule>
    <cfRule type="cellIs" dxfId="102" priority="68" stopIfTrue="1" operator="greaterThan">
      <formula>1</formula>
    </cfRule>
  </conditionalFormatting>
  <conditionalFormatting sqref="Q57:Q72">
    <cfRule type="cellIs" dxfId="101" priority="65" stopIfTrue="1" operator="greaterThan">
      <formula>1</formula>
    </cfRule>
    <cfRule type="cellIs" dxfId="100" priority="66" stopIfTrue="1" operator="greaterThan">
      <formula>0.9</formula>
    </cfRule>
    <cfRule type="cellIs" dxfId="99" priority="64" stopIfTrue="1" operator="lessThan">
      <formula>0.9</formula>
    </cfRule>
  </conditionalFormatting>
  <conditionalFormatting sqref="Q76:Q91">
    <cfRule type="cellIs" dxfId="98" priority="61" stopIfTrue="1" operator="lessThan">
      <formula>0.9</formula>
    </cfRule>
    <cfRule type="cellIs" dxfId="97" priority="63" stopIfTrue="1" operator="greaterThan">
      <formula>0.9</formula>
    </cfRule>
    <cfRule type="cellIs" dxfId="96" priority="62" stopIfTrue="1" operator="greaterThan">
      <formula>1</formula>
    </cfRule>
  </conditionalFormatting>
  <conditionalFormatting sqref="R38:S53">
    <cfRule type="cellIs" dxfId="95" priority="27" operator="lessThan">
      <formula>0</formula>
    </cfRule>
    <cfRule type="cellIs" dxfId="94" priority="26" operator="greaterThan">
      <formula>0</formula>
    </cfRule>
  </conditionalFormatting>
  <conditionalFormatting sqref="R57:S72">
    <cfRule type="cellIs" dxfId="93" priority="29" operator="lessThan">
      <formula>0</formula>
    </cfRule>
    <cfRule type="cellIs" dxfId="92" priority="28" operator="greaterThan">
      <formula>0</formula>
    </cfRule>
  </conditionalFormatting>
  <conditionalFormatting sqref="R76:S91">
    <cfRule type="cellIs" dxfId="91" priority="31" operator="lessThan">
      <formula>0</formula>
    </cfRule>
    <cfRule type="cellIs" dxfId="90" priority="30" operator="greaterThan">
      <formula>0</formula>
    </cfRule>
  </conditionalFormatting>
  <conditionalFormatting sqref="AB38:AB53">
    <cfRule type="cellIs" dxfId="89" priority="43" stopIfTrue="1" operator="lessThan">
      <formula>0.9</formula>
    </cfRule>
    <cfRule type="cellIs" dxfId="88" priority="44" stopIfTrue="1" operator="greaterThan">
      <formula>1</formula>
    </cfRule>
    <cfRule type="cellIs" dxfId="87" priority="45" stopIfTrue="1" operator="greaterThan">
      <formula>0.9</formula>
    </cfRule>
  </conditionalFormatting>
  <conditionalFormatting sqref="AB57:AB72">
    <cfRule type="cellIs" dxfId="86" priority="58" stopIfTrue="1" operator="lessThan">
      <formula>0.9</formula>
    </cfRule>
    <cfRule type="cellIs" dxfId="85" priority="59" stopIfTrue="1" operator="greaterThan">
      <formula>1</formula>
    </cfRule>
    <cfRule type="cellIs" dxfId="84" priority="60" stopIfTrue="1" operator="greaterThan">
      <formula>0.9</formula>
    </cfRule>
  </conditionalFormatting>
  <conditionalFormatting sqref="AB76:AB91">
    <cfRule type="cellIs" dxfId="83" priority="55" stopIfTrue="1" operator="lessThan">
      <formula>0.9</formula>
    </cfRule>
    <cfRule type="cellIs" dxfId="82" priority="56" stopIfTrue="1" operator="greaterThan">
      <formula>1</formula>
    </cfRule>
    <cfRule type="cellIs" dxfId="81" priority="57" stopIfTrue="1" operator="greaterThan">
      <formula>0.9</formula>
    </cfRule>
  </conditionalFormatting>
  <conditionalFormatting sqref="AC38:AD53">
    <cfRule type="cellIs" dxfId="80" priority="25" operator="lessThan">
      <formula>0</formula>
    </cfRule>
    <cfRule type="cellIs" dxfId="79" priority="24" operator="greaterThan">
      <formula>0</formula>
    </cfRule>
  </conditionalFormatting>
  <conditionalFormatting sqref="AC57:AD72">
    <cfRule type="cellIs" dxfId="78" priority="15" operator="lessThan">
      <formula>0</formula>
    </cfRule>
    <cfRule type="cellIs" dxfId="77" priority="14" operator="greaterThan">
      <formula>0</formula>
    </cfRule>
  </conditionalFormatting>
  <conditionalFormatting sqref="AC76:AD91">
    <cfRule type="cellIs" dxfId="76" priority="16" operator="greaterThan">
      <formula>0</formula>
    </cfRule>
    <cfRule type="cellIs" dxfId="75" priority="17" operator="lessThan">
      <formula>0</formula>
    </cfRule>
  </conditionalFormatting>
  <conditionalFormatting sqref="AK38:AK53">
    <cfRule type="cellIs" dxfId="74" priority="54" stopIfTrue="1" operator="greaterThan">
      <formula>0.9</formula>
    </cfRule>
    <cfRule type="cellIs" dxfId="73" priority="52" stopIfTrue="1" operator="lessThan">
      <formula>0.9</formula>
    </cfRule>
    <cfRule type="cellIs" dxfId="72" priority="53" stopIfTrue="1" operator="greaterThan">
      <formula>1</formula>
    </cfRule>
  </conditionalFormatting>
  <conditionalFormatting sqref="AK57:AK72">
    <cfRule type="cellIs" dxfId="71" priority="49" stopIfTrue="1" operator="lessThan">
      <formula>0.9</formula>
    </cfRule>
    <cfRule type="cellIs" dxfId="70" priority="50" stopIfTrue="1" operator="greaterThan">
      <formula>1</formula>
    </cfRule>
    <cfRule type="cellIs" dxfId="69" priority="51" stopIfTrue="1" operator="greaterThan">
      <formula>0.9</formula>
    </cfRule>
  </conditionalFormatting>
  <conditionalFormatting sqref="AK76:AK91">
    <cfRule type="cellIs" dxfId="68" priority="47" stopIfTrue="1" operator="greaterThan">
      <formula>1</formula>
    </cfRule>
    <cfRule type="cellIs" dxfId="67" priority="48" stopIfTrue="1" operator="greaterThan">
      <formula>0.9</formula>
    </cfRule>
    <cfRule type="cellIs" dxfId="66" priority="46" stopIfTrue="1" operator="lessThan">
      <formula>0.9</formula>
    </cfRule>
  </conditionalFormatting>
  <conditionalFormatting sqref="AL38:AM53">
    <cfRule type="cellIs" dxfId="65" priority="23" operator="lessThan">
      <formula>0</formula>
    </cfRule>
    <cfRule type="cellIs" dxfId="64" priority="22" operator="greaterThan">
      <formula>0</formula>
    </cfRule>
  </conditionalFormatting>
  <conditionalFormatting sqref="AL57:AM72">
    <cfRule type="cellIs" dxfId="63" priority="21" operator="lessThan">
      <formula>0</formula>
    </cfRule>
    <cfRule type="cellIs" dxfId="62" priority="20" operator="greaterThan">
      <formula>0</formula>
    </cfRule>
  </conditionalFormatting>
  <conditionalFormatting sqref="AL76:AM91">
    <cfRule type="cellIs" dxfId="61" priority="19" operator="lessThan">
      <formula>0</formula>
    </cfRule>
    <cfRule type="cellIs" dxfId="60" priority="18" operator="greaterThan">
      <formula>0</formula>
    </cfRule>
  </conditionalFormatting>
  <printOptions horizontalCentered="1" verticalCentered="1"/>
  <pageMargins left="0" right="0" top="0" bottom="0" header="0" footer="0"/>
  <pageSetup paperSize="9" scale="38" fitToWidth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A06C6-ED76-4BEF-8C18-C0D6140C8C54}">
  <sheetPr>
    <tabColor rgb="FFC00000"/>
    <pageSetUpPr fitToPage="1"/>
  </sheetPr>
  <dimension ref="A2:AQ123"/>
  <sheetViews>
    <sheetView showGridLines="0" topLeftCell="F68" zoomScale="60" zoomScaleNormal="55" workbookViewId="0">
      <selection activeCell="M19" sqref="M19"/>
    </sheetView>
  </sheetViews>
  <sheetFormatPr defaultRowHeight="14.5" x14ac:dyDescent="0.35"/>
  <cols>
    <col min="1" max="1" width="12.453125" bestFit="1" customWidth="1"/>
    <col min="2" max="2" width="2.453125" customWidth="1"/>
    <col min="3" max="3" width="9.81640625" bestFit="1" customWidth="1"/>
    <col min="4" max="7" width="16.1796875" style="4" customWidth="1"/>
    <col min="8" max="8" width="8.1796875" style="1" customWidth="1"/>
    <col min="9" max="10" width="9.1796875" style="1" bestFit="1" customWidth="1"/>
    <col min="11" max="11" width="2.54296875" customWidth="1"/>
    <col min="12" max="12" width="13.54296875" bestFit="1" customWidth="1"/>
    <col min="13" max="16" width="16.1796875" customWidth="1"/>
    <col min="18" max="18" width="7.54296875" bestFit="1" customWidth="1"/>
    <col min="20" max="20" width="2.54296875" customWidth="1"/>
    <col min="21" max="21" width="14.1796875" bestFit="1" customWidth="1"/>
    <col min="22" max="22" width="2.453125" customWidth="1"/>
    <col min="23" max="23" width="9.81640625" bestFit="1" customWidth="1"/>
    <col min="24" max="27" width="16.1796875" customWidth="1"/>
    <col min="28" max="28" width="8.1796875" customWidth="1"/>
    <col min="29" max="30" width="9.1796875" bestFit="1" customWidth="1"/>
    <col min="31" max="31" width="2.54296875" customWidth="1"/>
    <col min="32" max="32" width="10.54296875" customWidth="1"/>
    <col min="33" max="36" width="16.1796875" customWidth="1"/>
    <col min="40" max="40" width="2.54296875" customWidth="1"/>
    <col min="41" max="41" width="14.1796875" bestFit="1" customWidth="1"/>
    <col min="43" max="43" width="10.81640625" bestFit="1" customWidth="1"/>
  </cols>
  <sheetData>
    <row r="2" spans="1:14" ht="15" thickBot="1" x14ac:dyDescent="0.4"/>
    <row r="3" spans="1:14" ht="15" customHeight="1" thickBot="1" x14ac:dyDescent="0.4">
      <c r="C3" s="498" t="s">
        <v>2</v>
      </c>
      <c r="D3" s="502" t="s">
        <v>47</v>
      </c>
      <c r="E3" s="500"/>
      <c r="F3" s="500"/>
      <c r="G3" s="500"/>
      <c r="H3" s="501"/>
      <c r="I3" s="502" t="s">
        <v>4</v>
      </c>
      <c r="J3" s="501"/>
    </row>
    <row r="4" spans="1:14" ht="15" thickBot="1" x14ac:dyDescent="0.4">
      <c r="C4" s="499"/>
      <c r="D4" s="6">
        <v>2024</v>
      </c>
      <c r="E4" s="358">
        <v>2025</v>
      </c>
      <c r="F4" s="155" t="s">
        <v>5</v>
      </c>
      <c r="G4" s="6">
        <v>2026</v>
      </c>
      <c r="H4" s="6" t="s">
        <v>6</v>
      </c>
      <c r="I4" s="6" t="s">
        <v>8</v>
      </c>
      <c r="J4" s="7" t="s">
        <v>7</v>
      </c>
    </row>
    <row r="5" spans="1:14" x14ac:dyDescent="0.35">
      <c r="C5" s="8" t="s">
        <v>9</v>
      </c>
      <c r="D5" s="26">
        <f t="shared" ref="D5:D17" si="0">SUM(D38,X38)</f>
        <v>8907493706</v>
      </c>
      <c r="E5" s="26">
        <f>SUM(E38,Y38)</f>
        <v>8609872815</v>
      </c>
      <c r="F5" s="26">
        <f>SUM(F38,Z38)</f>
        <v>14040000000</v>
      </c>
      <c r="G5" s="11">
        <f t="shared" ref="G5:G9" si="1">G38+AA38</f>
        <v>8901434145.4358006</v>
      </c>
      <c r="H5" s="27">
        <f>IFERROR(G5/F5,0)</f>
        <v>0.63400528101394593</v>
      </c>
      <c r="I5" s="13">
        <f>IFERROR(G5/D5-1,0)</f>
        <v>-6.8027671578574367E-4</v>
      </c>
      <c r="J5" s="14">
        <f t="shared" ref="J5:J20" si="2">IFERROR(G5/E5-1,0)</f>
        <v>3.3863604805851155E-2</v>
      </c>
    </row>
    <row r="6" spans="1:14" x14ac:dyDescent="0.35">
      <c r="C6" s="8" t="s">
        <v>10</v>
      </c>
      <c r="D6" s="10">
        <f t="shared" si="0"/>
        <v>8607698312</v>
      </c>
      <c r="E6" s="10">
        <f t="shared" ref="E6:E10" si="3">SUM(E39,Y39)</f>
        <v>9820136776</v>
      </c>
      <c r="F6" s="10">
        <f t="shared" ref="F6:F10" si="4">SUM(F39,Z39)</f>
        <v>12480000000</v>
      </c>
      <c r="G6" s="11">
        <f t="shared" si="1"/>
        <v>8188542210.0445995</v>
      </c>
      <c r="H6" s="12">
        <f t="shared" ref="H6:H15" si="5">IFERROR(G6/F6,0)</f>
        <v>0.65613318990741987</v>
      </c>
      <c r="I6" s="15">
        <f t="shared" ref="I6:I18" si="6">IFERROR(G6/D6-1,0)</f>
        <v>-4.8695491728730111E-2</v>
      </c>
      <c r="J6" s="14">
        <f t="shared" si="2"/>
        <v>-0.16614784530730253</v>
      </c>
    </row>
    <row r="7" spans="1:14" x14ac:dyDescent="0.35">
      <c r="A7" s="3"/>
      <c r="C7" s="8" t="s">
        <v>11</v>
      </c>
      <c r="D7" s="10">
        <f t="shared" si="0"/>
        <v>9860523540</v>
      </c>
      <c r="E7" s="10">
        <f t="shared" si="3"/>
        <v>8833097464</v>
      </c>
      <c r="F7" s="10">
        <f t="shared" si="4"/>
        <v>12480000000</v>
      </c>
      <c r="G7" s="11">
        <f t="shared" si="1"/>
        <v>4562552087.9057999</v>
      </c>
      <c r="H7" s="12">
        <f t="shared" si="5"/>
        <v>0.36558910960783653</v>
      </c>
      <c r="I7" s="15">
        <f t="shared" si="6"/>
        <v>-0.5372910911477019</v>
      </c>
      <c r="J7" s="14">
        <f t="shared" si="2"/>
        <v>-0.48347087683557799</v>
      </c>
    </row>
    <row r="8" spans="1:14" x14ac:dyDescent="0.35">
      <c r="C8" s="8" t="s">
        <v>12</v>
      </c>
      <c r="D8" s="10">
        <f t="shared" si="0"/>
        <v>7054407924</v>
      </c>
      <c r="E8" s="10">
        <f t="shared" si="3"/>
        <v>8657814266</v>
      </c>
      <c r="F8" s="10">
        <f t="shared" si="4"/>
        <v>14040000000</v>
      </c>
      <c r="G8" s="11">
        <f t="shared" si="1"/>
        <v>8837646784.5141983</v>
      </c>
      <c r="H8" s="12">
        <f t="shared" si="5"/>
        <v>0.62946202168904541</v>
      </c>
      <c r="I8" s="15">
        <f t="shared" si="6"/>
        <v>0.25278363254942926</v>
      </c>
      <c r="J8" s="14">
        <f t="shared" si="2"/>
        <v>2.0771122247380314E-2</v>
      </c>
      <c r="L8" s="3"/>
    </row>
    <row r="9" spans="1:14" x14ac:dyDescent="0.35">
      <c r="C9" s="8" t="s">
        <v>13</v>
      </c>
      <c r="D9" s="10">
        <f t="shared" si="0"/>
        <v>9188854012</v>
      </c>
      <c r="E9" s="10">
        <f t="shared" si="3"/>
        <v>9690764871</v>
      </c>
      <c r="F9" s="10">
        <f t="shared" si="4"/>
        <v>12480000000</v>
      </c>
      <c r="G9" s="11">
        <f t="shared" si="1"/>
        <v>6101845773.2462997</v>
      </c>
      <c r="H9" s="12">
        <f t="shared" si="5"/>
        <v>0.48892994977935095</v>
      </c>
      <c r="I9" s="15">
        <f t="shared" si="6"/>
        <v>-0.33595138574650152</v>
      </c>
      <c r="J9" s="14">
        <f t="shared" si="2"/>
        <v>-0.37034425512620617</v>
      </c>
      <c r="L9" s="154"/>
    </row>
    <row r="10" spans="1:14" ht="15" thickBot="1" x14ac:dyDescent="0.4">
      <c r="C10" s="8" t="s">
        <v>14</v>
      </c>
      <c r="D10" s="10">
        <f t="shared" si="0"/>
        <v>10780710579</v>
      </c>
      <c r="E10" s="17">
        <f t="shared" si="3"/>
        <v>8560807623</v>
      </c>
      <c r="F10" s="17">
        <f t="shared" si="4"/>
        <v>12480000000</v>
      </c>
      <c r="G10" s="11">
        <f>G43+AA43</f>
        <v>7982887332.4799004</v>
      </c>
      <c r="H10" s="18">
        <f t="shared" si="5"/>
        <v>0.63965443369229968</v>
      </c>
      <c r="I10" s="19">
        <f t="shared" si="6"/>
        <v>-0.25952122784652487</v>
      </c>
      <c r="J10" s="14">
        <f t="shared" si="2"/>
        <v>-6.7507683383448924E-2</v>
      </c>
    </row>
    <row r="11" spans="1:14" ht="15" thickBot="1" x14ac:dyDescent="0.4">
      <c r="C11" s="20" t="s">
        <v>15</v>
      </c>
      <c r="D11" s="21">
        <f>SUM(D5:D10)</f>
        <v>54399688073</v>
      </c>
      <c r="E11" s="21">
        <f>SUM(E5:E10)</f>
        <v>54172493815</v>
      </c>
      <c r="F11" s="21">
        <f>SUM(F5:F10)</f>
        <v>78000000000</v>
      </c>
      <c r="G11" s="21">
        <f>SUM(G5:G10)</f>
        <v>44574908333.626602</v>
      </c>
      <c r="H11" s="22">
        <f t="shared" si="5"/>
        <v>0.57147318376444367</v>
      </c>
      <c r="I11" s="23">
        <f t="shared" si="6"/>
        <v>-0.18060360431091693</v>
      </c>
      <c r="J11" s="24">
        <f t="shared" si="2"/>
        <v>-0.17716713419451058</v>
      </c>
      <c r="M11" s="3"/>
      <c r="N11" s="154"/>
    </row>
    <row r="12" spans="1:14" x14ac:dyDescent="0.35">
      <c r="C12" s="25" t="s">
        <v>16</v>
      </c>
      <c r="D12" s="10">
        <f t="shared" si="0"/>
        <v>9997397610</v>
      </c>
      <c r="E12" s="10">
        <f>SUM(E45,Y45)</f>
        <v>9137701609</v>
      </c>
      <c r="F12" s="10">
        <f>SUM(F45,Z45)</f>
        <v>12480000000</v>
      </c>
      <c r="G12" s="11">
        <f t="shared" ref="G12:G17" si="7">G45+AA45</f>
        <v>9437757615.5867996</v>
      </c>
      <c r="H12" s="27">
        <f t="shared" si="5"/>
        <v>0.75623057817201922</v>
      </c>
      <c r="I12" s="13">
        <f t="shared" si="6"/>
        <v>-5.5978567247682021E-2</v>
      </c>
      <c r="J12" s="14">
        <f t="shared" si="2"/>
        <v>3.2837142142096765E-2</v>
      </c>
    </row>
    <row r="13" spans="1:14" x14ac:dyDescent="0.35">
      <c r="C13" s="28" t="s">
        <v>17</v>
      </c>
      <c r="D13" s="10">
        <f t="shared" si="0"/>
        <v>9828778371</v>
      </c>
      <c r="E13" s="10">
        <f t="shared" ref="E13:E17" si="8">SUM(E46,Y46)</f>
        <v>9479393349</v>
      </c>
      <c r="F13" s="10">
        <f t="shared" ref="F13:F17" si="9">SUM(F46,Z46)</f>
        <v>14040000000</v>
      </c>
      <c r="G13" s="11">
        <f t="shared" si="7"/>
        <v>7139498964.3480005</v>
      </c>
      <c r="H13" s="12">
        <f t="shared" si="5"/>
        <v>0.50851132224700857</v>
      </c>
      <c r="I13" s="15">
        <f t="shared" si="6"/>
        <v>-0.27361278331260075</v>
      </c>
      <c r="J13" s="14">
        <f t="shared" si="2"/>
        <v>-0.24684009814814145</v>
      </c>
    </row>
    <row r="14" spans="1:14" x14ac:dyDescent="0.35">
      <c r="C14" s="28" t="s">
        <v>18</v>
      </c>
      <c r="D14" s="10">
        <f t="shared" si="0"/>
        <v>9533812429</v>
      </c>
      <c r="E14" s="10">
        <f t="shared" si="8"/>
        <v>8956461906</v>
      </c>
      <c r="F14" s="10">
        <f t="shared" si="9"/>
        <v>12480000000</v>
      </c>
      <c r="G14" s="11">
        <f t="shared" si="7"/>
        <v>6412417047.9421005</v>
      </c>
      <c r="H14" s="12">
        <f t="shared" si="5"/>
        <v>0.51381546858510418</v>
      </c>
      <c r="I14" s="15">
        <f t="shared" si="6"/>
        <v>-0.32740264236405814</v>
      </c>
      <c r="J14" s="14">
        <f t="shared" si="2"/>
        <v>-0.28404574091401258</v>
      </c>
      <c r="L14" s="3"/>
    </row>
    <row r="15" spans="1:14" x14ac:dyDescent="0.35">
      <c r="C15" s="28" t="s">
        <v>19</v>
      </c>
      <c r="D15" s="10">
        <f t="shared" si="0"/>
        <v>10100089797</v>
      </c>
      <c r="E15" s="10">
        <f t="shared" si="8"/>
        <v>8532767821</v>
      </c>
      <c r="F15" s="10">
        <f t="shared" si="9"/>
        <v>14040000000</v>
      </c>
      <c r="G15" s="11">
        <f t="shared" si="7"/>
        <v>0</v>
      </c>
      <c r="H15" s="12">
        <f t="shared" si="5"/>
        <v>0</v>
      </c>
      <c r="I15" s="15">
        <f t="shared" si="6"/>
        <v>-1</v>
      </c>
      <c r="J15" s="14">
        <f t="shared" si="2"/>
        <v>-1</v>
      </c>
    </row>
    <row r="16" spans="1:14" x14ac:dyDescent="0.35">
      <c r="C16" s="28" t="s">
        <v>20</v>
      </c>
      <c r="D16" s="10">
        <f t="shared" si="0"/>
        <v>9462732809</v>
      </c>
      <c r="E16" s="10">
        <f t="shared" si="8"/>
        <v>8088621105</v>
      </c>
      <c r="F16" s="10">
        <f t="shared" si="9"/>
        <v>12480000000</v>
      </c>
      <c r="G16" s="11">
        <f t="shared" si="7"/>
        <v>0</v>
      </c>
      <c r="H16" s="12">
        <f>IFERROR(G16/F16,0)</f>
        <v>0</v>
      </c>
      <c r="I16" s="15">
        <f t="shared" si="6"/>
        <v>-1</v>
      </c>
      <c r="J16" s="14">
        <f t="shared" si="2"/>
        <v>-1</v>
      </c>
    </row>
    <row r="17" spans="3:18" ht="15" thickBot="1" x14ac:dyDescent="0.4">
      <c r="C17" s="29" t="s">
        <v>21</v>
      </c>
      <c r="D17" s="10">
        <f t="shared" si="0"/>
        <v>9652545896</v>
      </c>
      <c r="E17" s="10">
        <f t="shared" si="8"/>
        <v>8204092690</v>
      </c>
      <c r="F17" s="17">
        <f t="shared" si="9"/>
        <v>12480000000</v>
      </c>
      <c r="G17" s="11">
        <f t="shared" si="7"/>
        <v>0</v>
      </c>
      <c r="H17" s="18">
        <f>IFERROR(G17/F17,0)</f>
        <v>0</v>
      </c>
      <c r="I17" s="19">
        <f t="shared" si="6"/>
        <v>-1</v>
      </c>
      <c r="J17" s="14">
        <f t="shared" si="2"/>
        <v>-1</v>
      </c>
    </row>
    <row r="18" spans="3:18" ht="15" thickBot="1" x14ac:dyDescent="0.4">
      <c r="C18" s="20" t="s">
        <v>22</v>
      </c>
      <c r="D18" s="21">
        <f>SUM(D12:D17)</f>
        <v>58575356912</v>
      </c>
      <c r="E18" s="21">
        <f>SUM(E12:E17)</f>
        <v>52399038480</v>
      </c>
      <c r="F18" s="21">
        <f>SUM(F12:F17)</f>
        <v>78000000000</v>
      </c>
      <c r="G18" s="21">
        <f>SUM(G12:G17)</f>
        <v>22989673627.8769</v>
      </c>
      <c r="H18" s="22">
        <f>IFERROR(G18/F18,0)</f>
        <v>0.29473940548560129</v>
      </c>
      <c r="I18" s="23">
        <f t="shared" si="6"/>
        <v>-0.60751970043622328</v>
      </c>
      <c r="J18" s="24">
        <f t="shared" si="2"/>
        <v>-0.56125771970698002</v>
      </c>
    </row>
    <row r="19" spans="3:18" s="4" customFormat="1" ht="15" thickBot="1" x14ac:dyDescent="0.4">
      <c r="C19" s="30" t="s">
        <v>23</v>
      </c>
      <c r="D19" s="31">
        <f>D11+D18</f>
        <v>112975044985</v>
      </c>
      <c r="E19" s="31">
        <f>E11+E18</f>
        <v>106571532295</v>
      </c>
      <c r="F19" s="31">
        <f>F11+F18</f>
        <v>156000000000</v>
      </c>
      <c r="G19" s="32">
        <f>G11+G18</f>
        <v>67564581961.503502</v>
      </c>
      <c r="H19" s="33">
        <f>IFERROR(G19/F19,0)</f>
        <v>0.43310629462502243</v>
      </c>
      <c r="I19" s="34">
        <f>IFERROR(G19/D19-1,0)</f>
        <v>-0.40195127188952007</v>
      </c>
      <c r="J19" s="35">
        <f t="shared" si="2"/>
        <v>-0.36601660399816338</v>
      </c>
      <c r="L19"/>
      <c r="M19"/>
      <c r="N19"/>
      <c r="O19"/>
      <c r="P19"/>
    </row>
    <row r="20" spans="3:18" s="4" customFormat="1" ht="15.5" thickTop="1" thickBot="1" x14ac:dyDescent="0.4">
      <c r="C20" s="36" t="s">
        <v>24</v>
      </c>
      <c r="D20" s="37">
        <f>IFERROR(AVERAGE(D5:D10,D12:D17),0)</f>
        <v>9414587082.083334</v>
      </c>
      <c r="E20" s="37">
        <f>IFERROR(AVERAGE(E5:E10,E12:E17),0)</f>
        <v>8880961024.583334</v>
      </c>
      <c r="F20" s="37">
        <f>IFERROR(AVERAGE(F5:F10,F12:F17),0)</f>
        <v>13000000000</v>
      </c>
      <c r="G20" s="38">
        <f>IFERROR(AVERAGE(G5:G10,G12:G17),0)</f>
        <v>5630381830.1252918</v>
      </c>
      <c r="H20" s="39">
        <f>IFERROR(G20/F20,0)</f>
        <v>0.43310629462502243</v>
      </c>
      <c r="I20" s="40">
        <f>IFERROR(G20/D20-1,0)</f>
        <v>-0.40195127188952018</v>
      </c>
      <c r="J20" s="41">
        <f t="shared" si="2"/>
        <v>-0.36601660399816349</v>
      </c>
      <c r="L20"/>
      <c r="M20"/>
      <c r="N20"/>
      <c r="O20"/>
      <c r="P20"/>
    </row>
    <row r="21" spans="3:18" ht="15" thickBot="1" x14ac:dyDescent="0.4"/>
    <row r="22" spans="3:18" ht="15.65" customHeight="1" x14ac:dyDescent="0.35">
      <c r="C22" s="526" t="s">
        <v>29</v>
      </c>
      <c r="D22" s="527"/>
      <c r="E22" s="528"/>
      <c r="F22"/>
      <c r="G22" s="526" t="s">
        <v>150</v>
      </c>
      <c r="H22" s="527"/>
      <c r="I22" s="528"/>
      <c r="J22" s="42"/>
    </row>
    <row r="23" spans="3:18" ht="16" customHeight="1" thickBot="1" x14ac:dyDescent="0.4">
      <c r="C23" s="529"/>
      <c r="D23" s="530"/>
      <c r="E23" s="531"/>
      <c r="F23"/>
      <c r="G23" s="529"/>
      <c r="H23" s="530"/>
      <c r="I23" s="531"/>
      <c r="J23" s="42"/>
      <c r="L23" s="2"/>
    </row>
    <row r="24" spans="3:18" ht="15" thickBot="1" x14ac:dyDescent="0.4">
      <c r="C24" s="511">
        <f>E19-D19</f>
        <v>-6403512690</v>
      </c>
      <c r="D24" s="512"/>
      <c r="E24" s="513"/>
      <c r="F24"/>
      <c r="G24"/>
      <c r="H24"/>
      <c r="I24"/>
      <c r="J24"/>
      <c r="L24" s="5"/>
    </row>
    <row r="25" spans="3:18" ht="21.5" thickBot="1" x14ac:dyDescent="0.4">
      <c r="C25" s="514"/>
      <c r="D25" s="515"/>
      <c r="E25" s="516"/>
      <c r="F25"/>
      <c r="G25" s="532">
        <f>G19-F19</f>
        <v>-88435418038.49649</v>
      </c>
      <c r="H25" s="533"/>
      <c r="I25" s="534"/>
      <c r="J25" s="43"/>
      <c r="L25" s="2"/>
      <c r="M25" s="156"/>
    </row>
    <row r="26" spans="3:18" ht="21.5" customHeight="1" thickBot="1" x14ac:dyDescent="0.4">
      <c r="C26" s="526" t="s">
        <v>149</v>
      </c>
      <c r="D26" s="527"/>
      <c r="E26" s="528"/>
      <c r="F26"/>
      <c r="G26" s="535"/>
      <c r="H26" s="536"/>
      <c r="I26" s="537"/>
      <c r="J26" s="43"/>
      <c r="L26" s="2"/>
      <c r="M26" s="156"/>
    </row>
    <row r="27" spans="3:18" ht="15" customHeight="1" thickBot="1" x14ac:dyDescent="0.4">
      <c r="C27" s="529"/>
      <c r="D27" s="530"/>
      <c r="E27" s="531"/>
      <c r="F27"/>
      <c r="G27"/>
      <c r="H27"/>
      <c r="I27"/>
      <c r="J27"/>
      <c r="L27" s="2"/>
      <c r="M27" s="156"/>
    </row>
    <row r="28" spans="3:18" x14ac:dyDescent="0.35">
      <c r="C28" s="511">
        <f>G19-E19</f>
        <v>-39006950333.496498</v>
      </c>
      <c r="D28" s="512"/>
      <c r="E28" s="513"/>
      <c r="F28"/>
      <c r="G28"/>
      <c r="H28"/>
      <c r="I28"/>
      <c r="J28"/>
      <c r="L28" s="2"/>
      <c r="M28" s="161"/>
    </row>
    <row r="29" spans="3:18" ht="15" thickBot="1" x14ac:dyDescent="0.4">
      <c r="C29" s="514"/>
      <c r="D29" s="515"/>
      <c r="E29" s="516"/>
      <c r="F29"/>
      <c r="G29" s="539" t="s">
        <v>30</v>
      </c>
      <c r="H29" s="539"/>
      <c r="I29" s="539"/>
      <c r="J29" s="44"/>
    </row>
    <row r="30" spans="3:18" x14ac:dyDescent="0.35">
      <c r="C30" s="1"/>
      <c r="D30"/>
      <c r="E30"/>
      <c r="F30"/>
      <c r="G30" s="518"/>
      <c r="H30" s="519"/>
      <c r="I30" s="520"/>
    </row>
    <row r="31" spans="3:18" x14ac:dyDescent="0.35">
      <c r="C31" s="1"/>
      <c r="D31"/>
      <c r="E31"/>
      <c r="F31"/>
      <c r="G31" s="521"/>
      <c r="H31" s="522"/>
      <c r="I31" s="523"/>
    </row>
    <row r="32" spans="3:18" ht="15" thickBot="1" x14ac:dyDescent="0.4">
      <c r="C32" s="1"/>
      <c r="D32"/>
      <c r="E32"/>
      <c r="F32"/>
      <c r="G32" s="524"/>
      <c r="H32" s="517"/>
      <c r="I32" s="525"/>
      <c r="R32" s="154"/>
    </row>
    <row r="33" spans="1:43" x14ac:dyDescent="0.35">
      <c r="R33" s="154"/>
    </row>
    <row r="34" spans="1:43" ht="15" thickBot="1" x14ac:dyDescent="0.4">
      <c r="R34" s="156"/>
    </row>
    <row r="35" spans="1:43" ht="12" customHeight="1" thickBot="1" x14ac:dyDescent="0.4">
      <c r="B35" s="45"/>
      <c r="C35" s="46"/>
      <c r="D35" s="47"/>
      <c r="E35" s="47"/>
      <c r="F35" s="47"/>
      <c r="G35" s="47"/>
      <c r="H35" s="349"/>
      <c r="I35" s="349"/>
      <c r="J35" s="349"/>
      <c r="K35" s="46"/>
      <c r="L35" s="46"/>
      <c r="M35" s="46"/>
      <c r="N35" s="46"/>
      <c r="O35" s="46"/>
      <c r="P35" s="46"/>
      <c r="Q35" s="46"/>
      <c r="R35" s="46"/>
      <c r="S35" s="46"/>
      <c r="T35" s="48"/>
      <c r="V35" s="45"/>
      <c r="W35" s="46"/>
      <c r="X35" s="47"/>
      <c r="Y35" s="47"/>
      <c r="Z35" s="47"/>
      <c r="AA35" s="47"/>
      <c r="AB35" s="349"/>
      <c r="AC35" s="349"/>
      <c r="AD35" s="349"/>
      <c r="AE35" s="46"/>
      <c r="AF35" s="46"/>
      <c r="AG35" s="46"/>
      <c r="AH35" s="46"/>
      <c r="AI35" s="46"/>
      <c r="AJ35" s="46"/>
      <c r="AK35" s="46"/>
      <c r="AL35" s="46"/>
      <c r="AM35" s="46"/>
      <c r="AN35" s="48"/>
    </row>
    <row r="36" spans="1:43" ht="15" customHeight="1" thickBot="1" x14ac:dyDescent="0.4">
      <c r="B36" s="49"/>
      <c r="C36" s="498" t="s">
        <v>2</v>
      </c>
      <c r="D36" s="558" t="s">
        <v>48</v>
      </c>
      <c r="E36" s="551"/>
      <c r="F36" s="551"/>
      <c r="G36" s="551"/>
      <c r="H36" s="552"/>
      <c r="I36" s="551" t="s">
        <v>4</v>
      </c>
      <c r="J36" s="552"/>
      <c r="L36" s="498" t="s">
        <v>2</v>
      </c>
      <c r="M36" s="502" t="s">
        <v>140</v>
      </c>
      <c r="N36" s="500"/>
      <c r="O36" s="500"/>
      <c r="P36" s="502" t="s">
        <v>167</v>
      </c>
      <c r="Q36" s="501"/>
      <c r="R36" s="502" t="s">
        <v>4</v>
      </c>
      <c r="S36" s="501"/>
      <c r="T36" s="50"/>
      <c r="V36" s="49"/>
      <c r="W36" s="557" t="s">
        <v>2</v>
      </c>
      <c r="X36" s="553" t="s">
        <v>50</v>
      </c>
      <c r="Y36" s="554"/>
      <c r="Z36" s="554"/>
      <c r="AA36" s="554"/>
      <c r="AB36" s="555"/>
      <c r="AC36" s="551" t="s">
        <v>4</v>
      </c>
      <c r="AD36" s="552"/>
      <c r="AF36" s="498" t="s">
        <v>2</v>
      </c>
      <c r="AG36" s="502" t="s">
        <v>33</v>
      </c>
      <c r="AH36" s="509"/>
      <c r="AI36" s="500"/>
      <c r="AJ36" s="502" t="s">
        <v>51</v>
      </c>
      <c r="AK36" s="501"/>
      <c r="AL36" s="502" t="s">
        <v>4</v>
      </c>
      <c r="AM36" s="501"/>
      <c r="AN36" s="50"/>
    </row>
    <row r="37" spans="1:43" ht="15" customHeight="1" thickBot="1" x14ac:dyDescent="0.4">
      <c r="B37" s="49"/>
      <c r="C37" s="499"/>
      <c r="D37" s="51">
        <v>2024</v>
      </c>
      <c r="E37" s="367">
        <v>2025</v>
      </c>
      <c r="F37" s="356" t="s">
        <v>5</v>
      </c>
      <c r="G37" s="51">
        <v>2026</v>
      </c>
      <c r="H37" s="52" t="s">
        <v>6</v>
      </c>
      <c r="I37" s="53" t="s">
        <v>8</v>
      </c>
      <c r="J37" s="53" t="s">
        <v>7</v>
      </c>
      <c r="L37" s="499"/>
      <c r="M37" s="120">
        <v>2024</v>
      </c>
      <c r="N37" s="358">
        <v>2025</v>
      </c>
      <c r="O37" s="155" t="s">
        <v>5</v>
      </c>
      <c r="P37" s="54">
        <v>2026</v>
      </c>
      <c r="Q37" s="55" t="s">
        <v>6</v>
      </c>
      <c r="R37" s="6" t="s">
        <v>8</v>
      </c>
      <c r="S37" s="6" t="s">
        <v>7</v>
      </c>
      <c r="T37" s="50"/>
      <c r="V37" s="49"/>
      <c r="W37" s="562"/>
      <c r="X37" s="362">
        <v>2024</v>
      </c>
      <c r="Y37" s="368">
        <v>2025</v>
      </c>
      <c r="Z37" s="356" t="s">
        <v>5</v>
      </c>
      <c r="AA37" s="51">
        <v>2026</v>
      </c>
      <c r="AB37" s="52" t="s">
        <v>6</v>
      </c>
      <c r="AC37" s="53" t="s">
        <v>8</v>
      </c>
      <c r="AD37" s="53" t="s">
        <v>7</v>
      </c>
      <c r="AF37" s="556"/>
      <c r="AG37" s="6">
        <v>2024</v>
      </c>
      <c r="AH37" s="6">
        <v>2025</v>
      </c>
      <c r="AI37" s="155" t="s">
        <v>5</v>
      </c>
      <c r="AJ37" s="6">
        <v>2026</v>
      </c>
      <c r="AK37" s="6" t="s">
        <v>6</v>
      </c>
      <c r="AL37" s="6" t="s">
        <v>8</v>
      </c>
      <c r="AM37" s="7" t="s">
        <v>7</v>
      </c>
      <c r="AN37" s="50"/>
    </row>
    <row r="38" spans="1:43" x14ac:dyDescent="0.35">
      <c r="B38" s="49"/>
      <c r="C38" s="8" t="s">
        <v>9</v>
      </c>
      <c r="D38" s="57">
        <f>SUM(M38,M57,D57,D76,M76)</f>
        <v>4931480813</v>
      </c>
      <c r="E38" s="26">
        <f>SUM(N38,N57,E57,E76,N76)</f>
        <v>5415014037</v>
      </c>
      <c r="F38" s="26">
        <f>SUM(O38,O57,F57,F76,O76)</f>
        <v>8424000000</v>
      </c>
      <c r="G38" s="57">
        <f t="shared" ref="G38:G43" si="10">P38+P57+P76+G76+G57</f>
        <v>5270965802.3813</v>
      </c>
      <c r="H38" s="27">
        <f>IFERROR(G38/F38,0)</f>
        <v>0.62570819116587129</v>
      </c>
      <c r="I38" s="13">
        <f>IFERROR(G38/D38-1,0)</f>
        <v>6.8840375184341163E-2</v>
      </c>
      <c r="J38" s="14">
        <f t="shared" ref="J38:J53" si="11">IFERROR(G38/E38-1,0)</f>
        <v>-2.6601636419488428E-2</v>
      </c>
      <c r="L38" s="8" t="s">
        <v>9</v>
      </c>
      <c r="M38" s="11">
        <v>836820454</v>
      </c>
      <c r="N38" s="11">
        <v>983046169</v>
      </c>
      <c r="O38" s="26">
        <v>1263600000</v>
      </c>
      <c r="P38" s="60">
        <f>JAN!AB120</f>
        <v>733282707.20420003</v>
      </c>
      <c r="Q38" s="27">
        <f>IFERROR(P38/O38,0)</f>
        <v>0.5803123672081355</v>
      </c>
      <c r="R38" s="13">
        <f>IFERROR(P38/M38-1,0)</f>
        <v>-0.12372755266782709</v>
      </c>
      <c r="S38" s="14">
        <f t="shared" ref="S38:S53" si="12">IFERROR(P38/N38-1,0)</f>
        <v>-0.25407093753274168</v>
      </c>
      <c r="T38" s="50"/>
      <c r="V38" s="49"/>
      <c r="W38" s="63" t="s">
        <v>9</v>
      </c>
      <c r="X38" s="61">
        <f>SUM(AG38,AG57,X57,X76,AG76)</f>
        <v>3976012893</v>
      </c>
      <c r="Y38" s="56">
        <f>SUM(AH38,AH57,Y57,Y76,AH76)</f>
        <v>3194858778</v>
      </c>
      <c r="Z38" s="61">
        <f>SUM(AI38,Z57,AI57,Z76,AI76)</f>
        <v>5616000000</v>
      </c>
      <c r="AA38" s="60">
        <f>AJ38+AJ57+AJ76+AA76+AA57</f>
        <v>3630468343.0545006</v>
      </c>
      <c r="AB38" s="58">
        <f>IFERROR(AA38/Z38,0)</f>
        <v>0.64645091578605784</v>
      </c>
      <c r="AC38" s="59">
        <f>IFERROR(AA38/X38-1,0)</f>
        <v>-8.6907301169432905E-2</v>
      </c>
      <c r="AD38" s="14">
        <f t="shared" ref="AD38:AD53" si="13">IFERROR(AA38/Y38-1,0)</f>
        <v>0.13634704859386448</v>
      </c>
      <c r="AF38" s="8" t="s">
        <v>9</v>
      </c>
      <c r="AG38" s="77">
        <v>941001152</v>
      </c>
      <c r="AH38" s="77">
        <v>934369647</v>
      </c>
      <c r="AI38" s="62">
        <v>1291680000</v>
      </c>
      <c r="AJ38" s="60">
        <f>JAN!AB132</f>
        <v>1035200972.7918</v>
      </c>
      <c r="AK38" s="58">
        <f>IFERROR(AJ38/AI38,0)</f>
        <v>0.80143764151477148</v>
      </c>
      <c r="AL38" s="59">
        <f>IFERROR(AJ38/AG38-1,0)</f>
        <v>0.10010595692852031</v>
      </c>
      <c r="AM38" s="14">
        <f t="shared" ref="AM38:AM53" si="14">IFERROR(AJ38/AH38-1,0)</f>
        <v>0.10791374282709332</v>
      </c>
      <c r="AN38" s="50"/>
    </row>
    <row r="39" spans="1:43" x14ac:dyDescent="0.35">
      <c r="B39" s="49"/>
      <c r="C39" s="8" t="s">
        <v>10</v>
      </c>
      <c r="D39" s="56">
        <f t="shared" ref="D39:D43" si="15">SUM(M39,M58,D58,D77,M77)</f>
        <v>5054407322</v>
      </c>
      <c r="E39" s="10">
        <f t="shared" ref="E39:E43" si="16">SUM(N39,N58,E58,E77,N77)</f>
        <v>6207347191</v>
      </c>
      <c r="F39" s="10">
        <f t="shared" ref="F39:F43" si="17">SUM(O39,O58,F58,F77,O77)</f>
        <v>7488000000</v>
      </c>
      <c r="G39" s="57">
        <f t="shared" si="10"/>
        <v>4882480795.3762999</v>
      </c>
      <c r="H39" s="12">
        <f t="shared" ref="H39:H53" si="18">IFERROR(G39/F39,0)</f>
        <v>0.65204070451072382</v>
      </c>
      <c r="I39" s="15">
        <f t="shared" ref="I39:I50" si="19">IFERROR(G39/D39-1,0)</f>
        <v>-3.4015170458337685E-2</v>
      </c>
      <c r="J39" s="14">
        <f t="shared" si="11"/>
        <v>-0.21343520103799207</v>
      </c>
      <c r="K39" s="3"/>
      <c r="L39" s="8" t="s">
        <v>10</v>
      </c>
      <c r="M39" s="9">
        <v>975201426</v>
      </c>
      <c r="N39" s="9">
        <v>1165741463</v>
      </c>
      <c r="O39" s="10">
        <v>1123200000</v>
      </c>
      <c r="P39" s="60">
        <f>FEB!AB120</f>
        <v>680051563.87639999</v>
      </c>
      <c r="Q39" s="12">
        <f t="shared" ref="Q39:Q51" si="20">IFERROR(P39/O39,0)</f>
        <v>0.60545901342272079</v>
      </c>
      <c r="R39" s="15">
        <f t="shared" ref="R39:R50" si="21">IFERROR(P39/M39-1,0)</f>
        <v>-0.30265528151883569</v>
      </c>
      <c r="S39" s="14">
        <f t="shared" si="12"/>
        <v>-0.41663603340803534</v>
      </c>
      <c r="T39" s="50"/>
      <c r="U39" s="3"/>
      <c r="V39" s="49"/>
      <c r="W39" s="63" t="s">
        <v>10</v>
      </c>
      <c r="X39" s="61">
        <f t="shared" ref="X39:X43" si="22">SUM(AG39,AG58,X58,X77,AG77)</f>
        <v>3553290990</v>
      </c>
      <c r="Y39" s="360">
        <f t="shared" ref="Y39:Y43" si="23">SUM(AH39,AH58,Y58,Y77,AH77)</f>
        <v>3612789585</v>
      </c>
      <c r="Z39" s="61">
        <f t="shared" ref="Z39:Z43" si="24">SUM(AI39,Z58,AI58,Z77,AI77)</f>
        <v>4992000000</v>
      </c>
      <c r="AA39" s="60">
        <f t="shared" ref="AA39:AA43" si="25">AJ39+AJ58+AJ77+AA77+AA58</f>
        <v>3306061414.6683002</v>
      </c>
      <c r="AB39" s="12">
        <f>IFERROR(AA39/Z39,0)</f>
        <v>0.66227191800246399</v>
      </c>
      <c r="AC39" s="15">
        <f t="shared" ref="AC39:AC50" si="26">IFERROR(AA39/X39-1,0)</f>
        <v>-6.9577632686846136E-2</v>
      </c>
      <c r="AD39" s="14">
        <f t="shared" si="13"/>
        <v>-8.4900646194621898E-2</v>
      </c>
      <c r="AE39" s="3"/>
      <c r="AF39" s="8" t="s">
        <v>10</v>
      </c>
      <c r="AG39" s="77">
        <v>797035043</v>
      </c>
      <c r="AH39" s="77">
        <v>1070224283</v>
      </c>
      <c r="AI39" s="62">
        <v>1148160000</v>
      </c>
      <c r="AJ39" s="60">
        <f>FEB!AB132</f>
        <v>850962941.44160008</v>
      </c>
      <c r="AK39" s="12">
        <f t="shared" ref="AK39:AK51" si="27">IFERROR(AJ39/AI39,0)</f>
        <v>0.74115362096014503</v>
      </c>
      <c r="AL39" s="15">
        <f t="shared" ref="AL39:AL50" si="28">IFERROR(AJ39/AG39-1,0)</f>
        <v>6.7660636649824246E-2</v>
      </c>
      <c r="AM39" s="14">
        <f t="shared" si="14"/>
        <v>-0.20487419790530015</v>
      </c>
      <c r="AN39" s="50"/>
      <c r="AO39" s="3"/>
    </row>
    <row r="40" spans="1:43" x14ac:dyDescent="0.35">
      <c r="A40" s="3"/>
      <c r="B40" s="49"/>
      <c r="C40" s="8" t="s">
        <v>11</v>
      </c>
      <c r="D40" s="56">
        <f t="shared" si="15"/>
        <v>5681006216</v>
      </c>
      <c r="E40" s="10">
        <f t="shared" si="16"/>
        <v>5298736080</v>
      </c>
      <c r="F40" s="10">
        <f t="shared" si="17"/>
        <v>7488000000</v>
      </c>
      <c r="G40" s="57">
        <f t="shared" si="10"/>
        <v>2479523794.2728</v>
      </c>
      <c r="H40" s="12">
        <f t="shared" si="18"/>
        <v>0.33113298534626068</v>
      </c>
      <c r="I40" s="15">
        <f t="shared" si="19"/>
        <v>-0.56354143966794767</v>
      </c>
      <c r="J40" s="14">
        <f t="shared" si="11"/>
        <v>-0.53205372812740659</v>
      </c>
      <c r="L40" s="8" t="s">
        <v>11</v>
      </c>
      <c r="M40" s="9">
        <v>1158307997</v>
      </c>
      <c r="N40" s="9">
        <v>1206859159</v>
      </c>
      <c r="O40" s="10">
        <v>1123200000</v>
      </c>
      <c r="P40" s="60">
        <f>MAR!AB120</f>
        <v>414591133.54109991</v>
      </c>
      <c r="Q40" s="12">
        <f t="shared" si="20"/>
        <v>0.3691160376968482</v>
      </c>
      <c r="R40" s="15">
        <f t="shared" si="21"/>
        <v>-0.64207176794524035</v>
      </c>
      <c r="S40" s="14">
        <f t="shared" si="12"/>
        <v>-0.65647098880649102</v>
      </c>
      <c r="T40" s="50"/>
      <c r="U40" s="3"/>
      <c r="V40" s="49"/>
      <c r="W40" s="63" t="s">
        <v>11</v>
      </c>
      <c r="X40" s="61">
        <f t="shared" si="22"/>
        <v>4179517324</v>
      </c>
      <c r="Y40" s="360">
        <f t="shared" si="23"/>
        <v>3534361384</v>
      </c>
      <c r="Z40" s="61">
        <f t="shared" si="24"/>
        <v>4992000000</v>
      </c>
      <c r="AA40" s="60">
        <f t="shared" si="25"/>
        <v>2083028293.6329999</v>
      </c>
      <c r="AB40" s="12">
        <f t="shared" ref="AB40:AB51" si="29">IFERROR(AA40/Z40,0)</f>
        <v>0.4172732960002003</v>
      </c>
      <c r="AC40" s="15">
        <f t="shared" si="26"/>
        <v>-0.50161032192123056</v>
      </c>
      <c r="AD40" s="14">
        <f t="shared" si="13"/>
        <v>-0.41063517073753775</v>
      </c>
      <c r="AF40" s="8" t="s">
        <v>11</v>
      </c>
      <c r="AG40" s="77">
        <v>1134788558</v>
      </c>
      <c r="AH40" s="77">
        <v>908066181</v>
      </c>
      <c r="AI40" s="62">
        <v>1148160000</v>
      </c>
      <c r="AJ40" s="60">
        <f>MAR!AB132</f>
        <v>480316756.75709999</v>
      </c>
      <c r="AK40" s="12">
        <f t="shared" si="27"/>
        <v>0.4183360827385556</v>
      </c>
      <c r="AL40" s="15">
        <f t="shared" si="28"/>
        <v>-0.57673457899185121</v>
      </c>
      <c r="AM40" s="14">
        <f t="shared" si="14"/>
        <v>-0.4710553406711443</v>
      </c>
      <c r="AN40" s="50"/>
    </row>
    <row r="41" spans="1:43" x14ac:dyDescent="0.35">
      <c r="B41" s="49"/>
      <c r="C41" s="8" t="s">
        <v>12</v>
      </c>
      <c r="D41" s="56">
        <f t="shared" si="15"/>
        <v>4116750569</v>
      </c>
      <c r="E41" s="10">
        <f t="shared" si="16"/>
        <v>5655657362</v>
      </c>
      <c r="F41" s="10">
        <f t="shared" si="17"/>
        <v>8424000000</v>
      </c>
      <c r="G41" s="57">
        <f t="shared" si="10"/>
        <v>5207794406.5929995</v>
      </c>
      <c r="H41" s="12">
        <f t="shared" si="18"/>
        <v>0.61820921255852324</v>
      </c>
      <c r="I41" s="15">
        <f t="shared" si="19"/>
        <v>0.26502549020307176</v>
      </c>
      <c r="J41" s="14">
        <f t="shared" si="11"/>
        <v>-7.9188488046705752E-2</v>
      </c>
      <c r="L41" s="8" t="s">
        <v>12</v>
      </c>
      <c r="M41" s="9">
        <v>578321343</v>
      </c>
      <c r="N41" s="9">
        <v>965338676</v>
      </c>
      <c r="O41" s="10">
        <v>1263600000</v>
      </c>
      <c r="P41" s="60">
        <f>APR!AB120</f>
        <v>903315071.62329996</v>
      </c>
      <c r="Q41" s="12">
        <f t="shared" si="20"/>
        <v>0.71487422572277615</v>
      </c>
      <c r="R41" s="15">
        <f t="shared" si="21"/>
        <v>0.56196046118135401</v>
      </c>
      <c r="S41" s="14">
        <f t="shared" si="12"/>
        <v>-6.4250615787717624E-2</v>
      </c>
      <c r="T41" s="50"/>
      <c r="V41" s="49"/>
      <c r="W41" s="63" t="s">
        <v>12</v>
      </c>
      <c r="X41" s="61">
        <f t="shared" si="22"/>
        <v>2937657355</v>
      </c>
      <c r="Y41" s="360">
        <f t="shared" si="23"/>
        <v>3002156904</v>
      </c>
      <c r="Z41" s="61">
        <f t="shared" si="24"/>
        <v>5616000000</v>
      </c>
      <c r="AA41" s="60">
        <f t="shared" si="25"/>
        <v>3629852377.9211998</v>
      </c>
      <c r="AB41" s="12">
        <f t="shared" si="29"/>
        <v>0.64634123538482902</v>
      </c>
      <c r="AC41" s="15">
        <f t="shared" si="26"/>
        <v>0.23562823681361555</v>
      </c>
      <c r="AD41" s="14">
        <f t="shared" si="13"/>
        <v>0.20908150173126328</v>
      </c>
      <c r="AF41" s="8" t="s">
        <v>12</v>
      </c>
      <c r="AG41" s="77">
        <v>772151713</v>
      </c>
      <c r="AH41" s="77">
        <v>694682878</v>
      </c>
      <c r="AI41" s="62">
        <v>1291680000</v>
      </c>
      <c r="AJ41" s="60">
        <f>APR!AB132</f>
        <v>733997847.0734998</v>
      </c>
      <c r="AK41" s="12">
        <f t="shared" si="27"/>
        <v>0.56825053192237995</v>
      </c>
      <c r="AL41" s="15">
        <f t="shared" si="28"/>
        <v>-4.9412395626583505E-2</v>
      </c>
      <c r="AM41" s="14">
        <f t="shared" si="14"/>
        <v>5.6594124194752071E-2</v>
      </c>
      <c r="AN41" s="50"/>
    </row>
    <row r="42" spans="1:43" x14ac:dyDescent="0.35">
      <c r="B42" s="49"/>
      <c r="C42" s="8" t="s">
        <v>13</v>
      </c>
      <c r="D42" s="56">
        <f t="shared" si="15"/>
        <v>5275071775</v>
      </c>
      <c r="E42" s="10">
        <f t="shared" si="16"/>
        <v>5797856229</v>
      </c>
      <c r="F42" s="10">
        <f t="shared" si="17"/>
        <v>7488000000</v>
      </c>
      <c r="G42" s="57">
        <f t="shared" si="10"/>
        <v>3612520262.4734001</v>
      </c>
      <c r="H42" s="12">
        <f t="shared" si="18"/>
        <v>0.48244127436877671</v>
      </c>
      <c r="I42" s="15">
        <f t="shared" si="19"/>
        <v>-0.31517135376354188</v>
      </c>
      <c r="J42" s="14">
        <f t="shared" si="11"/>
        <v>-0.37692137924977853</v>
      </c>
      <c r="K42" s="3"/>
      <c r="L42" s="8" t="s">
        <v>13</v>
      </c>
      <c r="M42" s="9">
        <v>958724742</v>
      </c>
      <c r="N42" s="9">
        <v>982276385</v>
      </c>
      <c r="O42" s="10">
        <v>1123200000</v>
      </c>
      <c r="P42" s="60">
        <f>MEI!AB120</f>
        <v>481485119.36979985</v>
      </c>
      <c r="Q42" s="12">
        <f t="shared" si="20"/>
        <v>0.42867264901157393</v>
      </c>
      <c r="R42" s="15">
        <f t="shared" si="21"/>
        <v>-0.4977858625350885</v>
      </c>
      <c r="S42" s="14">
        <f t="shared" si="12"/>
        <v>-0.50982724748106423</v>
      </c>
      <c r="T42" s="50"/>
      <c r="U42" s="3"/>
      <c r="V42" s="49"/>
      <c r="W42" s="63" t="s">
        <v>13</v>
      </c>
      <c r="X42" s="61">
        <f t="shared" si="22"/>
        <v>3913782237</v>
      </c>
      <c r="Y42" s="360">
        <f t="shared" si="23"/>
        <v>3892908642</v>
      </c>
      <c r="Z42" s="61">
        <f t="shared" si="24"/>
        <v>4992000000</v>
      </c>
      <c r="AA42" s="60">
        <f t="shared" si="25"/>
        <v>2489325510.7729001</v>
      </c>
      <c r="AB42" s="12">
        <f t="shared" si="29"/>
        <v>0.49866296289521234</v>
      </c>
      <c r="AC42" s="15">
        <f t="shared" si="26"/>
        <v>-0.36395911677471793</v>
      </c>
      <c r="AD42" s="14">
        <f t="shared" si="13"/>
        <v>-0.36054869515406929</v>
      </c>
      <c r="AE42" s="3"/>
      <c r="AF42" s="8" t="s">
        <v>13</v>
      </c>
      <c r="AG42" s="77">
        <v>1015406542</v>
      </c>
      <c r="AH42" s="77">
        <v>1182503505</v>
      </c>
      <c r="AI42" s="62">
        <v>1148160000</v>
      </c>
      <c r="AJ42" s="60">
        <f>MEI!AB132</f>
        <v>634333526.30680025</v>
      </c>
      <c r="AK42" s="12">
        <f t="shared" si="27"/>
        <v>0.55247833603922825</v>
      </c>
      <c r="AL42" s="15">
        <f t="shared" si="28"/>
        <v>-0.37529107793871175</v>
      </c>
      <c r="AM42" s="14">
        <f t="shared" si="14"/>
        <v>-0.4635673182999992</v>
      </c>
      <c r="AN42" s="50"/>
      <c r="AO42" s="3"/>
    </row>
    <row r="43" spans="1:43" ht="15" thickBot="1" x14ac:dyDescent="0.4">
      <c r="B43" s="49"/>
      <c r="C43" s="8" t="s">
        <v>14</v>
      </c>
      <c r="D43" s="64">
        <f t="shared" si="15"/>
        <v>6321855138</v>
      </c>
      <c r="E43" s="17">
        <f t="shared" si="16"/>
        <v>5361655738</v>
      </c>
      <c r="F43" s="17">
        <f t="shared" si="17"/>
        <v>7488000000</v>
      </c>
      <c r="G43" s="57">
        <f t="shared" si="10"/>
        <v>4757200184.2616005</v>
      </c>
      <c r="H43" s="27">
        <f t="shared" si="18"/>
        <v>0.63530985366741455</v>
      </c>
      <c r="I43" s="19">
        <f t="shared" si="19"/>
        <v>-0.24749933675851332</v>
      </c>
      <c r="J43" s="14">
        <f t="shared" si="11"/>
        <v>-0.11273673344120239</v>
      </c>
      <c r="L43" s="8" t="s">
        <v>14</v>
      </c>
      <c r="M43" s="16">
        <v>1228869577</v>
      </c>
      <c r="N43" s="16">
        <v>977799075</v>
      </c>
      <c r="O43" s="17">
        <v>1123200000</v>
      </c>
      <c r="P43" s="60">
        <f>JUN!AB120</f>
        <v>827100335.5400002</v>
      </c>
      <c r="Q43" s="27">
        <f t="shared" si="20"/>
        <v>0.73637850386396031</v>
      </c>
      <c r="R43" s="19">
        <f t="shared" si="21"/>
        <v>-0.32694213363213553</v>
      </c>
      <c r="S43" s="14">
        <f t="shared" si="12"/>
        <v>-0.15412035387740552</v>
      </c>
      <c r="T43" s="50"/>
      <c r="V43" s="49"/>
      <c r="W43" s="63" t="s">
        <v>14</v>
      </c>
      <c r="X43" s="363">
        <f t="shared" si="22"/>
        <v>4458855441</v>
      </c>
      <c r="Y43" s="360">
        <f t="shared" si="23"/>
        <v>3199151885</v>
      </c>
      <c r="Z43" s="61">
        <f t="shared" si="24"/>
        <v>4992000000</v>
      </c>
      <c r="AA43" s="60">
        <f t="shared" si="25"/>
        <v>3225687148.2182999</v>
      </c>
      <c r="AB43" s="27">
        <f>IFERROR(AA43/Z43,0)</f>
        <v>0.64617130372962739</v>
      </c>
      <c r="AC43" s="19">
        <f t="shared" si="26"/>
        <v>-0.27656610740112575</v>
      </c>
      <c r="AD43" s="14">
        <f t="shared" si="13"/>
        <v>8.2944680878445087E-3</v>
      </c>
      <c r="AF43" s="8" t="s">
        <v>14</v>
      </c>
      <c r="AG43" s="107">
        <v>1110720526</v>
      </c>
      <c r="AH43" s="107">
        <v>832300734</v>
      </c>
      <c r="AI43" s="66">
        <v>1148160000</v>
      </c>
      <c r="AJ43" s="65">
        <f>JUN!AB132</f>
        <v>749537836.11609972</v>
      </c>
      <c r="AK43" s="27">
        <f t="shared" si="27"/>
        <v>0.65281653786588956</v>
      </c>
      <c r="AL43" s="19">
        <f t="shared" ref="AL43" si="30">IFERROR(AJ43/AG43-1,0)</f>
        <v>-0.32517872986881335</v>
      </c>
      <c r="AM43" s="14">
        <f t="shared" ref="AM43" si="31">IFERROR(AJ43/AH43-1,0)</f>
        <v>-9.9438693855459559E-2</v>
      </c>
      <c r="AN43" s="50"/>
    </row>
    <row r="44" spans="1:43" ht="15" customHeight="1" thickBot="1" x14ac:dyDescent="0.4">
      <c r="B44" s="49"/>
      <c r="C44" s="67" t="s">
        <v>52</v>
      </c>
      <c r="D44" s="68">
        <f>SUM(D38:D43)</f>
        <v>31380571833</v>
      </c>
      <c r="E44" s="69">
        <f>SUM(E38:E43)</f>
        <v>33736266637</v>
      </c>
      <c r="F44" s="69">
        <f>SUM(F38:F43)</f>
        <v>46800000000</v>
      </c>
      <c r="G44" s="70">
        <f>SUM(G38:G43)</f>
        <v>26210485245.358398</v>
      </c>
      <c r="H44" s="71">
        <f t="shared" si="18"/>
        <v>0.56005310353329907</v>
      </c>
      <c r="I44" s="23">
        <f t="shared" si="19"/>
        <v>-0.16475437780916113</v>
      </c>
      <c r="J44" s="24">
        <f t="shared" si="11"/>
        <v>-0.22307688851936436</v>
      </c>
      <c r="L44" s="20" t="s">
        <v>15</v>
      </c>
      <c r="M44" s="72">
        <f>SUM(M38:M43)</f>
        <v>5736245539</v>
      </c>
      <c r="N44" s="21">
        <f>SUM(N38:N43)</f>
        <v>6281060927</v>
      </c>
      <c r="O44" s="21">
        <f>SUM(O38:O43)</f>
        <v>7020000000</v>
      </c>
      <c r="P44" s="73">
        <f>SUM(P38:P43)</f>
        <v>4039825931.1547995</v>
      </c>
      <c r="Q44" s="71">
        <f t="shared" si="20"/>
        <v>0.57547377936678057</v>
      </c>
      <c r="R44" s="23">
        <f t="shared" si="21"/>
        <v>-0.2957369234478302</v>
      </c>
      <c r="S44" s="24">
        <f t="shared" si="12"/>
        <v>-0.35682427250640814</v>
      </c>
      <c r="T44" s="50"/>
      <c r="V44" s="49"/>
      <c r="W44" s="359" t="s">
        <v>15</v>
      </c>
      <c r="X44" s="85">
        <f>SUM(X38:X43)</f>
        <v>23019116240</v>
      </c>
      <c r="Y44" s="361">
        <f>SUM(Y38:Y43)</f>
        <v>20436227178</v>
      </c>
      <c r="Z44" s="74">
        <f>SUM(Z38:Z43)</f>
        <v>31200000000</v>
      </c>
      <c r="AA44" s="74">
        <f>SUM(AA38:AA43)</f>
        <v>18364423088.2682</v>
      </c>
      <c r="AB44" s="71">
        <f t="shared" si="29"/>
        <v>0.58860330411116024</v>
      </c>
      <c r="AC44" s="23">
        <f t="shared" si="26"/>
        <v>-0.2022098982081425</v>
      </c>
      <c r="AD44" s="24">
        <f t="shared" si="13"/>
        <v>-0.1013789909304853</v>
      </c>
      <c r="AF44" s="20" t="s">
        <v>15</v>
      </c>
      <c r="AG44" s="72">
        <f>SUM(AG38:AG43)</f>
        <v>5771103534</v>
      </c>
      <c r="AH44" s="76">
        <f>SUM(AH38:AH43)</f>
        <v>5622147228</v>
      </c>
      <c r="AI44" s="73">
        <f>SUM(AI38:AI43)</f>
        <v>7176000000</v>
      </c>
      <c r="AJ44" s="73">
        <f>SUM(AJ38:AJ43)</f>
        <v>4484349880.4868994</v>
      </c>
      <c r="AK44" s="71">
        <f t="shared" si="27"/>
        <v>0.62490940363529812</v>
      </c>
      <c r="AL44" s="23">
        <f t="shared" si="28"/>
        <v>-0.22296492272791391</v>
      </c>
      <c r="AM44" s="24">
        <f t="shared" si="14"/>
        <v>-0.20237772177977209</v>
      </c>
      <c r="AN44" s="50"/>
    </row>
    <row r="45" spans="1:43" x14ac:dyDescent="0.35">
      <c r="B45" s="49"/>
      <c r="C45" s="25" t="s">
        <v>16</v>
      </c>
      <c r="D45" s="57">
        <f t="shared" ref="D45:D50" si="32">SUM(M45,M64,D64,D83,M83)</f>
        <v>6005014016</v>
      </c>
      <c r="E45" s="26">
        <f t="shared" ref="E45:E50" si="33">SUM(N45,N64,E64,E83,N83)</f>
        <v>5467324251</v>
      </c>
      <c r="F45" s="26">
        <f t="shared" ref="F45:F50" si="34">SUM(O45,O64,F64,F83,O83)</f>
        <v>7488000000</v>
      </c>
      <c r="G45" s="57">
        <f t="shared" ref="G45:G50" si="35">P45+P64+P83+G83+G64</f>
        <v>6012344747.9347992</v>
      </c>
      <c r="H45" s="58">
        <f t="shared" si="18"/>
        <v>0.80293065544001052</v>
      </c>
      <c r="I45" s="13">
        <f t="shared" si="19"/>
        <v>1.2207684970038102E-3</v>
      </c>
      <c r="J45" s="14">
        <f t="shared" si="11"/>
        <v>9.968688007394344E-2</v>
      </c>
      <c r="L45" s="25" t="s">
        <v>16</v>
      </c>
      <c r="M45" s="11">
        <v>1060334592</v>
      </c>
      <c r="N45" s="11">
        <v>780037874</v>
      </c>
      <c r="O45" s="26">
        <v>1123200000</v>
      </c>
      <c r="P45" s="60">
        <f>JUL!Q120</f>
        <v>928259879.1954999</v>
      </c>
      <c r="Q45" s="58">
        <f t="shared" si="20"/>
        <v>0.82644220013844361</v>
      </c>
      <c r="R45" s="13">
        <f t="shared" si="21"/>
        <v>-0.12455946811598517</v>
      </c>
      <c r="S45" s="14">
        <f t="shared" si="12"/>
        <v>0.19001898514930304</v>
      </c>
      <c r="T45" s="50"/>
      <c r="V45" s="49"/>
      <c r="W45" s="25" t="s">
        <v>16</v>
      </c>
      <c r="X45" s="57">
        <f t="shared" ref="X45:X50" si="36">SUM(AG45,AG64,X64,X83,AG83)</f>
        <v>3992383594</v>
      </c>
      <c r="Y45" s="61">
        <f t="shared" ref="Y45:Y50" si="37">SUM(AH45,AH64,Y64,Y83,AH83)</f>
        <v>3670377358</v>
      </c>
      <c r="Z45" s="61">
        <f t="shared" ref="Z45:Z50" si="38">SUM(AI45,Z64,AI64,Z83,AI83)</f>
        <v>4992000000</v>
      </c>
      <c r="AA45" s="60">
        <f t="shared" ref="AA45:AA50" si="39">AJ45+AJ64+AJ83+AA83+AA64</f>
        <v>3425412867.6519995</v>
      </c>
      <c r="AB45" s="58">
        <f t="shared" si="29"/>
        <v>0.68618046227003193</v>
      </c>
      <c r="AC45" s="13">
        <f t="shared" si="26"/>
        <v>-0.14201308892263731</v>
      </c>
      <c r="AD45" s="14">
        <f t="shared" si="13"/>
        <v>-6.6740955072118968E-2</v>
      </c>
      <c r="AF45" s="25" t="s">
        <v>16</v>
      </c>
      <c r="AG45" s="77">
        <v>1126785624</v>
      </c>
      <c r="AH45" s="77">
        <v>1047765914</v>
      </c>
      <c r="AI45" s="78">
        <v>1148160000</v>
      </c>
      <c r="AJ45" s="60">
        <f>JUL!Q133</f>
        <v>936566393.25959992</v>
      </c>
      <c r="AK45" s="58">
        <f t="shared" si="27"/>
        <v>0.81571069647052674</v>
      </c>
      <c r="AL45" s="13">
        <f t="shared" si="28"/>
        <v>-0.16881581259897227</v>
      </c>
      <c r="AM45" s="14">
        <f t="shared" si="14"/>
        <v>-0.106130118621515</v>
      </c>
      <c r="AN45" s="50"/>
      <c r="AP45" s="3"/>
      <c r="AQ45" s="3"/>
    </row>
    <row r="46" spans="1:43" ht="15" customHeight="1" x14ac:dyDescent="0.35">
      <c r="B46" s="49"/>
      <c r="C46" s="28" t="s">
        <v>17</v>
      </c>
      <c r="D46" s="56">
        <f t="shared" si="32"/>
        <v>6045755577</v>
      </c>
      <c r="E46" s="10">
        <f t="shared" si="33"/>
        <v>6035960562</v>
      </c>
      <c r="F46" s="10">
        <f t="shared" si="34"/>
        <v>8424000000</v>
      </c>
      <c r="G46" s="57">
        <f t="shared" si="35"/>
        <v>4303644964.1849003</v>
      </c>
      <c r="H46" s="12">
        <f t="shared" si="18"/>
        <v>0.5108790318358144</v>
      </c>
      <c r="I46" s="15">
        <f t="shared" si="19"/>
        <v>-0.28815432424073661</v>
      </c>
      <c r="J46" s="14">
        <f t="shared" si="11"/>
        <v>-0.2869991578011738</v>
      </c>
      <c r="K46" s="3"/>
      <c r="L46" s="28" t="s">
        <v>17</v>
      </c>
      <c r="M46" s="9">
        <v>1283463128</v>
      </c>
      <c r="N46" s="9">
        <v>940191949</v>
      </c>
      <c r="O46" s="10">
        <v>1263600000</v>
      </c>
      <c r="P46" s="60">
        <f>AGS!Q120</f>
        <v>752929184.33990002</v>
      </c>
      <c r="Q46" s="12">
        <f t="shared" si="20"/>
        <v>0.59586038646715733</v>
      </c>
      <c r="R46" s="15">
        <f t="shared" si="21"/>
        <v>-0.41336126616026947</v>
      </c>
      <c r="S46" s="14">
        <f t="shared" si="12"/>
        <v>-0.19917503533110981</v>
      </c>
      <c r="T46" s="50"/>
      <c r="U46" s="3"/>
      <c r="V46" s="49"/>
      <c r="W46" s="28" t="s">
        <v>17</v>
      </c>
      <c r="X46" s="56">
        <f t="shared" si="36"/>
        <v>3783022794</v>
      </c>
      <c r="Y46" s="61">
        <f t="shared" si="37"/>
        <v>3443432787</v>
      </c>
      <c r="Z46" s="61">
        <f t="shared" si="38"/>
        <v>5616000000</v>
      </c>
      <c r="AA46" s="60">
        <f t="shared" si="39"/>
        <v>2835854000.1631002</v>
      </c>
      <c r="AB46" s="12">
        <f t="shared" si="29"/>
        <v>0.50495975786379987</v>
      </c>
      <c r="AC46" s="15">
        <f t="shared" si="26"/>
        <v>-0.2503735360355589</v>
      </c>
      <c r="AD46" s="14">
        <f t="shared" si="13"/>
        <v>-0.1764456646665773</v>
      </c>
      <c r="AE46" s="3"/>
      <c r="AF46" s="28" t="s">
        <v>17</v>
      </c>
      <c r="AG46" s="77">
        <v>974391726</v>
      </c>
      <c r="AH46" s="77">
        <v>1012302912</v>
      </c>
      <c r="AI46" s="62">
        <v>1291680000</v>
      </c>
      <c r="AJ46" s="60">
        <f>AGS!Q133</f>
        <v>712842175.25160003</v>
      </c>
      <c r="AK46" s="12">
        <f t="shared" si="27"/>
        <v>0.55187211635358602</v>
      </c>
      <c r="AL46" s="15">
        <f t="shared" si="28"/>
        <v>-0.26842341100544198</v>
      </c>
      <c r="AM46" s="14">
        <f t="shared" si="14"/>
        <v>-0.29582127365094446</v>
      </c>
      <c r="AN46" s="50"/>
      <c r="AO46" s="3"/>
      <c r="AP46" s="154"/>
      <c r="AQ46" s="154"/>
    </row>
    <row r="47" spans="1:43" x14ac:dyDescent="0.35">
      <c r="B47" s="49"/>
      <c r="C47" s="28" t="s">
        <v>18</v>
      </c>
      <c r="D47" s="56">
        <f t="shared" si="32"/>
        <v>5942830551</v>
      </c>
      <c r="E47" s="10">
        <f t="shared" si="33"/>
        <v>5728837370</v>
      </c>
      <c r="F47" s="10">
        <f t="shared" si="34"/>
        <v>7488000000</v>
      </c>
      <c r="G47" s="57">
        <f t="shared" si="35"/>
        <v>3802111277.2499003</v>
      </c>
      <c r="H47" s="12">
        <f t="shared" si="18"/>
        <v>0.50776058723957007</v>
      </c>
      <c r="I47" s="15">
        <f t="shared" si="19"/>
        <v>-0.36021879731870887</v>
      </c>
      <c r="J47" s="14">
        <f t="shared" si="11"/>
        <v>-0.33632061242298794</v>
      </c>
      <c r="L47" s="28" t="s">
        <v>18</v>
      </c>
      <c r="M47" s="9">
        <v>1272100004</v>
      </c>
      <c r="N47" s="9">
        <v>802273804</v>
      </c>
      <c r="O47" s="10">
        <v>1123200000</v>
      </c>
      <c r="P47" s="11">
        <f>SEP!Q120</f>
        <v>806588730.19620013</v>
      </c>
      <c r="Q47" s="12">
        <f t="shared" si="20"/>
        <v>0.71811674696955141</v>
      </c>
      <c r="R47" s="15">
        <f t="shared" si="21"/>
        <v>-0.36593921259338336</v>
      </c>
      <c r="S47" s="14">
        <f t="shared" si="12"/>
        <v>5.3783710432606657E-3</v>
      </c>
      <c r="T47" s="50"/>
      <c r="V47" s="49"/>
      <c r="W47" s="28" t="s">
        <v>18</v>
      </c>
      <c r="X47" s="56">
        <f t="shared" si="36"/>
        <v>3590981878</v>
      </c>
      <c r="Y47" s="61">
        <f t="shared" si="37"/>
        <v>3227624536</v>
      </c>
      <c r="Z47" s="61">
        <f t="shared" si="38"/>
        <v>4992000000</v>
      </c>
      <c r="AA47" s="60">
        <f t="shared" si="39"/>
        <v>2610305770.6922007</v>
      </c>
      <c r="AB47" s="12">
        <f t="shared" si="29"/>
        <v>0.52289779060340558</v>
      </c>
      <c r="AC47" s="15">
        <f t="shared" si="26"/>
        <v>-0.27309413988298592</v>
      </c>
      <c r="AD47" s="14">
        <f t="shared" si="13"/>
        <v>-0.19126102135561385</v>
      </c>
      <c r="AF47" s="28" t="s">
        <v>18</v>
      </c>
      <c r="AG47" s="77">
        <v>1023603498</v>
      </c>
      <c r="AH47" s="77">
        <v>857668748</v>
      </c>
      <c r="AI47" s="62">
        <v>1148160000</v>
      </c>
      <c r="AJ47" s="11">
        <f>SEP!Q133</f>
        <v>675535913.96470034</v>
      </c>
      <c r="AK47" s="12">
        <f t="shared" si="27"/>
        <v>0.58836391614818517</v>
      </c>
      <c r="AL47" s="15">
        <f t="shared" si="28"/>
        <v>-0.34004141712624325</v>
      </c>
      <c r="AM47" s="14">
        <f t="shared" si="14"/>
        <v>-0.21235801637871932</v>
      </c>
      <c r="AN47" s="50"/>
      <c r="AP47" s="3"/>
      <c r="AQ47" s="3"/>
    </row>
    <row r="48" spans="1:43" x14ac:dyDescent="0.35">
      <c r="B48" s="49"/>
      <c r="C48" s="28" t="s">
        <v>19</v>
      </c>
      <c r="D48" s="56">
        <f t="shared" si="32"/>
        <v>5867760757</v>
      </c>
      <c r="E48" s="10">
        <f t="shared" si="33"/>
        <v>4933276519</v>
      </c>
      <c r="F48" s="10">
        <f t="shared" si="34"/>
        <v>8424000000</v>
      </c>
      <c r="G48" s="57">
        <f t="shared" si="35"/>
        <v>0</v>
      </c>
      <c r="H48" s="12">
        <f t="shared" si="18"/>
        <v>0</v>
      </c>
      <c r="I48" s="15">
        <f t="shared" si="19"/>
        <v>-1</v>
      </c>
      <c r="J48" s="14">
        <f t="shared" si="11"/>
        <v>-1</v>
      </c>
      <c r="L48" s="28" t="s">
        <v>19</v>
      </c>
      <c r="M48" s="9">
        <v>1040753293</v>
      </c>
      <c r="N48" s="9">
        <v>754440874</v>
      </c>
      <c r="O48" s="10">
        <v>1263600000</v>
      </c>
      <c r="P48" s="60">
        <f>OKT!AB130</f>
        <v>0</v>
      </c>
      <c r="Q48" s="12">
        <f t="shared" si="20"/>
        <v>0</v>
      </c>
      <c r="R48" s="15">
        <f t="shared" si="21"/>
        <v>-1</v>
      </c>
      <c r="S48" s="14">
        <f t="shared" si="12"/>
        <v>-1</v>
      </c>
      <c r="T48" s="50"/>
      <c r="V48" s="49"/>
      <c r="W48" s="28" t="s">
        <v>19</v>
      </c>
      <c r="X48" s="56">
        <f t="shared" si="36"/>
        <v>4232329040</v>
      </c>
      <c r="Y48" s="61">
        <f t="shared" si="37"/>
        <v>3599491302</v>
      </c>
      <c r="Z48" s="61">
        <f t="shared" si="38"/>
        <v>5616000000</v>
      </c>
      <c r="AA48" s="60">
        <f t="shared" si="39"/>
        <v>0</v>
      </c>
      <c r="AB48" s="12">
        <f t="shared" si="29"/>
        <v>0</v>
      </c>
      <c r="AC48" s="15">
        <f t="shared" si="26"/>
        <v>-1</v>
      </c>
      <c r="AD48" s="14">
        <f t="shared" si="13"/>
        <v>-1</v>
      </c>
      <c r="AF48" s="28" t="s">
        <v>19</v>
      </c>
      <c r="AG48" s="77">
        <v>1190209594</v>
      </c>
      <c r="AH48" s="77">
        <v>1098756577</v>
      </c>
      <c r="AI48" s="62">
        <v>1291680000</v>
      </c>
      <c r="AJ48" s="60">
        <f>OKT!AB144</f>
        <v>0</v>
      </c>
      <c r="AK48" s="12">
        <f t="shared" si="27"/>
        <v>0</v>
      </c>
      <c r="AL48" s="15">
        <f t="shared" si="28"/>
        <v>-1</v>
      </c>
      <c r="AM48" s="14">
        <f t="shared" si="14"/>
        <v>-1</v>
      </c>
      <c r="AN48" s="50"/>
      <c r="AP48" s="3"/>
      <c r="AQ48" s="3"/>
    </row>
    <row r="49" spans="2:43" x14ac:dyDescent="0.35">
      <c r="B49" s="49"/>
      <c r="C49" s="28" t="s">
        <v>20</v>
      </c>
      <c r="D49" s="56">
        <f t="shared" si="32"/>
        <v>5708263741</v>
      </c>
      <c r="E49" s="10">
        <f t="shared" si="33"/>
        <v>4948536931</v>
      </c>
      <c r="F49" s="10">
        <f t="shared" si="34"/>
        <v>7488000000</v>
      </c>
      <c r="G49" s="57">
        <f t="shared" si="35"/>
        <v>0</v>
      </c>
      <c r="H49" s="12">
        <f t="shared" si="18"/>
        <v>0</v>
      </c>
      <c r="I49" s="15">
        <f t="shared" si="19"/>
        <v>-1</v>
      </c>
      <c r="J49" s="14">
        <f t="shared" si="11"/>
        <v>-1</v>
      </c>
      <c r="L49" s="28" t="s">
        <v>20</v>
      </c>
      <c r="M49" s="9">
        <v>1110290459</v>
      </c>
      <c r="N49" s="9">
        <v>778699838</v>
      </c>
      <c r="O49" s="10">
        <v>1123200000</v>
      </c>
      <c r="P49" s="57">
        <f>NOV!AB130</f>
        <v>0</v>
      </c>
      <c r="Q49" s="12">
        <f t="shared" si="20"/>
        <v>0</v>
      </c>
      <c r="R49" s="15">
        <f t="shared" si="21"/>
        <v>-1</v>
      </c>
      <c r="S49" s="14">
        <f t="shared" si="12"/>
        <v>-1</v>
      </c>
      <c r="T49" s="50"/>
      <c r="V49" s="49"/>
      <c r="W49" s="28" t="s">
        <v>20</v>
      </c>
      <c r="X49" s="56">
        <f t="shared" si="36"/>
        <v>3754469068</v>
      </c>
      <c r="Y49" s="61">
        <f t="shared" si="37"/>
        <v>3140084174</v>
      </c>
      <c r="Z49" s="61">
        <f t="shared" si="38"/>
        <v>4992000000</v>
      </c>
      <c r="AA49" s="60">
        <f t="shared" si="39"/>
        <v>0</v>
      </c>
      <c r="AB49" s="12">
        <f t="shared" si="29"/>
        <v>0</v>
      </c>
      <c r="AC49" s="15">
        <f t="shared" si="26"/>
        <v>-1</v>
      </c>
      <c r="AD49" s="14">
        <f t="shared" si="13"/>
        <v>-1</v>
      </c>
      <c r="AF49" s="28" t="s">
        <v>20</v>
      </c>
      <c r="AG49" s="77">
        <v>1059917282</v>
      </c>
      <c r="AH49" s="77">
        <v>910366981</v>
      </c>
      <c r="AI49" s="62">
        <v>1148160000</v>
      </c>
      <c r="AJ49" s="60">
        <f>NOV!AB144</f>
        <v>0</v>
      </c>
      <c r="AK49" s="12">
        <f t="shared" si="27"/>
        <v>0</v>
      </c>
      <c r="AL49" s="15">
        <f t="shared" si="28"/>
        <v>-1</v>
      </c>
      <c r="AM49" s="14">
        <f t="shared" si="14"/>
        <v>-1</v>
      </c>
      <c r="AN49" s="50"/>
      <c r="AP49" s="3"/>
      <c r="AQ49" s="3"/>
    </row>
    <row r="50" spans="2:43" ht="15" thickBot="1" x14ac:dyDescent="0.4">
      <c r="B50" s="49"/>
      <c r="C50" s="29" t="s">
        <v>21</v>
      </c>
      <c r="D50" s="57">
        <f t="shared" si="32"/>
        <v>5943605211</v>
      </c>
      <c r="E50" s="11">
        <f t="shared" si="33"/>
        <v>4877575815</v>
      </c>
      <c r="F50" s="11">
        <f t="shared" si="34"/>
        <v>7488000000</v>
      </c>
      <c r="G50" s="57">
        <f t="shared" si="35"/>
        <v>0</v>
      </c>
      <c r="H50" s="27">
        <f t="shared" si="18"/>
        <v>0</v>
      </c>
      <c r="I50" s="19">
        <f t="shared" si="19"/>
        <v>-1</v>
      </c>
      <c r="J50" s="14">
        <f t="shared" si="11"/>
        <v>-1</v>
      </c>
      <c r="L50" s="29" t="s">
        <v>21</v>
      </c>
      <c r="M50" s="11">
        <v>1079307689</v>
      </c>
      <c r="N50" s="11">
        <v>708157863</v>
      </c>
      <c r="O50" s="11">
        <v>1123200000</v>
      </c>
      <c r="P50" s="57">
        <v>0</v>
      </c>
      <c r="Q50" s="27">
        <f t="shared" si="20"/>
        <v>0</v>
      </c>
      <c r="R50" s="19">
        <f t="shared" si="21"/>
        <v>-1</v>
      </c>
      <c r="S50" s="14">
        <f t="shared" si="12"/>
        <v>-1</v>
      </c>
      <c r="T50" s="50"/>
      <c r="V50" s="49"/>
      <c r="W50" s="29" t="s">
        <v>21</v>
      </c>
      <c r="X50" s="57">
        <f t="shared" si="36"/>
        <v>3708940685</v>
      </c>
      <c r="Y50" s="61">
        <f t="shared" si="37"/>
        <v>3326516875</v>
      </c>
      <c r="Z50" s="61">
        <f t="shared" si="38"/>
        <v>4992000000</v>
      </c>
      <c r="AA50" s="60">
        <f t="shared" si="39"/>
        <v>0</v>
      </c>
      <c r="AB50" s="27">
        <f t="shared" si="29"/>
        <v>0</v>
      </c>
      <c r="AC50" s="19">
        <f t="shared" si="26"/>
        <v>-1</v>
      </c>
      <c r="AD50" s="14">
        <f t="shared" si="13"/>
        <v>-1</v>
      </c>
      <c r="AF50" s="29" t="s">
        <v>21</v>
      </c>
      <c r="AG50" s="77">
        <v>946950882</v>
      </c>
      <c r="AH50" s="77">
        <v>821911877</v>
      </c>
      <c r="AI50" s="81">
        <v>1148160000</v>
      </c>
      <c r="AJ50" s="60">
        <v>0</v>
      </c>
      <c r="AK50" s="27">
        <f t="shared" si="27"/>
        <v>0</v>
      </c>
      <c r="AL50" s="19">
        <f t="shared" si="28"/>
        <v>-1</v>
      </c>
      <c r="AM50" s="14">
        <f t="shared" si="14"/>
        <v>-1</v>
      </c>
      <c r="AN50" s="50"/>
      <c r="AP50" s="3"/>
      <c r="AQ50" s="3"/>
    </row>
    <row r="51" spans="2:43" ht="15" thickBot="1" x14ac:dyDescent="0.4">
      <c r="B51" s="49"/>
      <c r="C51" s="67" t="s">
        <v>22</v>
      </c>
      <c r="D51" s="68">
        <f>SUM(D45:D50)</f>
        <v>35513229853</v>
      </c>
      <c r="E51" s="69">
        <f>SUM(E45:E50)</f>
        <v>31991511448</v>
      </c>
      <c r="F51" s="69">
        <f>SUM(F45:F50)</f>
        <v>46800000000</v>
      </c>
      <c r="G51" s="70">
        <f>SUM(G45:G50)</f>
        <v>14118100989.3696</v>
      </c>
      <c r="H51" s="71">
        <f t="shared" si="18"/>
        <v>0.30166882455917948</v>
      </c>
      <c r="I51" s="23">
        <f>IFERROR(G51/D51-1,0)</f>
        <v>-0.60245516817792444</v>
      </c>
      <c r="J51" s="24">
        <f t="shared" si="11"/>
        <v>-0.55869227959680479</v>
      </c>
      <c r="L51" s="20" t="s">
        <v>22</v>
      </c>
      <c r="M51" s="83">
        <f>SUM(M45:M50)</f>
        <v>6846249165</v>
      </c>
      <c r="N51" s="21">
        <f>SUM(N45:N50)</f>
        <v>4763802202</v>
      </c>
      <c r="O51" s="21">
        <f>SUM(O45:O50)</f>
        <v>7020000000</v>
      </c>
      <c r="P51" s="84">
        <f>SUM(P45:P50)</f>
        <v>2487777793.7315998</v>
      </c>
      <c r="Q51" s="71">
        <f t="shared" si="20"/>
        <v>0.35438430110136748</v>
      </c>
      <c r="R51" s="23">
        <f>IFERROR(P51/M51-1,0)</f>
        <v>-0.63662178606501252</v>
      </c>
      <c r="S51" s="24">
        <f t="shared" si="12"/>
        <v>-0.4777747504530836</v>
      </c>
      <c r="T51" s="50"/>
      <c r="V51" s="49"/>
      <c r="W51" s="67" t="s">
        <v>22</v>
      </c>
      <c r="X51" s="68">
        <f>SUM(X45:X50)</f>
        <v>23062127059</v>
      </c>
      <c r="Y51" s="85">
        <f>SUM(Y45:Y50)</f>
        <v>20407527032</v>
      </c>
      <c r="Z51" s="74">
        <f>SUM(Z45:Z50)</f>
        <v>31200000000</v>
      </c>
      <c r="AA51" s="86">
        <f>SUM(AA45:AA50)</f>
        <v>8871572638.5073013</v>
      </c>
      <c r="AB51" s="71">
        <f t="shared" si="29"/>
        <v>0.28434527687523403</v>
      </c>
      <c r="AC51" s="23">
        <f>IFERROR(AA51/X51-1,0)</f>
        <v>-0.61531854300294619</v>
      </c>
      <c r="AD51" s="24">
        <f t="shared" si="13"/>
        <v>-0.56527938811026734</v>
      </c>
      <c r="AF51" s="20" t="s">
        <v>22</v>
      </c>
      <c r="AG51" s="83">
        <f>SUM(AG45:AG50)</f>
        <v>6321858606</v>
      </c>
      <c r="AH51" s="76">
        <f>SUM(AH45:AH50)</f>
        <v>5748773009</v>
      </c>
      <c r="AI51" s="73">
        <f>SUM(AI45:AI50)</f>
        <v>7176000000</v>
      </c>
      <c r="AJ51" s="84">
        <f>SUM(AJ45:AJ50)</f>
        <v>2324944482.4759002</v>
      </c>
      <c r="AK51" s="71">
        <f t="shared" si="27"/>
        <v>0.32398891896263937</v>
      </c>
      <c r="AL51" s="23">
        <f>IFERROR(AJ51/AG51-1,0)</f>
        <v>-0.63223719045704008</v>
      </c>
      <c r="AM51" s="24">
        <f t="shared" si="14"/>
        <v>-0.59557552910228329</v>
      </c>
      <c r="AN51" s="50"/>
      <c r="AP51" s="3"/>
      <c r="AQ51" s="3"/>
    </row>
    <row r="52" spans="2:43" s="4" customFormat="1" ht="15" thickBot="1" x14ac:dyDescent="0.4">
      <c r="B52" s="87"/>
      <c r="C52" s="30" t="s">
        <v>23</v>
      </c>
      <c r="D52" s="88">
        <f>D44+D51</f>
        <v>66893801686</v>
      </c>
      <c r="E52" s="31">
        <f>E44+E51</f>
        <v>65727778085</v>
      </c>
      <c r="F52" s="88">
        <f>F44+F51</f>
        <v>93600000000</v>
      </c>
      <c r="G52" s="89">
        <f>G44+G51</f>
        <v>40328586234.727997</v>
      </c>
      <c r="H52" s="90">
        <f>IFERROR(G52/F52,0)</f>
        <v>0.4308609640462393</v>
      </c>
      <c r="I52" s="91">
        <f>IFERROR(G52/D52-1,0)</f>
        <v>-0.39712521611448126</v>
      </c>
      <c r="J52" s="35">
        <f t="shared" si="11"/>
        <v>-0.38643009987992361</v>
      </c>
      <c r="K52" s="3"/>
      <c r="L52" s="30" t="s">
        <v>23</v>
      </c>
      <c r="M52" s="88">
        <f>M44+M51</f>
        <v>12582494704</v>
      </c>
      <c r="N52" s="31">
        <f>N44+N51</f>
        <v>11044863129</v>
      </c>
      <c r="O52" s="88">
        <f>O44+O51</f>
        <v>14040000000</v>
      </c>
      <c r="P52" s="89">
        <f>P44+P51</f>
        <v>6527603724.8863993</v>
      </c>
      <c r="Q52" s="92">
        <f>IFERROR(P52/O52,0)</f>
        <v>0.464929040234074</v>
      </c>
      <c r="R52" s="93">
        <f>IFERROR(P52/M52-1,0)</f>
        <v>-0.48121546017331041</v>
      </c>
      <c r="S52" s="35">
        <f t="shared" si="12"/>
        <v>-0.40899188621476312</v>
      </c>
      <c r="T52" s="94"/>
      <c r="U52" s="3"/>
      <c r="V52" s="87"/>
      <c r="W52" s="30" t="s">
        <v>23</v>
      </c>
      <c r="X52" s="88">
        <f>X44+X51</f>
        <v>46081243299</v>
      </c>
      <c r="Y52" s="88">
        <f>Y44+Y51</f>
        <v>40843754210</v>
      </c>
      <c r="Z52" s="88">
        <f>Z44+Z51</f>
        <v>62400000000</v>
      </c>
      <c r="AA52" s="89">
        <f>AA44+AA51</f>
        <v>27235995726.775501</v>
      </c>
      <c r="AB52" s="90">
        <f>IFERROR(AA52/Z52,0)</f>
        <v>0.43647429049319714</v>
      </c>
      <c r="AC52" s="91">
        <f>IFERROR(AA52/X52-1,0)</f>
        <v>-0.40895701207422619</v>
      </c>
      <c r="AD52" s="35">
        <f t="shared" si="13"/>
        <v>-0.3331662024323131</v>
      </c>
      <c r="AE52" s="3"/>
      <c r="AF52" s="30" t="s">
        <v>23</v>
      </c>
      <c r="AG52" s="88">
        <f>AG44+AG51</f>
        <v>12092962140</v>
      </c>
      <c r="AH52" s="96">
        <f>AH44+AH51</f>
        <v>11370920237</v>
      </c>
      <c r="AI52" s="108">
        <f>AI44+AI51</f>
        <v>14352000000</v>
      </c>
      <c r="AJ52" s="99">
        <f>AJ44+AJ51</f>
        <v>6809294362.9627991</v>
      </c>
      <c r="AK52" s="92">
        <f>IFERROR(AJ52/AI52,0)</f>
        <v>0.47444916129896875</v>
      </c>
      <c r="AL52" s="93">
        <f>IFERROR(AJ52/AG52-1,0)</f>
        <v>-0.43692088967684484</v>
      </c>
      <c r="AM52" s="35">
        <f t="shared" si="14"/>
        <v>-0.40116593722943028</v>
      </c>
      <c r="AN52" s="94"/>
      <c r="AO52" s="3"/>
      <c r="AP52" s="3"/>
      <c r="AQ52" s="3"/>
    </row>
    <row r="53" spans="2:43" s="4" customFormat="1" ht="15.5" thickTop="1" thickBot="1" x14ac:dyDescent="0.4">
      <c r="B53" s="87"/>
      <c r="C53" s="36" t="s">
        <v>24</v>
      </c>
      <c r="D53" s="100">
        <f>IFERROR(AVERAGE(D38:D43,D45:D50),0)</f>
        <v>5574483473.833333</v>
      </c>
      <c r="E53" s="37">
        <f>IFERROR(AVERAGE(E38:E43,E45:E50),0)</f>
        <v>5477314840.416667</v>
      </c>
      <c r="F53" s="37">
        <f>IFERROR(AVERAGE(F38:F43,F45:F50),0)</f>
        <v>7800000000</v>
      </c>
      <c r="G53" s="101">
        <f>IFERROR(AVERAGE(G38:G43,G45:G50),0)</f>
        <v>3360715519.5606666</v>
      </c>
      <c r="H53" s="39">
        <f t="shared" si="18"/>
        <v>0.4308609640462393</v>
      </c>
      <c r="I53" s="102">
        <f>IFERROR(G53/D53-1,0)</f>
        <v>-0.39712521611448126</v>
      </c>
      <c r="J53" s="41">
        <f t="shared" si="11"/>
        <v>-0.38643009987992361</v>
      </c>
      <c r="L53" s="36" t="s">
        <v>24</v>
      </c>
      <c r="M53" s="100">
        <f>IFERROR(AVERAGE(M38:M43,M45:M50),0)</f>
        <v>1048541225.3333334</v>
      </c>
      <c r="N53" s="37">
        <f>IFERROR(AVERAGE(N38:N43,N45:N50),0)</f>
        <v>920405260.75</v>
      </c>
      <c r="O53" s="37">
        <f>IFERROR(AVERAGE(O38:O43,O45:O50),0)</f>
        <v>1170000000</v>
      </c>
      <c r="P53" s="101">
        <f>IFERROR(AVERAGE(P38:P43,P45:P50),0)</f>
        <v>543966977.07386672</v>
      </c>
      <c r="Q53" s="103">
        <f>IFERROR(P53/O53,0)</f>
        <v>0.46492904023407411</v>
      </c>
      <c r="R53" s="102">
        <f>IFERROR(P53/M53-1,0)</f>
        <v>-0.48121546017331029</v>
      </c>
      <c r="S53" s="41">
        <f t="shared" si="12"/>
        <v>-0.40899188621476301</v>
      </c>
      <c r="T53" s="94"/>
      <c r="V53" s="87"/>
      <c r="W53" s="36" t="s">
        <v>24</v>
      </c>
      <c r="X53" s="100">
        <f>IFERROR(AVERAGE(X38:X43,X45:X50),0)</f>
        <v>3840103608.25</v>
      </c>
      <c r="Y53" s="100">
        <f>IFERROR(AVERAGE(Y38:Y43,Y45:Y50),0)</f>
        <v>3403646184.1666665</v>
      </c>
      <c r="Z53" s="37">
        <f>IFERROR(AVERAGE(Z38:Z43,Z45:Z50),0)</f>
        <v>5200000000</v>
      </c>
      <c r="AA53" s="101">
        <f>IFERROR(AVERAGE(AA38:AA43,AA45:AA50),0)</f>
        <v>2269666310.5646253</v>
      </c>
      <c r="AB53" s="39">
        <f>IFERROR(AA53/Z53,0)</f>
        <v>0.43647429049319719</v>
      </c>
      <c r="AC53" s="102">
        <f>IFERROR(AA53/X53-1,0)</f>
        <v>-0.40895701207422619</v>
      </c>
      <c r="AD53" s="41">
        <f t="shared" si="13"/>
        <v>-0.33316620243231299</v>
      </c>
      <c r="AF53" s="36" t="s">
        <v>24</v>
      </c>
      <c r="AG53" s="100">
        <f>IFERROR(AVERAGE(AG38:AG43,AG45:AG50),0)</f>
        <v>1007746845</v>
      </c>
      <c r="AH53" s="105">
        <f>IFERROR(AVERAGE(AH38:AH43,AH45:AH50),0)</f>
        <v>947576686.41666663</v>
      </c>
      <c r="AI53" s="109">
        <f>IFERROR(AVERAGE(AI38:AI43,AI45:AI50),0)</f>
        <v>1196000000</v>
      </c>
      <c r="AJ53" s="101">
        <f>IFERROR(AVERAGE(AJ38:AJ43,AJ45:AJ50),0)</f>
        <v>567441196.91356671</v>
      </c>
      <c r="AK53" s="103">
        <f>IFERROR(AJ53/AI53,0)</f>
        <v>0.4744491612989688</v>
      </c>
      <c r="AL53" s="102">
        <f>IFERROR(AJ53/AG53-1,0)</f>
        <v>-0.43692088967684473</v>
      </c>
      <c r="AM53" s="41">
        <f t="shared" si="14"/>
        <v>-0.40116593722943017</v>
      </c>
      <c r="AN53" s="94"/>
      <c r="AP53" s="3"/>
      <c r="AQ53" s="3"/>
    </row>
    <row r="54" spans="2:43" ht="15" thickBot="1" x14ac:dyDescent="0.4">
      <c r="B54" s="49"/>
      <c r="T54" s="50"/>
      <c r="V54" s="49"/>
      <c r="X54" s="4"/>
      <c r="Y54" s="4"/>
      <c r="Z54" s="4"/>
      <c r="AA54" s="4"/>
      <c r="AB54" s="1"/>
      <c r="AC54" s="1"/>
      <c r="AD54" s="1"/>
      <c r="AN54" s="50"/>
      <c r="AP54" s="3"/>
      <c r="AQ54" s="3"/>
    </row>
    <row r="55" spans="2:43" ht="15" customHeight="1" thickBot="1" x14ac:dyDescent="0.4">
      <c r="B55" s="49"/>
      <c r="C55" s="498" t="s">
        <v>2</v>
      </c>
      <c r="D55" s="502" t="s">
        <v>162</v>
      </c>
      <c r="E55" s="500"/>
      <c r="F55" s="501"/>
      <c r="G55" s="502" t="s">
        <v>53</v>
      </c>
      <c r="H55" s="501"/>
      <c r="I55" s="502" t="s">
        <v>4</v>
      </c>
      <c r="J55" s="501"/>
      <c r="L55" s="498" t="s">
        <v>2</v>
      </c>
      <c r="M55" s="502" t="s">
        <v>163</v>
      </c>
      <c r="N55" s="500"/>
      <c r="O55" s="500"/>
      <c r="P55" s="502" t="s">
        <v>196</v>
      </c>
      <c r="Q55" s="501"/>
      <c r="R55" s="502" t="s">
        <v>4</v>
      </c>
      <c r="S55" s="501"/>
      <c r="T55" s="50"/>
      <c r="V55" s="49"/>
      <c r="W55" s="498" t="s">
        <v>2</v>
      </c>
      <c r="X55" s="502" t="s">
        <v>142</v>
      </c>
      <c r="Y55" s="509"/>
      <c r="Z55" s="500"/>
      <c r="AA55" s="502" t="s">
        <v>168</v>
      </c>
      <c r="AB55" s="501"/>
      <c r="AC55" s="502" t="s">
        <v>4</v>
      </c>
      <c r="AD55" s="501"/>
      <c r="AF55" s="498" t="s">
        <v>2</v>
      </c>
      <c r="AG55" s="502" t="s">
        <v>143</v>
      </c>
      <c r="AH55" s="509"/>
      <c r="AI55" s="500"/>
      <c r="AJ55" s="502" t="s">
        <v>122</v>
      </c>
      <c r="AK55" s="501"/>
      <c r="AL55" s="502" t="s">
        <v>4</v>
      </c>
      <c r="AM55" s="501"/>
      <c r="AN55" s="50"/>
    </row>
    <row r="56" spans="2:43" ht="15" thickBot="1" x14ac:dyDescent="0.4">
      <c r="B56" s="49"/>
      <c r="C56" s="499"/>
      <c r="D56" s="6">
        <v>2024</v>
      </c>
      <c r="E56" s="6">
        <v>2025</v>
      </c>
      <c r="F56" s="155" t="s">
        <v>5</v>
      </c>
      <c r="G56" s="6">
        <v>2026</v>
      </c>
      <c r="H56" s="6" t="s">
        <v>6</v>
      </c>
      <c r="I56" s="6" t="s">
        <v>8</v>
      </c>
      <c r="J56" s="7" t="s">
        <v>7</v>
      </c>
      <c r="L56" s="499"/>
      <c r="M56" s="6">
        <v>2024</v>
      </c>
      <c r="N56" s="6">
        <v>2025</v>
      </c>
      <c r="O56" s="155" t="s">
        <v>5</v>
      </c>
      <c r="P56" s="6">
        <v>2026</v>
      </c>
      <c r="Q56" s="6" t="s">
        <v>6</v>
      </c>
      <c r="R56" s="6" t="s">
        <v>8</v>
      </c>
      <c r="S56" s="7" t="s">
        <v>7</v>
      </c>
      <c r="T56" s="50"/>
      <c r="V56" s="49"/>
      <c r="W56" s="556"/>
      <c r="X56" s="6">
        <v>2024</v>
      </c>
      <c r="Y56" s="6">
        <v>2025</v>
      </c>
      <c r="Z56" s="155" t="s">
        <v>5</v>
      </c>
      <c r="AA56" s="6">
        <v>2026</v>
      </c>
      <c r="AB56" s="6" t="s">
        <v>6</v>
      </c>
      <c r="AC56" s="6" t="s">
        <v>8</v>
      </c>
      <c r="AD56" s="7" t="s">
        <v>7</v>
      </c>
      <c r="AF56" s="556"/>
      <c r="AG56" s="6">
        <v>2024</v>
      </c>
      <c r="AH56" s="6">
        <v>2025</v>
      </c>
      <c r="AI56" s="155" t="s">
        <v>5</v>
      </c>
      <c r="AJ56" s="6">
        <v>2026</v>
      </c>
      <c r="AK56" s="6" t="s">
        <v>6</v>
      </c>
      <c r="AL56" s="6" t="s">
        <v>8</v>
      </c>
      <c r="AM56" s="7" t="s">
        <v>7</v>
      </c>
      <c r="AN56" s="50"/>
    </row>
    <row r="57" spans="2:43" x14ac:dyDescent="0.35">
      <c r="B57" s="49"/>
      <c r="C57" s="8" t="s">
        <v>9</v>
      </c>
      <c r="D57" s="26">
        <v>1318523269</v>
      </c>
      <c r="E57" s="26">
        <v>1366233364</v>
      </c>
      <c r="F57" s="26">
        <v>2106000000</v>
      </c>
      <c r="G57" s="60">
        <f>JAN!AB123</f>
        <v>1591679460.3606002</v>
      </c>
      <c r="H57" s="27">
        <f>IFERROR(G57/F57,0)</f>
        <v>0.75578321954444461</v>
      </c>
      <c r="I57" s="13">
        <f>IFERROR(G57/D57-1,0)</f>
        <v>0.20716827513235203</v>
      </c>
      <c r="J57" s="14">
        <f t="shared" ref="J57:J72" si="40">IFERROR(G57/E57-1,0)</f>
        <v>0.16501287576563684</v>
      </c>
      <c r="L57" s="8" t="s">
        <v>9</v>
      </c>
      <c r="M57" s="11">
        <v>1060724886</v>
      </c>
      <c r="N57" s="11">
        <v>1218267097</v>
      </c>
      <c r="O57" s="26">
        <v>1937520000</v>
      </c>
      <c r="P57" s="60">
        <f>JAN!AB124</f>
        <v>1338600632.5669003</v>
      </c>
      <c r="Q57" s="27">
        <f>IFERROR(P57/O57,0)</f>
        <v>0.69088351736596276</v>
      </c>
      <c r="R57" s="13">
        <f>IFERROR(P57/M57-1,0)</f>
        <v>0.26196778281951261</v>
      </c>
      <c r="S57" s="14">
        <f t="shared" ref="S57:S72" si="41">IFERROR(P57/N57-1,0)</f>
        <v>9.8774345841912137E-2</v>
      </c>
      <c r="T57" s="50"/>
      <c r="V57" s="49"/>
      <c r="W57" s="8" t="s">
        <v>9</v>
      </c>
      <c r="X57" s="77">
        <v>748240658</v>
      </c>
      <c r="Y57" s="77">
        <v>447895319</v>
      </c>
      <c r="Z57" s="62">
        <v>954720000.00000012</v>
      </c>
      <c r="AA57" s="60">
        <f>JAN!AB134</f>
        <v>407999680.1789999</v>
      </c>
      <c r="AB57" s="58">
        <f>IFERROR(AA57/Z57,0)</f>
        <v>0.42735009236111093</v>
      </c>
      <c r="AC57" s="59">
        <f>IFERROR(AA57/X57-1,0)</f>
        <v>-0.45472131751092315</v>
      </c>
      <c r="AD57" s="14">
        <f t="shared" ref="AD57:AD72" si="42">IFERROR(AA57/Y57-1,0)</f>
        <v>-8.9073578420229227E-2</v>
      </c>
      <c r="AF57" s="8" t="s">
        <v>9</v>
      </c>
      <c r="AG57" s="77">
        <v>517472711</v>
      </c>
      <c r="AH57" s="77">
        <v>632950182</v>
      </c>
      <c r="AI57" s="62">
        <v>1067040000</v>
      </c>
      <c r="AJ57" s="60">
        <f>JAN!AB136</f>
        <v>553907416.21379995</v>
      </c>
      <c r="AK57" s="58">
        <f>IFERROR(AJ57/AI57,0)</f>
        <v>0.51910651542004049</v>
      </c>
      <c r="AL57" s="59">
        <f>IFERROR(AJ57/AG57-1,0)</f>
        <v>7.0408940296370348E-2</v>
      </c>
      <c r="AM57" s="14">
        <f t="shared" ref="AM57:AM72" si="43">IFERROR(AJ57/AH57-1,0)</f>
        <v>-0.1248799163568296</v>
      </c>
      <c r="AN57" s="50"/>
    </row>
    <row r="58" spans="2:43" x14ac:dyDescent="0.35">
      <c r="B58" s="49"/>
      <c r="C58" s="8" t="s">
        <v>10</v>
      </c>
      <c r="D58" s="10">
        <v>1021425075</v>
      </c>
      <c r="E58" s="10">
        <v>1781256514</v>
      </c>
      <c r="F58" s="10">
        <v>1872000000</v>
      </c>
      <c r="G58" s="60">
        <f>FEB!AB123</f>
        <v>1371799117.7045</v>
      </c>
      <c r="H58" s="12">
        <f t="shared" ref="H58:H70" si="44">IFERROR(G58/F58,0)</f>
        <v>0.73279867398744658</v>
      </c>
      <c r="I58" s="15">
        <f t="shared" ref="I58:I69" si="45">IFERROR(G58/D58-1,0)</f>
        <v>0.34302471251207534</v>
      </c>
      <c r="J58" s="14">
        <f t="shared" si="40"/>
        <v>-0.22986997834243428</v>
      </c>
      <c r="K58" s="3"/>
      <c r="L58" s="8" t="s">
        <v>10</v>
      </c>
      <c r="M58" s="9">
        <v>1590964796</v>
      </c>
      <c r="N58" s="9">
        <v>1454043317</v>
      </c>
      <c r="O58" s="10">
        <v>1722240000</v>
      </c>
      <c r="P58" s="60">
        <f>FEB!AB124</f>
        <v>1299981251.8194001</v>
      </c>
      <c r="Q58" s="12">
        <f t="shared" ref="Q58:Q70" si="46">IFERROR(P58/O58,0)</f>
        <v>0.75482003194641867</v>
      </c>
      <c r="R58" s="15">
        <f t="shared" ref="R58:R69" si="47">IFERROR(P58/M58-1,0)</f>
        <v>-0.18289753796701858</v>
      </c>
      <c r="S58" s="14">
        <f t="shared" si="41"/>
        <v>-0.10595424729055714</v>
      </c>
      <c r="T58" s="50"/>
      <c r="U58" s="3"/>
      <c r="V58" s="49"/>
      <c r="W58" s="8" t="s">
        <v>10</v>
      </c>
      <c r="X58" s="77">
        <v>466421895</v>
      </c>
      <c r="Y58" s="77">
        <v>435444691</v>
      </c>
      <c r="Z58" s="62">
        <v>848640000.00000012</v>
      </c>
      <c r="AA58" s="60">
        <f>FEB!AB134</f>
        <v>493849409.77440012</v>
      </c>
      <c r="AB58" s="12">
        <f t="shared" ref="AB58:AB70" si="48">IFERROR(AA58/Z58,0)</f>
        <v>0.58193039424773763</v>
      </c>
      <c r="AC58" s="15">
        <f t="shared" ref="AC58:AC69" si="49">IFERROR(AA58/X58-1,0)</f>
        <v>5.8804089320035224E-2</v>
      </c>
      <c r="AD58" s="14">
        <f t="shared" si="42"/>
        <v>0.13412660661971443</v>
      </c>
      <c r="AE58" s="3"/>
      <c r="AF58" s="8" t="s">
        <v>10</v>
      </c>
      <c r="AG58" s="77">
        <v>745321653</v>
      </c>
      <c r="AH58" s="77">
        <v>660070913</v>
      </c>
      <c r="AI58" s="62">
        <v>948480000</v>
      </c>
      <c r="AJ58" s="60">
        <f>FEB!AB136</f>
        <v>465425561.75099999</v>
      </c>
      <c r="AK58" s="12">
        <f t="shared" ref="AK58:AK70" si="50">IFERROR(AJ58/AI58,0)</f>
        <v>0.49070677478808195</v>
      </c>
      <c r="AL58" s="15">
        <f t="shared" ref="AL58:AL69" si="51">IFERROR(AJ58/AG58-1,0)</f>
        <v>-0.37553731348390063</v>
      </c>
      <c r="AM58" s="14">
        <f t="shared" si="43"/>
        <v>-0.29488551520069783</v>
      </c>
      <c r="AN58" s="50"/>
      <c r="AO58" s="3"/>
    </row>
    <row r="59" spans="2:43" x14ac:dyDescent="0.35">
      <c r="B59" s="49"/>
      <c r="C59" s="8" t="s">
        <v>11</v>
      </c>
      <c r="D59" s="10">
        <v>1707964843</v>
      </c>
      <c r="E59" s="10">
        <v>1202031714</v>
      </c>
      <c r="F59" s="10">
        <v>1872000000</v>
      </c>
      <c r="G59" s="60">
        <f>MAR!AB123</f>
        <v>617632588.99450004</v>
      </c>
      <c r="H59" s="12">
        <f t="shared" si="44"/>
        <v>0.32993193856543807</v>
      </c>
      <c r="I59" s="15">
        <f t="shared" si="45"/>
        <v>-0.63838097047147468</v>
      </c>
      <c r="J59" s="14">
        <f t="shared" si="40"/>
        <v>-0.48617612846569203</v>
      </c>
      <c r="L59" s="8" t="s">
        <v>11</v>
      </c>
      <c r="M59" s="9">
        <v>1187132545</v>
      </c>
      <c r="N59" s="9">
        <v>1386763846</v>
      </c>
      <c r="O59" s="10">
        <v>1722240000</v>
      </c>
      <c r="P59" s="60">
        <f>MAR!AB124</f>
        <v>569073926.75689995</v>
      </c>
      <c r="Q59" s="12">
        <f t="shared" si="46"/>
        <v>0.33042661113253669</v>
      </c>
      <c r="R59" s="15">
        <f t="shared" si="47"/>
        <v>-0.52063151738721813</v>
      </c>
      <c r="S59" s="14">
        <f t="shared" si="41"/>
        <v>-0.58963890759169679</v>
      </c>
      <c r="T59" s="50"/>
      <c r="V59" s="49"/>
      <c r="W59" s="8" t="s">
        <v>11</v>
      </c>
      <c r="X59" s="77">
        <v>386856255</v>
      </c>
      <c r="Y59" s="77">
        <v>580210630</v>
      </c>
      <c r="Z59" s="62">
        <v>848640000.00000012</v>
      </c>
      <c r="AA59" s="60">
        <f>MAR!AB134</f>
        <v>296631117.05450004</v>
      </c>
      <c r="AB59" s="12">
        <f t="shared" si="48"/>
        <v>0.34953704404046476</v>
      </c>
      <c r="AC59" s="15">
        <f t="shared" si="49"/>
        <v>-0.23322651961643981</v>
      </c>
      <c r="AD59" s="14">
        <f t="shared" si="42"/>
        <v>-0.48875270166198082</v>
      </c>
      <c r="AF59" s="8" t="s">
        <v>11</v>
      </c>
      <c r="AG59" s="77">
        <v>678307980</v>
      </c>
      <c r="AH59" s="77">
        <v>550701528</v>
      </c>
      <c r="AI59" s="62">
        <v>948480000</v>
      </c>
      <c r="AJ59" s="60">
        <f>MAR!AB136</f>
        <v>358919991.8926999</v>
      </c>
      <c r="AK59" s="12">
        <f t="shared" si="50"/>
        <v>0.37841598335515764</v>
      </c>
      <c r="AL59" s="15">
        <f t="shared" si="51"/>
        <v>-0.47085984173044837</v>
      </c>
      <c r="AM59" s="14">
        <f t="shared" si="43"/>
        <v>-0.34824950786644648</v>
      </c>
      <c r="AN59" s="50"/>
    </row>
    <row r="60" spans="2:43" x14ac:dyDescent="0.35">
      <c r="B60" s="49"/>
      <c r="C60" s="8" t="s">
        <v>12</v>
      </c>
      <c r="D60" s="10">
        <v>1360862015</v>
      </c>
      <c r="E60" s="10">
        <v>1675098349</v>
      </c>
      <c r="F60" s="10">
        <v>2106000000</v>
      </c>
      <c r="G60" s="60">
        <f>APR!AB123</f>
        <v>1104977616.9964998</v>
      </c>
      <c r="H60" s="12">
        <f t="shared" si="44"/>
        <v>0.52468072981790115</v>
      </c>
      <c r="I60" s="15">
        <f t="shared" si="45"/>
        <v>-0.18803111203269218</v>
      </c>
      <c r="J60" s="14">
        <f t="shared" si="40"/>
        <v>-0.34035060230573977</v>
      </c>
      <c r="L60" s="8" t="s">
        <v>12</v>
      </c>
      <c r="M60" s="9">
        <v>1048750860</v>
      </c>
      <c r="N60" s="9">
        <v>1478367634</v>
      </c>
      <c r="O60" s="10">
        <v>1937520000</v>
      </c>
      <c r="P60" s="60">
        <f>APR!AB124</f>
        <v>1445369085.358799</v>
      </c>
      <c r="Q60" s="12">
        <f>IFERROR(P60/O60,0)</f>
        <v>0.74598924674780076</v>
      </c>
      <c r="R60" s="15">
        <f t="shared" si="47"/>
        <v>0.37818154958061156</v>
      </c>
      <c r="S60" s="14">
        <f t="shared" si="41"/>
        <v>-2.2320935525297791E-2</v>
      </c>
      <c r="T60" s="50"/>
      <c r="V60" s="49"/>
      <c r="W60" s="8" t="s">
        <v>12</v>
      </c>
      <c r="X60" s="77">
        <v>499511535</v>
      </c>
      <c r="Y60" s="77">
        <v>464075857</v>
      </c>
      <c r="Z60" s="62">
        <v>954720000.00000012</v>
      </c>
      <c r="AA60" s="60">
        <f>APR!AB134</f>
        <v>426358112.92799997</v>
      </c>
      <c r="AB60" s="12">
        <f t="shared" si="48"/>
        <v>0.44657922001005523</v>
      </c>
      <c r="AC60" s="15">
        <f t="shared" si="49"/>
        <v>-0.14644991545991026</v>
      </c>
      <c r="AD60" s="14">
        <f t="shared" si="42"/>
        <v>-8.1274954305584624E-2</v>
      </c>
      <c r="AF60" s="8" t="s">
        <v>12</v>
      </c>
      <c r="AG60" s="77">
        <v>355868086</v>
      </c>
      <c r="AH60" s="77">
        <v>455350899</v>
      </c>
      <c r="AI60" s="62">
        <v>1067040000</v>
      </c>
      <c r="AJ60" s="60">
        <f>APR!AB136</f>
        <v>656611106.84699988</v>
      </c>
      <c r="AK60" s="12">
        <f t="shared" si="50"/>
        <v>0.61535753753092659</v>
      </c>
      <c r="AL60" s="15">
        <f t="shared" si="51"/>
        <v>0.84509691281223764</v>
      </c>
      <c r="AM60" s="14">
        <f t="shared" si="43"/>
        <v>0.44198926210311473</v>
      </c>
      <c r="AN60" s="50"/>
    </row>
    <row r="61" spans="2:43" x14ac:dyDescent="0.35">
      <c r="B61" s="49"/>
      <c r="C61" s="8" t="s">
        <v>13</v>
      </c>
      <c r="D61" s="10">
        <v>1264624242</v>
      </c>
      <c r="E61" s="10">
        <v>1583711074</v>
      </c>
      <c r="F61" s="10">
        <v>1872000000</v>
      </c>
      <c r="G61" s="60">
        <f>MEI!AB123</f>
        <v>1145055961.2611003</v>
      </c>
      <c r="H61" s="12">
        <f t="shared" si="44"/>
        <v>0.61167519298135697</v>
      </c>
      <c r="I61" s="15">
        <f t="shared" si="45"/>
        <v>-9.4548464886140993E-2</v>
      </c>
      <c r="J61" s="14">
        <f t="shared" si="40"/>
        <v>-0.27697925457513073</v>
      </c>
      <c r="K61" s="3"/>
      <c r="L61" s="8" t="s">
        <v>13</v>
      </c>
      <c r="M61" s="9">
        <v>1301386739</v>
      </c>
      <c r="N61" s="9">
        <v>1369032935</v>
      </c>
      <c r="O61" s="10">
        <v>1722240000</v>
      </c>
      <c r="P61" s="60">
        <f>MEI!AB124</f>
        <v>894484700.94070005</v>
      </c>
      <c r="Q61" s="12">
        <f t="shared" si="46"/>
        <v>0.51937285218128715</v>
      </c>
      <c r="R61" s="15">
        <f t="shared" si="47"/>
        <v>-0.31266803776713448</v>
      </c>
      <c r="S61" s="14">
        <f t="shared" si="41"/>
        <v>-0.34663025404812486</v>
      </c>
      <c r="T61" s="50"/>
      <c r="U61" s="3"/>
      <c r="V61" s="49"/>
      <c r="W61" s="8" t="s">
        <v>13</v>
      </c>
      <c r="X61" s="77">
        <v>519552530</v>
      </c>
      <c r="Y61" s="77">
        <v>523109269</v>
      </c>
      <c r="Z61" s="62">
        <v>848640000.00000012</v>
      </c>
      <c r="AA61" s="60">
        <f>MEI!AB134</f>
        <v>335616668.91839999</v>
      </c>
      <c r="AB61" s="12">
        <f t="shared" si="48"/>
        <v>0.39547590134615379</v>
      </c>
      <c r="AC61" s="15">
        <f t="shared" si="49"/>
        <v>-0.3540274572074551</v>
      </c>
      <c r="AD61" s="14">
        <f t="shared" si="42"/>
        <v>-0.35841957157444293</v>
      </c>
      <c r="AE61" s="3"/>
      <c r="AF61" s="8" t="s">
        <v>13</v>
      </c>
      <c r="AG61" s="77">
        <v>680684076</v>
      </c>
      <c r="AH61" s="77">
        <v>735402452</v>
      </c>
      <c r="AI61" s="62">
        <v>948480000</v>
      </c>
      <c r="AJ61" s="60">
        <f>MEI!AB136</f>
        <v>439591533.33290005</v>
      </c>
      <c r="AK61" s="12">
        <f t="shared" si="50"/>
        <v>0.46346948099369523</v>
      </c>
      <c r="AL61" s="15">
        <f t="shared" si="51"/>
        <v>-0.3541915422553531</v>
      </c>
      <c r="AM61" s="14">
        <f t="shared" si="43"/>
        <v>-0.40224358494129686</v>
      </c>
      <c r="AN61" s="50"/>
      <c r="AO61" s="3"/>
    </row>
    <row r="62" spans="2:43" ht="15" thickBot="1" x14ac:dyDescent="0.4">
      <c r="B62" s="49"/>
      <c r="C62" s="8" t="s">
        <v>14</v>
      </c>
      <c r="D62" s="17">
        <v>1621223758</v>
      </c>
      <c r="E62" s="17">
        <v>1793066507</v>
      </c>
      <c r="F62" s="17">
        <v>1872000000</v>
      </c>
      <c r="G62" s="60">
        <f>JUN!AB123</f>
        <v>1343406652.8617005</v>
      </c>
      <c r="H62" s="27">
        <f t="shared" si="44"/>
        <v>0.71763175900731868</v>
      </c>
      <c r="I62" s="19">
        <f t="shared" si="45"/>
        <v>-0.17136259184915026</v>
      </c>
      <c r="J62" s="14">
        <f t="shared" si="40"/>
        <v>-0.25077700820513926</v>
      </c>
      <c r="L62" s="8" t="s">
        <v>14</v>
      </c>
      <c r="M62" s="16">
        <v>1446159904</v>
      </c>
      <c r="N62" s="16">
        <v>1036978486</v>
      </c>
      <c r="O62" s="17">
        <v>1722240000</v>
      </c>
      <c r="P62" s="65">
        <f>JUN!AB124</f>
        <v>1159911256.2605999</v>
      </c>
      <c r="Q62" s="27">
        <f t="shared" si="46"/>
        <v>0.67348990632002503</v>
      </c>
      <c r="R62" s="19">
        <f t="shared" si="47"/>
        <v>-0.19793706556768165</v>
      </c>
      <c r="S62" s="14">
        <f t="shared" si="41"/>
        <v>0.11854900744835684</v>
      </c>
      <c r="T62" s="50"/>
      <c r="V62" s="49"/>
      <c r="W62" s="8" t="s">
        <v>14</v>
      </c>
      <c r="X62" s="107">
        <v>582326143</v>
      </c>
      <c r="Y62" s="107">
        <v>443588326</v>
      </c>
      <c r="Z62" s="66">
        <v>848640000.00000012</v>
      </c>
      <c r="AA62" s="65">
        <f>JUN!AB134</f>
        <v>328253464.55789995</v>
      </c>
      <c r="AB62" s="27">
        <f t="shared" si="48"/>
        <v>0.38679942561969727</v>
      </c>
      <c r="AC62" s="19">
        <f t="shared" si="49"/>
        <v>-0.43630649507367225</v>
      </c>
      <c r="AD62" s="14">
        <f t="shared" si="42"/>
        <v>-0.26000427577099949</v>
      </c>
      <c r="AF62" s="8" t="s">
        <v>14</v>
      </c>
      <c r="AG62" s="107">
        <v>865146827</v>
      </c>
      <c r="AH62" s="107">
        <v>488261937</v>
      </c>
      <c r="AI62" s="66">
        <v>948480000</v>
      </c>
      <c r="AJ62" s="65">
        <f>JUN!AB136</f>
        <v>551805856.25119996</v>
      </c>
      <c r="AK62" s="27">
        <f t="shared" si="50"/>
        <v>0.58177911632422397</v>
      </c>
      <c r="AL62" s="19">
        <f t="shared" ref="AL62" si="52">IFERROR(AJ62/AG62-1,0)</f>
        <v>-0.36218241918004523</v>
      </c>
      <c r="AM62" s="14">
        <f t="shared" ref="AM62" si="53">IFERROR(AJ62/AH62-1,0)</f>
        <v>0.13014309417938508</v>
      </c>
      <c r="AN62" s="50"/>
    </row>
    <row r="63" spans="2:43" ht="15" thickBot="1" x14ac:dyDescent="0.4">
      <c r="B63" s="49"/>
      <c r="C63" s="20" t="s">
        <v>15</v>
      </c>
      <c r="D63" s="72">
        <f>SUM(D57:D62)</f>
        <v>8294623202</v>
      </c>
      <c r="E63" s="21">
        <f>SUM(E57:E62)</f>
        <v>9401397522</v>
      </c>
      <c r="F63" s="21">
        <f>SUM(F57:F62)</f>
        <v>11700000000</v>
      </c>
      <c r="G63" s="73">
        <f>SUM(G57:G62)</f>
        <v>7174551398.1788998</v>
      </c>
      <c r="H63" s="71">
        <f t="shared" si="44"/>
        <v>0.61320952121187178</v>
      </c>
      <c r="I63" s="23">
        <f t="shared" si="45"/>
        <v>-0.13503588729033866</v>
      </c>
      <c r="J63" s="24">
        <f t="shared" si="40"/>
        <v>-0.23686330873788786</v>
      </c>
      <c r="L63" s="20" t="s">
        <v>15</v>
      </c>
      <c r="M63" s="72">
        <f>SUM(M57:M62)</f>
        <v>7635119730</v>
      </c>
      <c r="N63" s="21">
        <f>SUM(N57:N62)</f>
        <v>7943453315</v>
      </c>
      <c r="O63" s="21">
        <f>SUM(O57:O62)</f>
        <v>10764000000</v>
      </c>
      <c r="P63" s="73">
        <f>SUM(P57:P62)</f>
        <v>6707420853.7032995</v>
      </c>
      <c r="Q63" s="71">
        <f t="shared" si="46"/>
        <v>0.62313460179332025</v>
      </c>
      <c r="R63" s="23">
        <f t="shared" si="47"/>
        <v>-0.12150416877571357</v>
      </c>
      <c r="S63" s="24">
        <f t="shared" si="41"/>
        <v>-0.15560391838177501</v>
      </c>
      <c r="T63" s="50"/>
      <c r="V63" s="49"/>
      <c r="W63" s="20" t="s">
        <v>15</v>
      </c>
      <c r="X63" s="72">
        <f>SUM(X57:X62)</f>
        <v>3202909016</v>
      </c>
      <c r="Y63" s="76">
        <f>SUM(Y57:Y62)</f>
        <v>2894324092</v>
      </c>
      <c r="Z63" s="73">
        <f>SUM(Z57:Z62)</f>
        <v>5304000000.000001</v>
      </c>
      <c r="AA63" s="73">
        <f>SUM(AA57:AA62)</f>
        <v>2288708453.4122</v>
      </c>
      <c r="AB63" s="71">
        <f t="shared" si="48"/>
        <v>0.43150611866745842</v>
      </c>
      <c r="AC63" s="23">
        <f t="shared" si="49"/>
        <v>-0.28542820230638732</v>
      </c>
      <c r="AD63" s="24">
        <f t="shared" si="42"/>
        <v>-0.20924251028478125</v>
      </c>
      <c r="AF63" s="20" t="s">
        <v>15</v>
      </c>
      <c r="AG63" s="72">
        <f>SUM(AG57:AG62)</f>
        <v>3842801333</v>
      </c>
      <c r="AH63" s="76">
        <f>SUM(AH57:AH62)</f>
        <v>3522737911</v>
      </c>
      <c r="AI63" s="73">
        <f>SUM(AI57:AI62)</f>
        <v>5928000000</v>
      </c>
      <c r="AJ63" s="73">
        <f>SUM(AJ57:AJ62)</f>
        <v>3026261466.2886</v>
      </c>
      <c r="AK63" s="71">
        <f t="shared" si="50"/>
        <v>0.51050294640495952</v>
      </c>
      <c r="AL63" s="23">
        <f t="shared" si="51"/>
        <v>-0.21248557912671051</v>
      </c>
      <c r="AM63" s="24">
        <f t="shared" si="43"/>
        <v>-0.14093482321268269</v>
      </c>
      <c r="AN63" s="50"/>
    </row>
    <row r="64" spans="2:43" x14ac:dyDescent="0.35">
      <c r="B64" s="49"/>
      <c r="C64" s="25" t="s">
        <v>16</v>
      </c>
      <c r="D64" s="26">
        <v>1784028849</v>
      </c>
      <c r="E64" s="26">
        <v>1268213652</v>
      </c>
      <c r="F64" s="26">
        <v>1872000000</v>
      </c>
      <c r="G64" s="60">
        <f>JUL!Q123</f>
        <v>1912389206.6014996</v>
      </c>
      <c r="H64" s="58">
        <f t="shared" si="44"/>
        <v>1.0215754308768694</v>
      </c>
      <c r="I64" s="13">
        <f t="shared" si="45"/>
        <v>7.1949709598838174E-2</v>
      </c>
      <c r="J64" s="14">
        <f t="shared" si="40"/>
        <v>0.50793929996386722</v>
      </c>
      <c r="L64" s="25" t="s">
        <v>16</v>
      </c>
      <c r="M64" s="11">
        <v>1167157077</v>
      </c>
      <c r="N64" s="11">
        <v>1630261117</v>
      </c>
      <c r="O64" s="26">
        <v>1722240000</v>
      </c>
      <c r="P64" s="60">
        <f>JUL!Q124</f>
        <v>1498258684.6825998</v>
      </c>
      <c r="Q64" s="58">
        <f t="shared" si="46"/>
        <v>0.86994767551711716</v>
      </c>
      <c r="R64" s="13">
        <f t="shared" si="47"/>
        <v>0.28368213174326651</v>
      </c>
      <c r="S64" s="14">
        <f t="shared" si="41"/>
        <v>-8.0970116345724152E-2</v>
      </c>
      <c r="T64" s="50"/>
      <c r="V64" s="49"/>
      <c r="W64" s="25" t="s">
        <v>16</v>
      </c>
      <c r="X64" s="77">
        <v>528951991</v>
      </c>
      <c r="Y64" s="77">
        <v>489738927</v>
      </c>
      <c r="Z64" s="78">
        <v>848640000.00000012</v>
      </c>
      <c r="AA64" s="60">
        <f>JUL!Q135</f>
        <v>390061048.94549996</v>
      </c>
      <c r="AB64" s="58">
        <f t="shared" si="48"/>
        <v>0.45963076091805699</v>
      </c>
      <c r="AC64" s="13">
        <f t="shared" si="49"/>
        <v>-0.26257759573212391</v>
      </c>
      <c r="AD64" s="14">
        <f t="shared" si="42"/>
        <v>-0.20353268355672294</v>
      </c>
      <c r="AF64" s="25" t="s">
        <v>16</v>
      </c>
      <c r="AG64" s="77">
        <v>640648175</v>
      </c>
      <c r="AH64" s="77">
        <v>622010959</v>
      </c>
      <c r="AI64" s="78">
        <v>948480000</v>
      </c>
      <c r="AJ64" s="60">
        <f>JUL!Q137</f>
        <v>523711292.2586</v>
      </c>
      <c r="AK64" s="58">
        <f t="shared" si="50"/>
        <v>0.55215849807966433</v>
      </c>
      <c r="AL64" s="13">
        <f t="shared" si="51"/>
        <v>-0.18252901874168304</v>
      </c>
      <c r="AM64" s="14">
        <f t="shared" si="43"/>
        <v>-0.15803526500471188</v>
      </c>
      <c r="AN64" s="50"/>
    </row>
    <row r="65" spans="2:43" x14ac:dyDescent="0.35">
      <c r="B65" s="49"/>
      <c r="C65" s="28" t="s">
        <v>17</v>
      </c>
      <c r="D65" s="10">
        <v>1552739142</v>
      </c>
      <c r="E65" s="10">
        <v>2321402367</v>
      </c>
      <c r="F65" s="10">
        <v>2106000000</v>
      </c>
      <c r="G65" s="60">
        <f>AGS!Q123</f>
        <v>1259571632.0727</v>
      </c>
      <c r="H65" s="12">
        <f t="shared" si="44"/>
        <v>0.59808719471638183</v>
      </c>
      <c r="I65" s="15">
        <f t="shared" si="45"/>
        <v>-0.18880667202714208</v>
      </c>
      <c r="J65" s="14">
        <f t="shared" si="40"/>
        <v>-0.4574091721546435</v>
      </c>
      <c r="K65" s="3"/>
      <c r="L65" s="28" t="s">
        <v>17</v>
      </c>
      <c r="M65" s="9">
        <v>1282219735</v>
      </c>
      <c r="N65" s="9">
        <v>1156188587</v>
      </c>
      <c r="O65" s="10">
        <v>1937520000</v>
      </c>
      <c r="P65" s="60">
        <f>AGS!Q124</f>
        <v>1030744922.5233998</v>
      </c>
      <c r="Q65" s="12">
        <f t="shared" si="46"/>
        <v>0.53199188783775131</v>
      </c>
      <c r="R65" s="15">
        <f t="shared" si="47"/>
        <v>-0.19612458427540902</v>
      </c>
      <c r="S65" s="14">
        <f t="shared" si="41"/>
        <v>-0.10849758066034276</v>
      </c>
      <c r="T65" s="50"/>
      <c r="U65" s="3"/>
      <c r="V65" s="49"/>
      <c r="W65" s="28" t="s">
        <v>17</v>
      </c>
      <c r="X65" s="77">
        <v>491330576</v>
      </c>
      <c r="Y65" s="77">
        <v>483301698</v>
      </c>
      <c r="Z65" s="62">
        <v>954720000.00000012</v>
      </c>
      <c r="AA65" s="60">
        <f>AGS!Q135</f>
        <v>350433755.46890008</v>
      </c>
      <c r="AB65" s="12">
        <f t="shared" si="48"/>
        <v>0.3670539587197294</v>
      </c>
      <c r="AC65" s="15">
        <f t="shared" si="49"/>
        <v>-0.2867658302036955</v>
      </c>
      <c r="AD65" s="14">
        <f t="shared" si="42"/>
        <v>-0.27491718543703503</v>
      </c>
      <c r="AE65" s="3"/>
      <c r="AF65" s="28" t="s">
        <v>17</v>
      </c>
      <c r="AG65" s="77">
        <v>649504289</v>
      </c>
      <c r="AH65" s="77">
        <v>601952157</v>
      </c>
      <c r="AI65" s="62">
        <v>1067040000</v>
      </c>
      <c r="AJ65" s="60">
        <f>AGS!Q137</f>
        <v>497930044.14470005</v>
      </c>
      <c r="AK65" s="12">
        <f t="shared" si="50"/>
        <v>0.46664609025406739</v>
      </c>
      <c r="AL65" s="15">
        <f t="shared" si="51"/>
        <v>-0.23336912076234184</v>
      </c>
      <c r="AM65" s="14">
        <f t="shared" si="43"/>
        <v>-0.17280794103924102</v>
      </c>
      <c r="AN65" s="50"/>
      <c r="AO65" s="3"/>
      <c r="AP65" s="154"/>
      <c r="AQ65" s="154"/>
    </row>
    <row r="66" spans="2:43" x14ac:dyDescent="0.35">
      <c r="B66" s="49"/>
      <c r="C66" s="28" t="s">
        <v>18</v>
      </c>
      <c r="D66" s="10">
        <v>1722686546</v>
      </c>
      <c r="E66" s="10">
        <v>1380418621</v>
      </c>
      <c r="F66" s="10">
        <v>1872000000</v>
      </c>
      <c r="G66" s="11">
        <f>SEP!Q123</f>
        <v>1168713388.7377</v>
      </c>
      <c r="H66" s="12">
        <f t="shared" si="44"/>
        <v>0.6243127076590278</v>
      </c>
      <c r="I66" s="15">
        <f t="shared" si="45"/>
        <v>-0.32157513422775641</v>
      </c>
      <c r="J66" s="14">
        <f t="shared" si="40"/>
        <v>-0.15336306613202377</v>
      </c>
      <c r="L66" s="28" t="s">
        <v>18</v>
      </c>
      <c r="M66" s="9">
        <v>1083883847</v>
      </c>
      <c r="N66" s="9">
        <v>1813680724</v>
      </c>
      <c r="O66" s="10">
        <v>1722240000</v>
      </c>
      <c r="P66" s="11">
        <f>SEP!Q124</f>
        <v>852971899.20659995</v>
      </c>
      <c r="Q66" s="12">
        <f t="shared" si="46"/>
        <v>0.49526889353783443</v>
      </c>
      <c r="R66" s="15">
        <f t="shared" si="47"/>
        <v>-0.21304122986288954</v>
      </c>
      <c r="S66" s="14">
        <f t="shared" si="41"/>
        <v>-0.529701182838066</v>
      </c>
      <c r="T66" s="50"/>
      <c r="V66" s="49"/>
      <c r="W66" s="28" t="s">
        <v>18</v>
      </c>
      <c r="X66" s="77">
        <v>599013658</v>
      </c>
      <c r="Y66" s="77">
        <v>431653434</v>
      </c>
      <c r="Z66" s="62">
        <v>848640000.00000012</v>
      </c>
      <c r="AA66" s="11">
        <f>SEP!Q135</f>
        <v>395654772.52180004</v>
      </c>
      <c r="AB66" s="12">
        <f t="shared" si="48"/>
        <v>0.46622215842029596</v>
      </c>
      <c r="AC66" s="15">
        <f t="shared" si="49"/>
        <v>-0.33948956382259976</v>
      </c>
      <c r="AD66" s="14">
        <f t="shared" si="42"/>
        <v>-8.3397139099789852E-2</v>
      </c>
      <c r="AF66" s="28" t="s">
        <v>18</v>
      </c>
      <c r="AG66" s="77">
        <v>509618579</v>
      </c>
      <c r="AH66" s="77">
        <v>479600855</v>
      </c>
      <c r="AI66" s="62">
        <v>948480000</v>
      </c>
      <c r="AJ66" s="11">
        <f>SEP!Q137</f>
        <v>326262768.88310015</v>
      </c>
      <c r="AK66" s="12">
        <f t="shared" si="50"/>
        <v>0.34398486935212147</v>
      </c>
      <c r="AL66" s="15">
        <f t="shared" si="51"/>
        <v>-0.35979027781265382</v>
      </c>
      <c r="AM66" s="14">
        <f t="shared" si="43"/>
        <v>-0.31972021008365348</v>
      </c>
      <c r="AN66" s="50"/>
      <c r="AP66" s="3"/>
      <c r="AQ66" s="3"/>
    </row>
    <row r="67" spans="2:43" x14ac:dyDescent="0.35">
      <c r="B67" s="49"/>
      <c r="C67" s="28" t="s">
        <v>19</v>
      </c>
      <c r="D67" s="10">
        <v>1201836720</v>
      </c>
      <c r="E67" s="10">
        <v>1538172580</v>
      </c>
      <c r="F67" s="10">
        <v>2106000000</v>
      </c>
      <c r="G67" s="60">
        <f>OKT!AB134</f>
        <v>0</v>
      </c>
      <c r="H67" s="12">
        <f t="shared" si="44"/>
        <v>0</v>
      </c>
      <c r="I67" s="15">
        <f t="shared" si="45"/>
        <v>-1</v>
      </c>
      <c r="J67" s="14">
        <f t="shared" si="40"/>
        <v>-1</v>
      </c>
      <c r="L67" s="28" t="s">
        <v>19</v>
      </c>
      <c r="M67" s="9">
        <v>1770101644</v>
      </c>
      <c r="N67" s="9">
        <v>985531041</v>
      </c>
      <c r="O67" s="10">
        <v>1937520000</v>
      </c>
      <c r="P67" s="60">
        <f>OKT!AB133</f>
        <v>0</v>
      </c>
      <c r="Q67" s="12">
        <f t="shared" si="46"/>
        <v>0</v>
      </c>
      <c r="R67" s="15">
        <f t="shared" si="47"/>
        <v>-1</v>
      </c>
      <c r="S67" s="14">
        <f t="shared" si="41"/>
        <v>-1</v>
      </c>
      <c r="T67" s="50"/>
      <c r="V67" s="49"/>
      <c r="W67" s="28" t="s">
        <v>19</v>
      </c>
      <c r="X67" s="77">
        <v>608207680</v>
      </c>
      <c r="Y67" s="77">
        <v>480002367</v>
      </c>
      <c r="Z67" s="62">
        <v>954720000.00000012</v>
      </c>
      <c r="AA67" s="60">
        <f>OKT!AB147</f>
        <v>0</v>
      </c>
      <c r="AB67" s="12">
        <f t="shared" si="48"/>
        <v>0</v>
      </c>
      <c r="AC67" s="15">
        <f t="shared" si="49"/>
        <v>-1</v>
      </c>
      <c r="AD67" s="14">
        <f t="shared" si="42"/>
        <v>-1</v>
      </c>
      <c r="AF67" s="28" t="s">
        <v>19</v>
      </c>
      <c r="AG67" s="77">
        <v>832728545</v>
      </c>
      <c r="AH67" s="77">
        <v>650054427</v>
      </c>
      <c r="AI67" s="62">
        <v>1067040000</v>
      </c>
      <c r="AJ67" s="60">
        <f>OKT!AB146</f>
        <v>0</v>
      </c>
      <c r="AK67" s="12">
        <f t="shared" si="50"/>
        <v>0</v>
      </c>
      <c r="AL67" s="15">
        <f t="shared" si="51"/>
        <v>-1</v>
      </c>
      <c r="AM67" s="14">
        <f t="shared" si="43"/>
        <v>-1</v>
      </c>
      <c r="AN67" s="50"/>
    </row>
    <row r="68" spans="2:43" x14ac:dyDescent="0.35">
      <c r="B68" s="49"/>
      <c r="C68" s="28" t="s">
        <v>20</v>
      </c>
      <c r="D68" s="10">
        <v>1643382478</v>
      </c>
      <c r="E68" s="10">
        <v>1447398923</v>
      </c>
      <c r="F68" s="10">
        <v>1872000000</v>
      </c>
      <c r="G68" s="60">
        <f>NOV!AB134</f>
        <v>0</v>
      </c>
      <c r="H68" s="12">
        <f t="shared" si="44"/>
        <v>0</v>
      </c>
      <c r="I68" s="15">
        <f t="shared" si="45"/>
        <v>-1</v>
      </c>
      <c r="J68" s="14">
        <f t="shared" si="40"/>
        <v>-1</v>
      </c>
      <c r="L68" s="28" t="s">
        <v>20</v>
      </c>
      <c r="M68" s="9">
        <v>1181900123</v>
      </c>
      <c r="N68" s="9">
        <v>1168656289</v>
      </c>
      <c r="O68" s="10">
        <v>1722240000</v>
      </c>
      <c r="P68" s="60">
        <f>NOV!AB133</f>
        <v>0</v>
      </c>
      <c r="Q68" s="12">
        <f t="shared" si="46"/>
        <v>0</v>
      </c>
      <c r="R68" s="15">
        <f t="shared" si="47"/>
        <v>-1</v>
      </c>
      <c r="S68" s="14">
        <f t="shared" si="41"/>
        <v>-1</v>
      </c>
      <c r="T68" s="50"/>
      <c r="V68" s="49"/>
      <c r="W68" s="28" t="s">
        <v>20</v>
      </c>
      <c r="X68" s="77">
        <v>495415704</v>
      </c>
      <c r="Y68" s="77">
        <v>342986760</v>
      </c>
      <c r="Z68" s="62">
        <v>848640000.00000012</v>
      </c>
      <c r="AA68" s="60">
        <f>NOV!AB147</f>
        <v>0</v>
      </c>
      <c r="AB68" s="12">
        <f t="shared" si="48"/>
        <v>0</v>
      </c>
      <c r="AC68" s="15">
        <f t="shared" si="49"/>
        <v>-1</v>
      </c>
      <c r="AD68" s="14">
        <f t="shared" si="42"/>
        <v>-1</v>
      </c>
      <c r="AF68" s="28" t="s">
        <v>20</v>
      </c>
      <c r="AG68" s="77">
        <v>512290359</v>
      </c>
      <c r="AH68" s="77">
        <v>479879881</v>
      </c>
      <c r="AI68" s="62">
        <v>948480000</v>
      </c>
      <c r="AJ68" s="60">
        <f>NOV!AB146</f>
        <v>0</v>
      </c>
      <c r="AK68" s="12">
        <f t="shared" si="50"/>
        <v>0</v>
      </c>
      <c r="AL68" s="15">
        <f t="shared" si="51"/>
        <v>-1</v>
      </c>
      <c r="AM68" s="14">
        <f t="shared" si="43"/>
        <v>-1</v>
      </c>
      <c r="AN68" s="50"/>
    </row>
    <row r="69" spans="2:43" ht="15" thickBot="1" x14ac:dyDescent="0.4">
      <c r="B69" s="49"/>
      <c r="C69" s="29" t="s">
        <v>21</v>
      </c>
      <c r="D69" s="11">
        <v>1741334674</v>
      </c>
      <c r="E69" s="11">
        <v>1350430943</v>
      </c>
      <c r="F69" s="11">
        <v>1872000000</v>
      </c>
      <c r="G69" s="60">
        <v>0</v>
      </c>
      <c r="H69" s="27">
        <f t="shared" si="44"/>
        <v>0</v>
      </c>
      <c r="I69" s="19">
        <f t="shared" si="45"/>
        <v>-1</v>
      </c>
      <c r="J69" s="14">
        <f t="shared" si="40"/>
        <v>-1</v>
      </c>
      <c r="L69" s="29" t="s">
        <v>21</v>
      </c>
      <c r="M69" s="11">
        <v>1136640153</v>
      </c>
      <c r="N69" s="11">
        <v>1050862561</v>
      </c>
      <c r="O69" s="11">
        <v>1722240000</v>
      </c>
      <c r="P69" s="60">
        <v>0</v>
      </c>
      <c r="Q69" s="27">
        <f t="shared" si="46"/>
        <v>0</v>
      </c>
      <c r="R69" s="19">
        <f t="shared" si="47"/>
        <v>-1</v>
      </c>
      <c r="S69" s="14">
        <f t="shared" si="41"/>
        <v>-1</v>
      </c>
      <c r="T69" s="50"/>
      <c r="V69" s="49"/>
      <c r="W69" s="29" t="s">
        <v>21</v>
      </c>
      <c r="X69" s="77">
        <v>559895550</v>
      </c>
      <c r="Y69" s="77">
        <v>449481511</v>
      </c>
      <c r="Z69" s="81">
        <v>848640000.00000012</v>
      </c>
      <c r="AA69" s="60">
        <v>0</v>
      </c>
      <c r="AB69" s="27">
        <f t="shared" si="48"/>
        <v>0</v>
      </c>
      <c r="AC69" s="19">
        <f t="shared" si="49"/>
        <v>-1</v>
      </c>
      <c r="AD69" s="14">
        <f t="shared" si="42"/>
        <v>-1</v>
      </c>
      <c r="AF69" s="29" t="s">
        <v>21</v>
      </c>
      <c r="AG69" s="77">
        <v>496947768</v>
      </c>
      <c r="AH69" s="77">
        <v>431978233</v>
      </c>
      <c r="AI69" s="81">
        <v>948480000</v>
      </c>
      <c r="AJ69" s="60">
        <v>0</v>
      </c>
      <c r="AK69" s="27">
        <f t="shared" si="50"/>
        <v>0</v>
      </c>
      <c r="AL69" s="19">
        <f t="shared" si="51"/>
        <v>-1</v>
      </c>
      <c r="AM69" s="14">
        <f t="shared" si="43"/>
        <v>-1</v>
      </c>
      <c r="AN69" s="50"/>
    </row>
    <row r="70" spans="2:43" ht="15" thickBot="1" x14ac:dyDescent="0.4">
      <c r="B70" s="49"/>
      <c r="C70" s="20" t="s">
        <v>22</v>
      </c>
      <c r="D70" s="83">
        <f>SUM(D64:D69)</f>
        <v>9646008409</v>
      </c>
      <c r="E70" s="21">
        <f>SUM(E64:E69)</f>
        <v>9306037086</v>
      </c>
      <c r="F70" s="21">
        <f>SUM(F64:F69)</f>
        <v>11700000000</v>
      </c>
      <c r="G70" s="84">
        <f>SUM(G64:G69)</f>
        <v>4340674227.4118996</v>
      </c>
      <c r="H70" s="71">
        <f t="shared" si="44"/>
        <v>0.37099779721469228</v>
      </c>
      <c r="I70" s="23">
        <f>IFERROR(G70/D70-1,0)</f>
        <v>-0.55000306413148814</v>
      </c>
      <c r="J70" s="24">
        <f t="shared" si="40"/>
        <v>-0.53356362248523492</v>
      </c>
      <c r="L70" s="20" t="s">
        <v>22</v>
      </c>
      <c r="M70" s="83">
        <f>SUM(M64:M69)</f>
        <v>7621902579</v>
      </c>
      <c r="N70" s="21">
        <f>SUM(N64:N69)</f>
        <v>7805180319</v>
      </c>
      <c r="O70" s="21">
        <f>SUM(O64:O69)</f>
        <v>10764000000</v>
      </c>
      <c r="P70" s="84">
        <f>SUM(P64:P69)</f>
        <v>3381975506.4125996</v>
      </c>
      <c r="Q70" s="71">
        <f t="shared" si="46"/>
        <v>0.31419319085958747</v>
      </c>
      <c r="R70" s="23">
        <f>IFERROR(P70/M70-1,0)</f>
        <v>-0.55628198191214384</v>
      </c>
      <c r="S70" s="24">
        <f t="shared" si="41"/>
        <v>-0.56670116919913793</v>
      </c>
      <c r="T70" s="50"/>
      <c r="V70" s="49"/>
      <c r="W70" s="20" t="s">
        <v>22</v>
      </c>
      <c r="X70" s="83">
        <f>SUM(X64:X69)</f>
        <v>3282815159</v>
      </c>
      <c r="Y70" s="76">
        <f>SUM(Y64:Y69)</f>
        <v>2677164697</v>
      </c>
      <c r="Z70" s="73">
        <f>SUM(Z64:Z69)</f>
        <v>5304000000.000001</v>
      </c>
      <c r="AA70" s="84">
        <f>SUM(AA64:AA69)</f>
        <v>1136149576.9362001</v>
      </c>
      <c r="AB70" s="71">
        <f t="shared" si="48"/>
        <v>0.21420617966368777</v>
      </c>
      <c r="AC70" s="23">
        <f>IFERROR(AA70/X70-1,0)</f>
        <v>-0.65390997606996248</v>
      </c>
      <c r="AD70" s="24">
        <f t="shared" si="42"/>
        <v>-0.57561461264995906</v>
      </c>
      <c r="AF70" s="20" t="s">
        <v>22</v>
      </c>
      <c r="AG70" s="83">
        <f>SUM(AG64:AG69)</f>
        <v>3641737715</v>
      </c>
      <c r="AH70" s="76">
        <f>SUM(AH64:AH69)</f>
        <v>3265476512</v>
      </c>
      <c r="AI70" s="73">
        <f>SUM(AI64:AI69)</f>
        <v>5928000000</v>
      </c>
      <c r="AJ70" s="84">
        <f>SUM(AJ64:AJ69)</f>
        <v>1347904105.2864003</v>
      </c>
      <c r="AK70" s="71">
        <f t="shared" si="50"/>
        <v>0.22737923503481786</v>
      </c>
      <c r="AL70" s="23">
        <f>IFERROR(AJ70/AG70-1,0)</f>
        <v>-0.62987337068935501</v>
      </c>
      <c r="AM70" s="24">
        <f t="shared" si="43"/>
        <v>-0.58722590705120337</v>
      </c>
      <c r="AN70" s="50"/>
    </row>
    <row r="71" spans="2:43" ht="15" thickBot="1" x14ac:dyDescent="0.4">
      <c r="B71" s="49"/>
      <c r="C71" s="30" t="s">
        <v>23</v>
      </c>
      <c r="D71" s="88">
        <f>D63+D70</f>
        <v>17940631611</v>
      </c>
      <c r="E71" s="31">
        <f>E63+E70</f>
        <v>18707434608</v>
      </c>
      <c r="F71" s="98">
        <f>F63+F70</f>
        <v>23400000000</v>
      </c>
      <c r="G71" s="99">
        <f>G63+G70</f>
        <v>11515225625.590799</v>
      </c>
      <c r="H71" s="92">
        <f>IFERROR(G71/F71,0)</f>
        <v>0.49210365921328203</v>
      </c>
      <c r="I71" s="93">
        <f>IFERROR(G71/D71-1,0)</f>
        <v>-0.35814825947764128</v>
      </c>
      <c r="J71" s="35">
        <f t="shared" si="40"/>
        <v>-0.38445725633238581</v>
      </c>
      <c r="K71" s="3"/>
      <c r="L71" s="30" t="s">
        <v>23</v>
      </c>
      <c r="M71" s="88">
        <f>M63+M70</f>
        <v>15257022309</v>
      </c>
      <c r="N71" s="31">
        <f>N63+N70</f>
        <v>15748633634</v>
      </c>
      <c r="O71" s="88">
        <f>O63+O70</f>
        <v>21528000000</v>
      </c>
      <c r="P71" s="89">
        <f>P63+P70</f>
        <v>10089396360.115898</v>
      </c>
      <c r="Q71" s="92">
        <f>IFERROR(P71/O71,0)</f>
        <v>0.46866389632645383</v>
      </c>
      <c r="R71" s="93">
        <f>IFERROR(P71/M71-1,0)</f>
        <v>-0.3387047514399818</v>
      </c>
      <c r="S71" s="35">
        <f t="shared" si="41"/>
        <v>-0.35934782695473189</v>
      </c>
      <c r="T71" s="50"/>
      <c r="U71" s="3"/>
      <c r="V71" s="49"/>
      <c r="W71" s="30" t="s">
        <v>23</v>
      </c>
      <c r="X71" s="88">
        <f>X63+X70</f>
        <v>6485724175</v>
      </c>
      <c r="Y71" s="96">
        <f>Y63+Y70</f>
        <v>5571488789</v>
      </c>
      <c r="Z71" s="108">
        <f>Z63+Z70</f>
        <v>10608000000.000002</v>
      </c>
      <c r="AA71" s="99">
        <f>AA63+AA70</f>
        <v>3424858030.3484001</v>
      </c>
      <c r="AB71" s="92">
        <f>IFERROR(AA71/Z71,0)</f>
        <v>0.32285614916557309</v>
      </c>
      <c r="AC71" s="93">
        <f>IFERROR(AA71/X71-1,0)</f>
        <v>-0.47193899433005104</v>
      </c>
      <c r="AD71" s="35">
        <f t="shared" si="42"/>
        <v>-0.38528853596363211</v>
      </c>
      <c r="AE71" s="3"/>
      <c r="AF71" s="30" t="s">
        <v>23</v>
      </c>
      <c r="AG71" s="88">
        <f>AG63+AG70</f>
        <v>7484539048</v>
      </c>
      <c r="AH71" s="96">
        <f>AH63+AH70</f>
        <v>6788214423</v>
      </c>
      <c r="AI71" s="108">
        <f>AI63+AI70</f>
        <v>11856000000</v>
      </c>
      <c r="AJ71" s="99">
        <f>AJ63+AJ70</f>
        <v>4374165571.5750008</v>
      </c>
      <c r="AK71" s="92">
        <f>IFERROR(AJ71/AI71,0)</f>
        <v>0.36894109071988873</v>
      </c>
      <c r="AL71" s="93">
        <f>IFERROR(AJ71/AG71-1,0)</f>
        <v>-0.41557315106214132</v>
      </c>
      <c r="AM71" s="35">
        <f t="shared" si="43"/>
        <v>-0.35562354118421158</v>
      </c>
      <c r="AN71" s="50"/>
      <c r="AO71" s="3"/>
    </row>
    <row r="72" spans="2:43" ht="15.5" thickTop="1" thickBot="1" x14ac:dyDescent="0.4">
      <c r="B72" s="49"/>
      <c r="C72" s="36" t="s">
        <v>24</v>
      </c>
      <c r="D72" s="100">
        <f>IFERROR(AVERAGE(D57:D62,D64:D69),0)</f>
        <v>1495052634.25</v>
      </c>
      <c r="E72" s="37">
        <f>IFERROR(AVERAGE(E57:E62,E64:E69),0)</f>
        <v>1558952884</v>
      </c>
      <c r="F72" s="37">
        <f>IFERROR(AVERAGE(F57:F62,F64:F69),0)</f>
        <v>1950000000</v>
      </c>
      <c r="G72" s="101">
        <f>IFERROR(AVERAGE(G57:G62,G64:G69),0)</f>
        <v>959602135.46589994</v>
      </c>
      <c r="H72" s="103">
        <f>IFERROR(G72/F72,0)</f>
        <v>0.49210365921328203</v>
      </c>
      <c r="I72" s="102">
        <f>IFERROR(G72/D72-1,0)</f>
        <v>-0.35814825947764128</v>
      </c>
      <c r="J72" s="41">
        <f t="shared" si="40"/>
        <v>-0.38445725633238581</v>
      </c>
      <c r="L72" s="36" t="s">
        <v>24</v>
      </c>
      <c r="M72" s="100">
        <f>IFERROR(AVERAGE(M57:M62,M64:M69),0)</f>
        <v>1271418525.75</v>
      </c>
      <c r="N72" s="37">
        <f>IFERROR(AVERAGE(N57:N62,N64:N69),0)</f>
        <v>1312386136.1666667</v>
      </c>
      <c r="O72" s="37">
        <f>IFERROR(AVERAGE(O57:O62,O64:O69),0)</f>
        <v>1794000000</v>
      </c>
      <c r="P72" s="101">
        <f>IFERROR(AVERAGE(P57:P62,P64:P69),0)</f>
        <v>840783030.00965834</v>
      </c>
      <c r="Q72" s="103">
        <f>IFERROR(P72/O72,0)</f>
        <v>0.46866389632645394</v>
      </c>
      <c r="R72" s="102">
        <f>IFERROR(P72/M72-1,0)</f>
        <v>-0.33870475143998169</v>
      </c>
      <c r="S72" s="41">
        <f t="shared" si="41"/>
        <v>-0.35934782695473177</v>
      </c>
      <c r="T72" s="50"/>
      <c r="V72" s="49"/>
      <c r="W72" s="36" t="s">
        <v>24</v>
      </c>
      <c r="X72" s="100">
        <f>IFERROR(AVERAGE(X57:X62,X64:X69),0)</f>
        <v>540477014.58333337</v>
      </c>
      <c r="Y72" s="105">
        <f>IFERROR(AVERAGE(Y57:Y62,Y64:Y69),0)</f>
        <v>464290732.41666669</v>
      </c>
      <c r="Z72" s="109">
        <f>IFERROR(AVERAGE(Z57:Z62,Z64:Z69),0)</f>
        <v>884000000.00000012</v>
      </c>
      <c r="AA72" s="101">
        <f>IFERROR(AVERAGE(AA57:AA62,AA64:AA69),0)</f>
        <v>285404835.86236668</v>
      </c>
      <c r="AB72" s="103">
        <f>IFERROR(AA72/Z72,0)</f>
        <v>0.32285614916557315</v>
      </c>
      <c r="AC72" s="102">
        <f>IFERROR(AA72/X72-1,0)</f>
        <v>-0.47193899433005104</v>
      </c>
      <c r="AD72" s="41">
        <f t="shared" si="42"/>
        <v>-0.38528853596363222</v>
      </c>
      <c r="AF72" s="36" t="s">
        <v>24</v>
      </c>
      <c r="AG72" s="100">
        <f>IFERROR(AVERAGE(AG57:AG62,AG64:AG69),0)</f>
        <v>623711587.33333337</v>
      </c>
      <c r="AH72" s="105">
        <f>IFERROR(AVERAGE(AH57:AH62,AH64:AH69),0)</f>
        <v>565684535.25</v>
      </c>
      <c r="AI72" s="109">
        <f>IFERROR(AVERAGE(AI57:AI62,AI64:AI69),0)</f>
        <v>988000000</v>
      </c>
      <c r="AJ72" s="101">
        <f>IFERROR(AVERAGE(AJ57:AJ62,AJ64:AJ69),0)</f>
        <v>364513797.63125008</v>
      </c>
      <c r="AK72" s="103">
        <f>IFERROR(AJ72/AI72,0)</f>
        <v>0.36894109071988873</v>
      </c>
      <c r="AL72" s="102">
        <f>IFERROR(AJ72/AG72-1,0)</f>
        <v>-0.41557315106214132</v>
      </c>
      <c r="AM72" s="41">
        <f t="shared" si="43"/>
        <v>-0.35562354118421147</v>
      </c>
      <c r="AN72" s="50"/>
    </row>
    <row r="73" spans="2:43" ht="15" thickBot="1" x14ac:dyDescent="0.4">
      <c r="B73" s="49"/>
      <c r="T73" s="50"/>
      <c r="V73" s="49"/>
      <c r="X73" s="4"/>
      <c r="Y73" s="4"/>
      <c r="Z73" s="4"/>
      <c r="AA73" s="4"/>
      <c r="AB73" s="1"/>
      <c r="AC73" s="1"/>
      <c r="AD73" s="1"/>
      <c r="AN73" s="50"/>
    </row>
    <row r="74" spans="2:43" ht="15" thickBot="1" x14ac:dyDescent="0.4">
      <c r="B74" s="49"/>
      <c r="C74" s="557" t="s">
        <v>2</v>
      </c>
      <c r="D74" s="559" t="s">
        <v>161</v>
      </c>
      <c r="E74" s="560"/>
      <c r="F74" s="561"/>
      <c r="G74" s="500" t="s">
        <v>169</v>
      </c>
      <c r="H74" s="501"/>
      <c r="I74" s="502" t="s">
        <v>4</v>
      </c>
      <c r="J74" s="501"/>
      <c r="L74" s="498" t="s">
        <v>2</v>
      </c>
      <c r="M74" s="502" t="s">
        <v>40</v>
      </c>
      <c r="N74" s="500"/>
      <c r="O74" s="500"/>
      <c r="P74" s="502" t="s">
        <v>195</v>
      </c>
      <c r="Q74" s="501"/>
      <c r="R74" s="502" t="s">
        <v>4</v>
      </c>
      <c r="S74" s="501"/>
      <c r="T74" s="50"/>
      <c r="V74" s="49"/>
      <c r="W74" s="498" t="s">
        <v>2</v>
      </c>
      <c r="X74" s="502" t="s">
        <v>151</v>
      </c>
      <c r="Y74" s="509"/>
      <c r="Z74" s="500"/>
      <c r="AA74" s="502" t="s">
        <v>55</v>
      </c>
      <c r="AB74" s="501"/>
      <c r="AC74" s="502" t="s">
        <v>4</v>
      </c>
      <c r="AD74" s="501"/>
      <c r="AF74" s="498" t="s">
        <v>2</v>
      </c>
      <c r="AG74" s="502" t="s">
        <v>42</v>
      </c>
      <c r="AH74" s="500"/>
      <c r="AI74" s="500"/>
      <c r="AJ74" s="502" t="s">
        <v>165</v>
      </c>
      <c r="AK74" s="501"/>
      <c r="AL74" s="502" t="s">
        <v>4</v>
      </c>
      <c r="AM74" s="501"/>
      <c r="AN74" s="50"/>
    </row>
    <row r="75" spans="2:43" ht="15" thickBot="1" x14ac:dyDescent="0.4">
      <c r="B75" s="49"/>
      <c r="C75" s="499"/>
      <c r="D75" s="6">
        <v>2024</v>
      </c>
      <c r="E75" s="6">
        <v>2025</v>
      </c>
      <c r="F75" s="155" t="s">
        <v>5</v>
      </c>
      <c r="G75" s="6">
        <v>2026</v>
      </c>
      <c r="H75" s="6" t="s">
        <v>6</v>
      </c>
      <c r="I75" s="6" t="s">
        <v>8</v>
      </c>
      <c r="J75" s="7" t="s">
        <v>7</v>
      </c>
      <c r="L75" s="556"/>
      <c r="M75" s="6">
        <v>2024</v>
      </c>
      <c r="N75" s="6">
        <v>2025</v>
      </c>
      <c r="O75" s="155" t="s">
        <v>5</v>
      </c>
      <c r="P75" s="6">
        <v>2026</v>
      </c>
      <c r="Q75" s="6" t="s">
        <v>6</v>
      </c>
      <c r="R75" s="6" t="s">
        <v>8</v>
      </c>
      <c r="S75" s="7" t="s">
        <v>7</v>
      </c>
      <c r="T75" s="50"/>
      <c r="V75" s="49"/>
      <c r="W75" s="556"/>
      <c r="X75" s="6">
        <v>2024</v>
      </c>
      <c r="Y75" s="6">
        <v>2025</v>
      </c>
      <c r="Z75" s="155" t="s">
        <v>5</v>
      </c>
      <c r="AA75" s="6">
        <v>2026</v>
      </c>
      <c r="AB75" s="6" t="s">
        <v>6</v>
      </c>
      <c r="AC75" s="6" t="s">
        <v>8</v>
      </c>
      <c r="AD75" s="7" t="s">
        <v>7</v>
      </c>
      <c r="AF75" s="556"/>
      <c r="AG75" s="6">
        <v>2024</v>
      </c>
      <c r="AH75" s="6">
        <v>2025</v>
      </c>
      <c r="AI75" s="155" t="s">
        <v>5</v>
      </c>
      <c r="AJ75" s="6">
        <v>2026</v>
      </c>
      <c r="AK75" s="6" t="s">
        <v>6</v>
      </c>
      <c r="AL75" s="6" t="s">
        <v>8</v>
      </c>
      <c r="AM75" s="7" t="s">
        <v>7</v>
      </c>
      <c r="AN75" s="50"/>
    </row>
    <row r="76" spans="2:43" x14ac:dyDescent="0.35">
      <c r="B76" s="49"/>
      <c r="C76" s="8" t="s">
        <v>9</v>
      </c>
      <c r="D76" s="26">
        <v>833660494</v>
      </c>
      <c r="E76" s="26">
        <v>948345379</v>
      </c>
      <c r="F76" s="26">
        <v>1516320000</v>
      </c>
      <c r="G76" s="60">
        <f>JAN!AB122</f>
        <v>920262195.94329953</v>
      </c>
      <c r="H76" s="27">
        <f>IFERROR(G76/F76,0)</f>
        <v>0.60690500418335147</v>
      </c>
      <c r="I76" s="13">
        <f>IFERROR(G76/D76-1,0)</f>
        <v>0.10388125929750425</v>
      </c>
      <c r="J76" s="14">
        <f t="shared" ref="J76:J91" si="54">IFERROR(G76/E76-1,0)</f>
        <v>-2.9612822162230934E-2</v>
      </c>
      <c r="L76" s="8" t="s">
        <v>9</v>
      </c>
      <c r="M76" s="9">
        <v>881751710</v>
      </c>
      <c r="N76" s="9">
        <v>899122028</v>
      </c>
      <c r="O76" s="10">
        <v>1600560000</v>
      </c>
      <c r="P76" s="60">
        <f>JAN!AB121</f>
        <v>687140806.30629992</v>
      </c>
      <c r="Q76" s="58">
        <f>IFERROR(P76/O76,0)</f>
        <v>0.42931274448086915</v>
      </c>
      <c r="R76" s="59">
        <f>IFERROR(P76/M76-1,0)</f>
        <v>-0.22070941455129145</v>
      </c>
      <c r="S76" s="14">
        <f t="shared" ref="S76:S91" si="55">IFERROR(P76/N76-1,0)</f>
        <v>-0.23576468498411662</v>
      </c>
      <c r="T76" s="50"/>
      <c r="V76" s="49"/>
      <c r="W76" s="8" t="s">
        <v>9</v>
      </c>
      <c r="X76" s="77">
        <v>1168637888</v>
      </c>
      <c r="Y76" s="77">
        <v>677989977</v>
      </c>
      <c r="Z76" s="62">
        <v>1291680000</v>
      </c>
      <c r="AA76" s="60">
        <f>JAN!AB133</f>
        <v>920761115.31270003</v>
      </c>
      <c r="AB76" s="58">
        <f>IFERROR(AA76/Z76,0)</f>
        <v>0.7128399567328596</v>
      </c>
      <c r="AC76" s="59">
        <f>IFERROR(AA76/X76-1,0)</f>
        <v>-0.21210742457744103</v>
      </c>
      <c r="AD76" s="14">
        <f t="shared" ref="AD76:AD91" si="56">IFERROR(AA76/Y76-1,0)</f>
        <v>0.35807481902155036</v>
      </c>
      <c r="AF76" s="8" t="s">
        <v>9</v>
      </c>
      <c r="AG76" s="110">
        <v>600660484</v>
      </c>
      <c r="AH76" s="110">
        <v>501653653</v>
      </c>
      <c r="AI76" s="10">
        <v>1010880000</v>
      </c>
      <c r="AJ76" s="60">
        <f>JAN!AB135</f>
        <v>712599158.55720019</v>
      </c>
      <c r="AK76" s="58">
        <f>IFERROR(AJ76/AI76,0)</f>
        <v>0.70492952532170006</v>
      </c>
      <c r="AL76" s="59">
        <f>IFERROR(AJ76/AG76-1,0)</f>
        <v>0.18635931202226419</v>
      </c>
      <c r="AM76" s="14">
        <f t="shared" ref="AM76:AM91" si="57">IFERROR(AJ76/AH76-1,0)</f>
        <v>0.4205002879889328</v>
      </c>
      <c r="AN76" s="50"/>
    </row>
    <row r="77" spans="2:43" x14ac:dyDescent="0.35">
      <c r="B77" s="49"/>
      <c r="C77" s="8" t="s">
        <v>10</v>
      </c>
      <c r="D77" s="10">
        <v>806134287</v>
      </c>
      <c r="E77" s="10">
        <v>911384263</v>
      </c>
      <c r="F77" s="10">
        <v>1347840000</v>
      </c>
      <c r="G77" s="60">
        <f>FEB!AB122</f>
        <v>748402217.10960007</v>
      </c>
      <c r="H77" s="12">
        <f t="shared" ref="H77:H89" si="58">IFERROR(G77/F77,0)</f>
        <v>0.55526042936075504</v>
      </c>
      <c r="I77" s="15">
        <f t="shared" ref="I77:I88" si="59">IFERROR(G77/D77-1,0)</f>
        <v>-7.1615946401743735E-2</v>
      </c>
      <c r="J77" s="14">
        <f t="shared" si="54"/>
        <v>-0.17882912017145502</v>
      </c>
      <c r="K77" s="3"/>
      <c r="L77" s="8" t="s">
        <v>10</v>
      </c>
      <c r="M77" s="9">
        <v>660681738</v>
      </c>
      <c r="N77" s="9">
        <v>894921634</v>
      </c>
      <c r="O77" s="10">
        <v>1422720000</v>
      </c>
      <c r="P77" s="60">
        <f>FEB!AB121</f>
        <v>782246644.86639988</v>
      </c>
      <c r="Q77" s="12">
        <f t="shared" ref="Q77:Q89" si="60">IFERROR(P77/O77,0)</f>
        <v>0.5498247335149572</v>
      </c>
      <c r="R77" s="15">
        <f t="shared" ref="R77:R88" si="61">IFERROR(P77/M77-1,0)</f>
        <v>0.18399919337016679</v>
      </c>
      <c r="S77" s="14">
        <f t="shared" si="55"/>
        <v>-0.12590486680937707</v>
      </c>
      <c r="T77" s="50"/>
      <c r="U77" s="3"/>
      <c r="V77" s="49"/>
      <c r="W77" s="8" t="s">
        <v>10</v>
      </c>
      <c r="X77" s="77">
        <v>828786857</v>
      </c>
      <c r="Y77" s="77">
        <v>874753954</v>
      </c>
      <c r="Z77" s="62">
        <v>1148160000</v>
      </c>
      <c r="AA77" s="60">
        <f>FEB!AB133</f>
        <v>1019303204.4056997</v>
      </c>
      <c r="AB77" s="12">
        <f t="shared" ref="AB77:AB89" si="62">IFERROR(AA77/Z77,0)</f>
        <v>0.88777104620061642</v>
      </c>
      <c r="AC77" s="15">
        <f t="shared" ref="AC77:AC88" si="63">IFERROR(AA77/X77-1,0)</f>
        <v>0.22987375559419587</v>
      </c>
      <c r="AD77" s="14">
        <f t="shared" si="56"/>
        <v>0.16524560963081947</v>
      </c>
      <c r="AE77" s="3"/>
      <c r="AF77" s="8" t="s">
        <v>10</v>
      </c>
      <c r="AG77" s="11">
        <v>715725542</v>
      </c>
      <c r="AH77" s="11">
        <v>572295744</v>
      </c>
      <c r="AI77" s="10">
        <v>898560000</v>
      </c>
      <c r="AJ77" s="60">
        <f>FEB!AB135</f>
        <v>476520297.2956</v>
      </c>
      <c r="AK77" s="12">
        <f t="shared" ref="AK77:AK89" si="64">IFERROR(AJ77/AI77,0)</f>
        <v>0.53031550179798792</v>
      </c>
      <c r="AL77" s="15">
        <f t="shared" ref="AL77:AL88" si="65">IFERROR(AJ77/AG77-1,0)</f>
        <v>-0.33421364848314994</v>
      </c>
      <c r="AM77" s="14">
        <f t="shared" si="57"/>
        <v>-0.16735306475457556</v>
      </c>
      <c r="AN77" s="50"/>
      <c r="AO77" s="3"/>
    </row>
    <row r="78" spans="2:43" x14ac:dyDescent="0.35">
      <c r="B78" s="49"/>
      <c r="C78" s="8" t="s">
        <v>11</v>
      </c>
      <c r="D78" s="10">
        <v>849084206</v>
      </c>
      <c r="E78" s="10">
        <v>756365097</v>
      </c>
      <c r="F78" s="10">
        <v>1347840000</v>
      </c>
      <c r="G78" s="60">
        <f>MAR!AB122</f>
        <v>454757572.34299994</v>
      </c>
      <c r="H78" s="12">
        <f t="shared" si="58"/>
        <v>0.33739729666948592</v>
      </c>
      <c r="I78" s="15">
        <f t="shared" si="59"/>
        <v>-0.46441404853666546</v>
      </c>
      <c r="J78" s="14">
        <f t="shared" si="54"/>
        <v>-0.39875917840904818</v>
      </c>
      <c r="L78" s="8" t="s">
        <v>11</v>
      </c>
      <c r="M78" s="9">
        <v>778516625</v>
      </c>
      <c r="N78" s="9">
        <v>746716264</v>
      </c>
      <c r="O78" s="10">
        <v>1422720000</v>
      </c>
      <c r="P78" s="60">
        <f>MAR!AB121</f>
        <v>423468572.63730013</v>
      </c>
      <c r="Q78" s="12">
        <f t="shared" si="60"/>
        <v>0.29764716362833177</v>
      </c>
      <c r="R78" s="15">
        <f t="shared" si="61"/>
        <v>-0.45605712320234637</v>
      </c>
      <c r="S78" s="14">
        <f t="shared" si="55"/>
        <v>-0.4328922603495079</v>
      </c>
      <c r="T78" s="50"/>
      <c r="V78" s="49"/>
      <c r="W78" s="8" t="s">
        <v>11</v>
      </c>
      <c r="X78" s="77">
        <v>1165964419</v>
      </c>
      <c r="Y78" s="77">
        <v>958451652</v>
      </c>
      <c r="Z78" s="62">
        <v>1148160000</v>
      </c>
      <c r="AA78" s="60">
        <f>MAR!AB133</f>
        <v>690360021.62220001</v>
      </c>
      <c r="AB78" s="12">
        <f t="shared" si="62"/>
        <v>0.60127510244408444</v>
      </c>
      <c r="AC78" s="15">
        <f t="shared" si="63"/>
        <v>-0.40790644176406898</v>
      </c>
      <c r="AD78" s="14">
        <f t="shared" si="56"/>
        <v>-0.27971325399499647</v>
      </c>
      <c r="AF78" s="8" t="s">
        <v>11</v>
      </c>
      <c r="AG78" s="11">
        <v>813600112</v>
      </c>
      <c r="AH78" s="11">
        <v>536931393</v>
      </c>
      <c r="AI78" s="10">
        <v>898560000</v>
      </c>
      <c r="AJ78" s="60">
        <f>MAR!AB135</f>
        <v>256800406.30649999</v>
      </c>
      <c r="AK78" s="12">
        <f t="shared" si="64"/>
        <v>0.28579105046574516</v>
      </c>
      <c r="AL78" s="15">
        <f t="shared" si="65"/>
        <v>-0.68436532576767894</v>
      </c>
      <c r="AM78" s="14">
        <f t="shared" si="57"/>
        <v>-0.52172584867560534</v>
      </c>
      <c r="AN78" s="50"/>
    </row>
    <row r="79" spans="2:43" x14ac:dyDescent="0.35">
      <c r="B79" s="49"/>
      <c r="C79" s="8" t="s">
        <v>12</v>
      </c>
      <c r="D79" s="10">
        <v>626970263</v>
      </c>
      <c r="E79" s="10">
        <v>807913263</v>
      </c>
      <c r="F79" s="10">
        <v>1516320000</v>
      </c>
      <c r="G79" s="60">
        <f>APR!AB122</f>
        <v>1097961419.8202004</v>
      </c>
      <c r="H79" s="12">
        <f t="shared" si="58"/>
        <v>0.72409611415809361</v>
      </c>
      <c r="I79" s="15">
        <f t="shared" si="59"/>
        <v>0.75121769662016713</v>
      </c>
      <c r="J79" s="14">
        <f t="shared" si="54"/>
        <v>0.35900902993370032</v>
      </c>
      <c r="L79" s="8" t="s">
        <v>12</v>
      </c>
      <c r="M79" s="9">
        <v>501846088</v>
      </c>
      <c r="N79" s="9">
        <v>728939440</v>
      </c>
      <c r="O79" s="10">
        <v>1600560000</v>
      </c>
      <c r="P79" s="60">
        <f>APR!AB121</f>
        <v>656171212.79419994</v>
      </c>
      <c r="Q79" s="12">
        <f t="shared" si="60"/>
        <v>0.40996352076410753</v>
      </c>
      <c r="R79" s="15">
        <f t="shared" si="61"/>
        <v>0.30751485063723361</v>
      </c>
      <c r="S79" s="14">
        <f t="shared" si="55"/>
        <v>-9.9827534651987127E-2</v>
      </c>
      <c r="T79" s="50"/>
      <c r="V79" s="49"/>
      <c r="W79" s="8" t="s">
        <v>12</v>
      </c>
      <c r="X79" s="77">
        <v>913229909</v>
      </c>
      <c r="Y79" s="77">
        <v>918910716</v>
      </c>
      <c r="Z79" s="62">
        <v>1291680000</v>
      </c>
      <c r="AA79" s="60">
        <f>APR!AB133</f>
        <v>1204261433.5955</v>
      </c>
      <c r="AB79" s="12">
        <f t="shared" si="62"/>
        <v>0.93232180849397683</v>
      </c>
      <c r="AC79" s="15">
        <f t="shared" si="63"/>
        <v>0.31868374187851956</v>
      </c>
      <c r="AD79" s="14">
        <f t="shared" si="56"/>
        <v>0.31053149411253567</v>
      </c>
      <c r="AF79" s="8" t="s">
        <v>12</v>
      </c>
      <c r="AG79" s="11">
        <v>396896112</v>
      </c>
      <c r="AH79" s="11">
        <v>469136554</v>
      </c>
      <c r="AI79" s="10">
        <v>1010880000</v>
      </c>
      <c r="AJ79" s="60">
        <f>APR!AB135</f>
        <v>608623877.47720003</v>
      </c>
      <c r="AK79" s="12">
        <f t="shared" si="64"/>
        <v>0.60207331975823053</v>
      </c>
      <c r="AL79" s="15">
        <f t="shared" si="65"/>
        <v>0.53345890543064844</v>
      </c>
      <c r="AM79" s="14">
        <f t="shared" si="57"/>
        <v>0.29732776584533638</v>
      </c>
      <c r="AN79" s="50"/>
      <c r="AP79" s="3"/>
      <c r="AQ79" s="3"/>
    </row>
    <row r="80" spans="2:43" x14ac:dyDescent="0.35">
      <c r="B80" s="49"/>
      <c r="C80" s="8" t="s">
        <v>13</v>
      </c>
      <c r="D80" s="10">
        <v>936839766</v>
      </c>
      <c r="E80" s="10">
        <v>938217067</v>
      </c>
      <c r="F80" s="10">
        <v>1347840000</v>
      </c>
      <c r="G80" s="60">
        <f>MEI!AB122</f>
        <v>544191387.38760006</v>
      </c>
      <c r="H80" s="12">
        <f t="shared" si="58"/>
        <v>0.40375073257033478</v>
      </c>
      <c r="I80" s="15">
        <f t="shared" si="59"/>
        <v>-0.41912010235099262</v>
      </c>
      <c r="J80" s="14">
        <f t="shared" si="54"/>
        <v>-0.41997283301647714</v>
      </c>
      <c r="K80" s="3"/>
      <c r="L80" s="8" t="s">
        <v>13</v>
      </c>
      <c r="M80" s="9">
        <v>813496286</v>
      </c>
      <c r="N80" s="9">
        <v>924618768</v>
      </c>
      <c r="O80" s="10">
        <v>1422720000</v>
      </c>
      <c r="P80" s="60">
        <f>MEI!AB121</f>
        <v>547303093.51419997</v>
      </c>
      <c r="Q80" s="12">
        <f t="shared" si="60"/>
        <v>0.38468784688076357</v>
      </c>
      <c r="R80" s="15">
        <f t="shared" si="61"/>
        <v>-0.32722115277831765</v>
      </c>
      <c r="S80" s="14">
        <f t="shared" si="55"/>
        <v>-0.4080770232492188</v>
      </c>
      <c r="T80" s="50"/>
      <c r="U80" s="3"/>
      <c r="V80" s="49"/>
      <c r="W80" s="8" t="s">
        <v>13</v>
      </c>
      <c r="X80" s="77">
        <v>1066585160</v>
      </c>
      <c r="Y80" s="77">
        <v>790668774</v>
      </c>
      <c r="Z80" s="62">
        <v>1148160000</v>
      </c>
      <c r="AA80" s="60">
        <f>MEI!AB133</f>
        <v>643964290.98969984</v>
      </c>
      <c r="AB80" s="12">
        <f t="shared" si="62"/>
        <v>0.56086633482241133</v>
      </c>
      <c r="AC80" s="15">
        <f t="shared" si="63"/>
        <v>-0.39623734218306594</v>
      </c>
      <c r="AD80" s="14">
        <f t="shared" si="56"/>
        <v>-0.18554480439150389</v>
      </c>
      <c r="AE80" s="3"/>
      <c r="AF80" s="8" t="s">
        <v>13</v>
      </c>
      <c r="AG80" s="11">
        <v>631553929</v>
      </c>
      <c r="AH80" s="11">
        <v>661224642</v>
      </c>
      <c r="AI80" s="10">
        <v>898560000</v>
      </c>
      <c r="AJ80" s="60">
        <f>MEI!AB135</f>
        <v>435819491.22509998</v>
      </c>
      <c r="AK80" s="12">
        <f t="shared" si="64"/>
        <v>0.48501991099659453</v>
      </c>
      <c r="AL80" s="15">
        <f t="shared" si="65"/>
        <v>-0.30992513669390853</v>
      </c>
      <c r="AM80" s="14">
        <f t="shared" si="57"/>
        <v>-0.34089042733362018</v>
      </c>
      <c r="AN80" s="50"/>
      <c r="AO80" s="3"/>
      <c r="AP80" s="3"/>
      <c r="AQ80" s="3"/>
    </row>
    <row r="81" spans="1:43" ht="15" thickBot="1" x14ac:dyDescent="0.4">
      <c r="B81" s="49"/>
      <c r="C81" s="8" t="s">
        <v>14</v>
      </c>
      <c r="D81" s="17">
        <v>990126098</v>
      </c>
      <c r="E81" s="17">
        <v>800253982</v>
      </c>
      <c r="F81" s="17">
        <v>1347840000</v>
      </c>
      <c r="G81" s="65">
        <f>JUN!AB122</f>
        <v>733827808.5194</v>
      </c>
      <c r="H81" s="27">
        <f t="shared" si="58"/>
        <v>0.54444727009096039</v>
      </c>
      <c r="I81" s="19">
        <f>IFERROR(G81/D81-1,0)</f>
        <v>-0.25885419038878821</v>
      </c>
      <c r="J81" s="14">
        <f>IFERROR(G81/E81-1,0)</f>
        <v>-8.3006364197760418E-2</v>
      </c>
      <c r="L81" s="8" t="s">
        <v>14</v>
      </c>
      <c r="M81" s="16">
        <v>1035475801</v>
      </c>
      <c r="N81" s="16">
        <v>753557688</v>
      </c>
      <c r="O81" s="17">
        <v>1422720000</v>
      </c>
      <c r="P81" s="65">
        <f>JUN!AB121</f>
        <v>692954131.07990015</v>
      </c>
      <c r="Q81" s="27">
        <f t="shared" si="60"/>
        <v>0.48706290140006475</v>
      </c>
      <c r="R81" s="15">
        <f t="shared" ref="R81" si="66">IFERROR(P81/M81-1,0)</f>
        <v>-0.33078674517483952</v>
      </c>
      <c r="S81" s="14">
        <f t="shared" ref="S81" si="67">IFERROR(P81/N81-1,0)</f>
        <v>-8.0423248127089453E-2</v>
      </c>
      <c r="T81" s="50"/>
      <c r="V81" s="49"/>
      <c r="W81" s="8" t="s">
        <v>14</v>
      </c>
      <c r="X81" s="107">
        <v>1184647329</v>
      </c>
      <c r="Y81" s="107">
        <v>878710605</v>
      </c>
      <c r="Z81" s="66">
        <v>1148160000</v>
      </c>
      <c r="AA81" s="65">
        <f>JUN!AB133</f>
        <v>1046376111.1143003</v>
      </c>
      <c r="AB81" s="27">
        <f t="shared" si="62"/>
        <v>0.91135043122413273</v>
      </c>
      <c r="AC81" s="15">
        <f t="shared" ref="AC81" si="68">IFERROR(AA81/X81-1,0)</f>
        <v>-0.11671930919932016</v>
      </c>
      <c r="AD81" s="14">
        <f t="shared" ref="AD81" si="69">IFERROR(AA81/Y81-1,0)</f>
        <v>0.19080856104416788</v>
      </c>
      <c r="AF81" s="8" t="s">
        <v>14</v>
      </c>
      <c r="AG81" s="111">
        <v>716014616</v>
      </c>
      <c r="AH81" s="111">
        <v>556290283</v>
      </c>
      <c r="AI81" s="17">
        <v>898560000</v>
      </c>
      <c r="AJ81" s="65">
        <f>JUN!AB135</f>
        <v>549713880.17879999</v>
      </c>
      <c r="AK81" s="27">
        <f t="shared" si="64"/>
        <v>0.61177203545539527</v>
      </c>
      <c r="AL81" s="15">
        <f t="shared" ref="AL81" si="70">IFERROR(AJ81/AG81-1,0)</f>
        <v>-0.23225885632088827</v>
      </c>
      <c r="AM81" s="14">
        <f t="shared" ref="AM81" si="71">IFERROR(AJ81/AH81-1,0)</f>
        <v>-1.1821890516825806E-2</v>
      </c>
      <c r="AN81" s="50"/>
      <c r="AP81" s="3"/>
      <c r="AQ81" s="3"/>
    </row>
    <row r="82" spans="1:43" ht="15" thickBot="1" x14ac:dyDescent="0.4">
      <c r="A82" s="3"/>
      <c r="B82" s="49"/>
      <c r="C82" s="20" t="s">
        <v>15</v>
      </c>
      <c r="D82" s="72">
        <f>SUM(D76:D81)</f>
        <v>5042815114</v>
      </c>
      <c r="E82" s="21">
        <f>SUM(E76:E81)</f>
        <v>5162479051</v>
      </c>
      <c r="F82" s="21">
        <f>SUM(F76:F81)</f>
        <v>8424000000</v>
      </c>
      <c r="G82" s="73">
        <f>SUM(G76:G81)</f>
        <v>4499402601.1230993</v>
      </c>
      <c r="H82" s="71">
        <f t="shared" si="58"/>
        <v>0.53411711789210581</v>
      </c>
      <c r="I82" s="23">
        <f t="shared" si="59"/>
        <v>-0.10775975335051724</v>
      </c>
      <c r="J82" s="24">
        <f t="shared" si="54"/>
        <v>-0.12844148001887956</v>
      </c>
      <c r="L82" s="20" t="s">
        <v>15</v>
      </c>
      <c r="M82" s="72">
        <f>SUM(M76:M81)</f>
        <v>4671768248</v>
      </c>
      <c r="N82" s="21">
        <f>SUM(N76:N81)</f>
        <v>4947875822</v>
      </c>
      <c r="O82" s="21">
        <f>SUM(O76:O81)</f>
        <v>8892000000</v>
      </c>
      <c r="P82" s="73">
        <f>SUM(P76:P81)</f>
        <v>3789284461.1982999</v>
      </c>
      <c r="Q82" s="71">
        <f t="shared" si="60"/>
        <v>0.42614535101195455</v>
      </c>
      <c r="R82" s="23">
        <f t="shared" si="61"/>
        <v>-0.18889716697301806</v>
      </c>
      <c r="S82" s="24">
        <f t="shared" si="55"/>
        <v>-0.23415934483444278</v>
      </c>
      <c r="T82" s="50"/>
      <c r="V82" s="49"/>
      <c r="W82" s="20" t="s">
        <v>15</v>
      </c>
      <c r="X82" s="72">
        <f>SUM(X76:X81)</f>
        <v>6327851562</v>
      </c>
      <c r="Y82" s="76">
        <f>SUM(Y76:Y81)</f>
        <v>5099485678</v>
      </c>
      <c r="Z82" s="73">
        <f>SUM(Z76:Z81)</f>
        <v>7176000000</v>
      </c>
      <c r="AA82" s="73">
        <f>SUM(AA76:AA81)</f>
        <v>5525026177.0401001</v>
      </c>
      <c r="AB82" s="71">
        <f t="shared" si="62"/>
        <v>0.7699311840914298</v>
      </c>
      <c r="AC82" s="23">
        <f t="shared" si="63"/>
        <v>-0.12687171579387624</v>
      </c>
      <c r="AD82" s="24">
        <f t="shared" si="56"/>
        <v>8.3447729028037099E-2</v>
      </c>
      <c r="AF82" s="20" t="s">
        <v>15</v>
      </c>
      <c r="AG82" s="21">
        <f>SUM(AG76:AG81)</f>
        <v>3874450795</v>
      </c>
      <c r="AH82" s="21">
        <f>SUM(AH76:AH81)</f>
        <v>3297532269</v>
      </c>
      <c r="AI82" s="21">
        <f>SUM(AI76:AI81)</f>
        <v>5616000000</v>
      </c>
      <c r="AJ82" s="73">
        <f>SUM(AJ76:AJ81)</f>
        <v>3040077111.0404</v>
      </c>
      <c r="AK82" s="71">
        <f t="shared" si="64"/>
        <v>0.54132427190890309</v>
      </c>
      <c r="AL82" s="23">
        <f t="shared" si="65"/>
        <v>-0.21535276303840634</v>
      </c>
      <c r="AM82" s="24">
        <f t="shared" si="57"/>
        <v>-7.8075098879221927E-2</v>
      </c>
      <c r="AN82" s="50"/>
      <c r="AP82" s="3"/>
      <c r="AQ82" s="3"/>
    </row>
    <row r="83" spans="1:43" x14ac:dyDescent="0.35">
      <c r="A83" s="157"/>
      <c r="B83" s="49"/>
      <c r="C83" s="25" t="s">
        <v>16</v>
      </c>
      <c r="D83" s="26">
        <v>956630792</v>
      </c>
      <c r="E83" s="26">
        <v>1028797672</v>
      </c>
      <c r="F83" s="26">
        <v>1347840000</v>
      </c>
      <c r="G83" s="60">
        <f>JUL!Q122</f>
        <v>857945792.78900015</v>
      </c>
      <c r="H83" s="58">
        <f t="shared" si="58"/>
        <v>0.63653385623590353</v>
      </c>
      <c r="I83" s="13">
        <f t="shared" si="59"/>
        <v>-0.10315891986362058</v>
      </c>
      <c r="J83" s="14">
        <f t="shared" si="54"/>
        <v>-0.16606946522231225</v>
      </c>
      <c r="L83" s="25" t="s">
        <v>16</v>
      </c>
      <c r="M83" s="11">
        <v>1036862706</v>
      </c>
      <c r="N83" s="11">
        <v>760013936</v>
      </c>
      <c r="O83" s="26">
        <v>1422720000</v>
      </c>
      <c r="P83" s="60">
        <f>JUL!Q121</f>
        <v>815491184.66620028</v>
      </c>
      <c r="Q83" s="58">
        <f t="shared" si="60"/>
        <v>0.57319162215066932</v>
      </c>
      <c r="R83" s="13">
        <f t="shared" si="61"/>
        <v>-0.21350128619034325</v>
      </c>
      <c r="S83" s="14">
        <f t="shared" si="55"/>
        <v>7.2995041325400578E-2</v>
      </c>
      <c r="T83" s="50"/>
      <c r="V83" s="49"/>
      <c r="W83" s="25" t="s">
        <v>16</v>
      </c>
      <c r="X83" s="77">
        <v>981001034</v>
      </c>
      <c r="Y83" s="77">
        <v>967495674</v>
      </c>
      <c r="Z83" s="78">
        <v>1148160000</v>
      </c>
      <c r="AA83" s="60">
        <f>JUL!Q134</f>
        <v>1080915306.4856997</v>
      </c>
      <c r="AB83" s="58">
        <f t="shared" si="62"/>
        <v>0.94143264569894414</v>
      </c>
      <c r="AC83" s="13">
        <f t="shared" si="63"/>
        <v>0.10184930394854175</v>
      </c>
      <c r="AD83" s="14">
        <f t="shared" si="56"/>
        <v>0.11723011847358356</v>
      </c>
      <c r="AF83" s="25" t="s">
        <v>16</v>
      </c>
      <c r="AG83" s="11">
        <v>714996770</v>
      </c>
      <c r="AH83" s="11">
        <v>543365884</v>
      </c>
      <c r="AI83" s="26">
        <v>898560000</v>
      </c>
      <c r="AJ83" s="60">
        <f>JUL!Q136</f>
        <v>494158826.7026</v>
      </c>
      <c r="AK83" s="58">
        <f t="shared" si="64"/>
        <v>0.54994527544359861</v>
      </c>
      <c r="AL83" s="13">
        <f t="shared" si="65"/>
        <v>-0.30886565165518165</v>
      </c>
      <c r="AM83" s="14">
        <f t="shared" si="57"/>
        <v>-9.0559710770137358E-2</v>
      </c>
      <c r="AN83" s="50"/>
      <c r="AP83" s="3"/>
      <c r="AQ83" s="3"/>
    </row>
    <row r="84" spans="1:43" x14ac:dyDescent="0.35">
      <c r="B84" s="49"/>
      <c r="C84" s="28" t="s">
        <v>17</v>
      </c>
      <c r="D84" s="10">
        <v>1002343985</v>
      </c>
      <c r="E84" s="10">
        <v>856070556</v>
      </c>
      <c r="F84" s="10">
        <v>1516320000</v>
      </c>
      <c r="G84" s="60">
        <f>AGS!Q122</f>
        <v>813265285.13399994</v>
      </c>
      <c r="H84" s="12">
        <f t="shared" si="58"/>
        <v>0.53634146165321306</v>
      </c>
      <c r="I84" s="15">
        <f t="shared" si="59"/>
        <v>-0.18863653864895502</v>
      </c>
      <c r="J84" s="14">
        <f t="shared" si="54"/>
        <v>-5.0002036124228155E-2</v>
      </c>
      <c r="K84" s="3"/>
      <c r="L84" s="28" t="s">
        <v>17</v>
      </c>
      <c r="M84" s="9">
        <v>924989587</v>
      </c>
      <c r="N84" s="9">
        <v>762107103</v>
      </c>
      <c r="O84" s="10">
        <v>1600560000</v>
      </c>
      <c r="P84" s="60">
        <f>AGS!Q121</f>
        <v>447133940.11489999</v>
      </c>
      <c r="Q84" s="12">
        <f t="shared" si="60"/>
        <v>0.27936093624412706</v>
      </c>
      <c r="R84" s="15">
        <f t="shared" si="61"/>
        <v>-0.51660651492836751</v>
      </c>
      <c r="S84" s="14">
        <f t="shared" si="55"/>
        <v>-0.4132925170822086</v>
      </c>
      <c r="T84" s="50"/>
      <c r="U84" s="3"/>
      <c r="V84" s="49"/>
      <c r="W84" s="28" t="s">
        <v>17</v>
      </c>
      <c r="X84" s="77">
        <v>918906735</v>
      </c>
      <c r="Y84" s="77">
        <v>825865477</v>
      </c>
      <c r="Z84" s="62">
        <v>1291680000</v>
      </c>
      <c r="AA84" s="60">
        <f>AGS!Q134</f>
        <v>722612750.53970003</v>
      </c>
      <c r="AB84" s="12">
        <f t="shared" si="62"/>
        <v>0.55943635462320396</v>
      </c>
      <c r="AC84" s="15">
        <f t="shared" si="63"/>
        <v>-0.21361687425253229</v>
      </c>
      <c r="AD84" s="14">
        <f t="shared" si="56"/>
        <v>-0.12502366224989925</v>
      </c>
      <c r="AE84" s="3"/>
      <c r="AF84" s="28" t="s">
        <v>17</v>
      </c>
      <c r="AG84" s="11">
        <v>748889468</v>
      </c>
      <c r="AH84" s="11">
        <v>520010543</v>
      </c>
      <c r="AI84" s="10">
        <v>1010880000</v>
      </c>
      <c r="AJ84" s="60">
        <f>AGS!Q136</f>
        <v>552035274.75820005</v>
      </c>
      <c r="AK84" s="12">
        <f t="shared" si="64"/>
        <v>0.54609377449173002</v>
      </c>
      <c r="AL84" s="15">
        <f t="shared" si="65"/>
        <v>-0.26286147910121227</v>
      </c>
      <c r="AM84" s="14">
        <f t="shared" si="57"/>
        <v>6.158477398063078E-2</v>
      </c>
      <c r="AN84" s="50"/>
      <c r="AO84" s="3"/>
      <c r="AP84" s="154"/>
      <c r="AQ84" s="154"/>
    </row>
    <row r="85" spans="1:43" x14ac:dyDescent="0.35">
      <c r="B85" s="49"/>
      <c r="C85" s="28" t="s">
        <v>18</v>
      </c>
      <c r="D85" s="10">
        <v>1052674380</v>
      </c>
      <c r="E85" s="10">
        <v>919373283</v>
      </c>
      <c r="F85" s="10">
        <v>1347840000</v>
      </c>
      <c r="G85" s="11">
        <f>SEP!Q122</f>
        <v>425459673.05479997</v>
      </c>
      <c r="H85" s="12">
        <f t="shared" si="58"/>
        <v>0.31566036996587132</v>
      </c>
      <c r="I85" s="15">
        <f t="shared" si="59"/>
        <v>-0.59582974456469628</v>
      </c>
      <c r="J85" s="14">
        <f t="shared" si="54"/>
        <v>-0.53722858721053357</v>
      </c>
      <c r="L85" s="28" t="s">
        <v>18</v>
      </c>
      <c r="M85" s="9">
        <v>811485774</v>
      </c>
      <c r="N85" s="9">
        <v>813090938</v>
      </c>
      <c r="O85" s="10">
        <v>1422720000</v>
      </c>
      <c r="P85" s="11">
        <f>SEP!Q121</f>
        <v>548377586.0546</v>
      </c>
      <c r="Q85" s="12">
        <f t="shared" si="60"/>
        <v>0.38544308511485043</v>
      </c>
      <c r="R85" s="15">
        <f t="shared" si="61"/>
        <v>-0.3242301915515774</v>
      </c>
      <c r="S85" s="14">
        <f t="shared" si="55"/>
        <v>-0.3255642629550497</v>
      </c>
      <c r="T85" s="50"/>
      <c r="V85" s="49"/>
      <c r="W85" s="28" t="s">
        <v>18</v>
      </c>
      <c r="X85" s="77">
        <v>808903207</v>
      </c>
      <c r="Y85" s="77">
        <v>944322393</v>
      </c>
      <c r="Z85" s="62">
        <v>1148160000</v>
      </c>
      <c r="AA85" s="11">
        <f>SEP!Q134</f>
        <v>807373245.49410009</v>
      </c>
      <c r="AB85" s="12">
        <f t="shared" si="62"/>
        <v>0.70318879380408661</v>
      </c>
      <c r="AC85" s="15">
        <f t="shared" si="63"/>
        <v>-1.8914024479814717E-3</v>
      </c>
      <c r="AD85" s="14">
        <f t="shared" si="56"/>
        <v>-0.14502372126412122</v>
      </c>
      <c r="AF85" s="28" t="s">
        <v>18</v>
      </c>
      <c r="AG85" s="11">
        <v>649842936</v>
      </c>
      <c r="AH85" s="11">
        <v>514379106</v>
      </c>
      <c r="AI85" s="10">
        <v>898560000</v>
      </c>
      <c r="AJ85" s="11">
        <f>SEP!Q136</f>
        <v>405479069.82850009</v>
      </c>
      <c r="AK85" s="12">
        <f t="shared" si="64"/>
        <v>0.45125430670016481</v>
      </c>
      <c r="AL85" s="15">
        <f t="shared" si="65"/>
        <v>-0.37603527350107246</v>
      </c>
      <c r="AM85" s="14">
        <f t="shared" si="57"/>
        <v>-0.21171162456100989</v>
      </c>
      <c r="AN85" s="50"/>
      <c r="AP85" s="3"/>
      <c r="AQ85" s="3"/>
    </row>
    <row r="86" spans="1:43" x14ac:dyDescent="0.35">
      <c r="B86" s="49"/>
      <c r="C86" s="28" t="s">
        <v>19</v>
      </c>
      <c r="D86" s="10">
        <v>937879885</v>
      </c>
      <c r="E86" s="10">
        <v>880506824</v>
      </c>
      <c r="F86" s="10">
        <v>1516320000</v>
      </c>
      <c r="G86" s="60">
        <f>OKT!AB131</f>
        <v>0</v>
      </c>
      <c r="H86" s="12">
        <f t="shared" si="58"/>
        <v>0</v>
      </c>
      <c r="I86" s="15">
        <f t="shared" si="59"/>
        <v>-1</v>
      </c>
      <c r="J86" s="14">
        <f t="shared" si="54"/>
        <v>-1</v>
      </c>
      <c r="L86" s="28" t="s">
        <v>19</v>
      </c>
      <c r="M86" s="9">
        <v>917189215</v>
      </c>
      <c r="N86" s="9">
        <v>774625200</v>
      </c>
      <c r="O86" s="10">
        <v>1600560000</v>
      </c>
      <c r="P86" s="60">
        <f>OKT!AB132</f>
        <v>0</v>
      </c>
      <c r="Q86" s="12">
        <f t="shared" si="60"/>
        <v>0</v>
      </c>
      <c r="R86" s="15">
        <f t="shared" si="61"/>
        <v>-1</v>
      </c>
      <c r="S86" s="14">
        <f t="shared" si="55"/>
        <v>-1</v>
      </c>
      <c r="T86" s="50"/>
      <c r="V86" s="49"/>
      <c r="W86" s="28" t="s">
        <v>19</v>
      </c>
      <c r="X86" s="77">
        <v>938570701</v>
      </c>
      <c r="Y86" s="77">
        <v>841783492</v>
      </c>
      <c r="Z86" s="62">
        <v>1291680000</v>
      </c>
      <c r="AA86" s="60">
        <f>OKT!AB145</f>
        <v>0</v>
      </c>
      <c r="AB86" s="12">
        <f t="shared" si="62"/>
        <v>0</v>
      </c>
      <c r="AC86" s="15">
        <f t="shared" si="63"/>
        <v>-1</v>
      </c>
      <c r="AD86" s="14">
        <f t="shared" si="56"/>
        <v>-1</v>
      </c>
      <c r="AF86" s="28" t="s">
        <v>19</v>
      </c>
      <c r="AG86" s="11">
        <v>662612520</v>
      </c>
      <c r="AH86" s="11">
        <v>528894439</v>
      </c>
      <c r="AI86" s="10">
        <v>1010880000</v>
      </c>
      <c r="AJ86" s="60">
        <f>OKT!AB143</f>
        <v>0</v>
      </c>
      <c r="AK86" s="12">
        <f t="shared" si="64"/>
        <v>0</v>
      </c>
      <c r="AL86" s="15">
        <f t="shared" si="65"/>
        <v>-1</v>
      </c>
      <c r="AM86" s="14">
        <f t="shared" si="57"/>
        <v>-1</v>
      </c>
      <c r="AN86" s="50"/>
      <c r="AP86" s="3"/>
      <c r="AQ86" s="3"/>
    </row>
    <row r="87" spans="1:43" x14ac:dyDescent="0.35">
      <c r="B87" s="49"/>
      <c r="C87" s="28" t="s">
        <v>20</v>
      </c>
      <c r="D87" s="10">
        <v>831767135</v>
      </c>
      <c r="E87" s="10">
        <v>791201516</v>
      </c>
      <c r="F87" s="10">
        <v>1347840000</v>
      </c>
      <c r="G87" s="60">
        <f>NOV!AB130</f>
        <v>0</v>
      </c>
      <c r="H87" s="12">
        <f t="shared" si="58"/>
        <v>0</v>
      </c>
      <c r="I87" s="15">
        <f t="shared" si="59"/>
        <v>-1</v>
      </c>
      <c r="J87" s="14">
        <f t="shared" si="54"/>
        <v>-1</v>
      </c>
      <c r="L87" s="28" t="s">
        <v>20</v>
      </c>
      <c r="M87" s="9">
        <v>940923546</v>
      </c>
      <c r="N87" s="9">
        <v>762580365</v>
      </c>
      <c r="O87" s="10">
        <v>1422720000</v>
      </c>
      <c r="P87" s="60">
        <f>NOV!AB132</f>
        <v>0</v>
      </c>
      <c r="Q87" s="12">
        <f t="shared" si="60"/>
        <v>0</v>
      </c>
      <c r="R87" s="15">
        <f t="shared" si="61"/>
        <v>-1</v>
      </c>
      <c r="S87" s="14">
        <f t="shared" si="55"/>
        <v>-1</v>
      </c>
      <c r="T87" s="50"/>
      <c r="V87" s="49"/>
      <c r="W87" s="28" t="s">
        <v>20</v>
      </c>
      <c r="X87" s="77">
        <v>1056226410</v>
      </c>
      <c r="Y87" s="77">
        <v>877332558</v>
      </c>
      <c r="Z87" s="62">
        <v>1148160000</v>
      </c>
      <c r="AA87" s="60">
        <f>NOV!AB145</f>
        <v>0</v>
      </c>
      <c r="AB87" s="12">
        <f t="shared" si="62"/>
        <v>0</v>
      </c>
      <c r="AC87" s="15">
        <f t="shared" si="63"/>
        <v>-1</v>
      </c>
      <c r="AD87" s="14">
        <f t="shared" si="56"/>
        <v>-1</v>
      </c>
      <c r="AF87" s="28" t="s">
        <v>20</v>
      </c>
      <c r="AG87" s="11">
        <v>630619313</v>
      </c>
      <c r="AH87" s="11">
        <v>529517994</v>
      </c>
      <c r="AI87" s="10">
        <v>898560000</v>
      </c>
      <c r="AJ87" s="60">
        <f>NOV!AB143</f>
        <v>0</v>
      </c>
      <c r="AK87" s="12">
        <f t="shared" si="64"/>
        <v>0</v>
      </c>
      <c r="AL87" s="15">
        <f t="shared" si="65"/>
        <v>-1</v>
      </c>
      <c r="AM87" s="14">
        <f t="shared" si="57"/>
        <v>-1</v>
      </c>
      <c r="AN87" s="50"/>
      <c r="AP87" s="3"/>
      <c r="AQ87" s="3"/>
    </row>
    <row r="88" spans="1:43" ht="15" thickBot="1" x14ac:dyDescent="0.4">
      <c r="B88" s="49"/>
      <c r="C88" s="29" t="s">
        <v>21</v>
      </c>
      <c r="D88" s="11">
        <v>892532663</v>
      </c>
      <c r="E88" s="11">
        <v>1026438948</v>
      </c>
      <c r="F88" s="11">
        <v>1347840000</v>
      </c>
      <c r="G88" s="60">
        <v>0</v>
      </c>
      <c r="H88" s="27">
        <f t="shared" si="58"/>
        <v>0</v>
      </c>
      <c r="I88" s="19">
        <f t="shared" si="59"/>
        <v>-1</v>
      </c>
      <c r="J88" s="14">
        <f t="shared" si="54"/>
        <v>-1</v>
      </c>
      <c r="L88" s="29" t="s">
        <v>21</v>
      </c>
      <c r="M88" s="11">
        <v>1093790032</v>
      </c>
      <c r="N88" s="11">
        <v>741685500</v>
      </c>
      <c r="O88" s="11">
        <v>1422720000</v>
      </c>
      <c r="P88" s="60">
        <v>0</v>
      </c>
      <c r="Q88" s="27">
        <f t="shared" si="60"/>
        <v>0</v>
      </c>
      <c r="R88" s="19">
        <f t="shared" si="61"/>
        <v>-1</v>
      </c>
      <c r="S88" s="14">
        <f t="shared" si="55"/>
        <v>-1</v>
      </c>
      <c r="T88" s="50"/>
      <c r="V88" s="49"/>
      <c r="W88" s="29" t="s">
        <v>21</v>
      </c>
      <c r="X88" s="77">
        <v>1107483954</v>
      </c>
      <c r="Y88" s="77">
        <v>1097243156</v>
      </c>
      <c r="Z88" s="81">
        <v>1148160000</v>
      </c>
      <c r="AA88" s="60">
        <f>DES!Z142</f>
        <v>0</v>
      </c>
      <c r="AB88" s="27">
        <f t="shared" si="62"/>
        <v>0</v>
      </c>
      <c r="AC88" s="19">
        <f t="shared" si="63"/>
        <v>-1</v>
      </c>
      <c r="AD88" s="14">
        <f t="shared" si="56"/>
        <v>-1</v>
      </c>
      <c r="AF88" s="29" t="s">
        <v>21</v>
      </c>
      <c r="AG88" s="112">
        <v>597662531</v>
      </c>
      <c r="AH88" s="112">
        <v>525902098</v>
      </c>
      <c r="AI88" s="11">
        <v>898560000</v>
      </c>
      <c r="AJ88" s="60">
        <f>DES!Z140</f>
        <v>0</v>
      </c>
      <c r="AK88" s="27">
        <f t="shared" si="64"/>
        <v>0</v>
      </c>
      <c r="AL88" s="19">
        <f t="shared" si="65"/>
        <v>-1</v>
      </c>
      <c r="AM88" s="14">
        <f t="shared" si="57"/>
        <v>-1</v>
      </c>
      <c r="AN88" s="50"/>
      <c r="AP88" s="3"/>
      <c r="AQ88" s="3"/>
    </row>
    <row r="89" spans="1:43" ht="15" thickBot="1" x14ac:dyDescent="0.4">
      <c r="B89" s="49"/>
      <c r="C89" s="20" t="s">
        <v>22</v>
      </c>
      <c r="D89" s="83">
        <f>SUM(D83:D88)</f>
        <v>5673828840</v>
      </c>
      <c r="E89" s="21">
        <f>SUM(E83:E88)</f>
        <v>5502388799</v>
      </c>
      <c r="F89" s="21">
        <f>SUM(F83:F88)</f>
        <v>8424000000</v>
      </c>
      <c r="G89" s="84">
        <f>SUM(G83:G88)</f>
        <v>2096670750.9778001</v>
      </c>
      <c r="H89" s="71">
        <f t="shared" si="58"/>
        <v>0.24889253928986232</v>
      </c>
      <c r="I89" s="23">
        <f>IFERROR(G89/D89-1,0)</f>
        <v>-0.63046633761729765</v>
      </c>
      <c r="J89" s="24">
        <f t="shared" si="54"/>
        <v>-0.61895263537922884</v>
      </c>
      <c r="L89" s="20" t="s">
        <v>22</v>
      </c>
      <c r="M89" s="83">
        <f>SUM(M83:M88)</f>
        <v>5725240860</v>
      </c>
      <c r="N89" s="21">
        <f>SUM(N83:N88)</f>
        <v>4614103042</v>
      </c>
      <c r="O89" s="21">
        <f>SUM(O83:O88)</f>
        <v>8892000000</v>
      </c>
      <c r="P89" s="84">
        <f>SUM(P83:P88)</f>
        <v>1811002710.8357003</v>
      </c>
      <c r="Q89" s="71">
        <f t="shared" si="60"/>
        <v>0.20366652168642604</v>
      </c>
      <c r="R89" s="23">
        <f>IFERROR(P89/M89-1,0)</f>
        <v>-0.68368095681555308</v>
      </c>
      <c r="S89" s="24">
        <f t="shared" si="55"/>
        <v>-0.6075070941522116</v>
      </c>
      <c r="T89" s="50"/>
      <c r="V89" s="49"/>
      <c r="W89" s="20" t="s">
        <v>22</v>
      </c>
      <c r="X89" s="83">
        <f>SUM(X83:X88)</f>
        <v>5811092041</v>
      </c>
      <c r="Y89" s="76">
        <f>SUM(Y83:Y88)</f>
        <v>5554042750</v>
      </c>
      <c r="Z89" s="73">
        <f>SUM(Z83:Z88)</f>
        <v>7176000000</v>
      </c>
      <c r="AA89" s="84">
        <f>SUM(AA83:AA88)</f>
        <v>2610901302.5194998</v>
      </c>
      <c r="AB89" s="71">
        <f t="shared" si="62"/>
        <v>0.36383797415266161</v>
      </c>
      <c r="AC89" s="23">
        <f>IFERROR(AA89/X89-1,0)</f>
        <v>-0.55070384635136427</v>
      </c>
      <c r="AD89" s="24">
        <f t="shared" si="56"/>
        <v>-0.5299097576230396</v>
      </c>
      <c r="AF89" s="20" t="s">
        <v>22</v>
      </c>
      <c r="AG89" s="21">
        <f>SUM(AG83:AG88)</f>
        <v>4004623538</v>
      </c>
      <c r="AH89" s="21">
        <f>SUM(AH83:AH88)</f>
        <v>3162070064</v>
      </c>
      <c r="AI89" s="21">
        <f>SUM(AI83:AI88)</f>
        <v>5616000000</v>
      </c>
      <c r="AJ89" s="84">
        <f>SUM(AJ83:AJ88)</f>
        <v>1451673171.2893002</v>
      </c>
      <c r="AK89" s="71">
        <f t="shared" si="64"/>
        <v>0.25848881255151357</v>
      </c>
      <c r="AL89" s="23">
        <f>IFERROR(AJ89/AG89-1,0)</f>
        <v>-0.63750071448306511</v>
      </c>
      <c r="AM89" s="24">
        <f t="shared" si="57"/>
        <v>-0.54091049789929635</v>
      </c>
      <c r="AN89" s="50"/>
      <c r="AP89" s="3"/>
      <c r="AQ89" s="3"/>
    </row>
    <row r="90" spans="1:43" ht="15" thickBot="1" x14ac:dyDescent="0.4">
      <c r="B90" s="49"/>
      <c r="C90" s="30" t="s">
        <v>23</v>
      </c>
      <c r="D90" s="88">
        <f>D82+D89</f>
        <v>10716643954</v>
      </c>
      <c r="E90" s="88">
        <f>E82+E89</f>
        <v>10664867850</v>
      </c>
      <c r="F90" s="98">
        <f>F82+F89</f>
        <v>16848000000</v>
      </c>
      <c r="G90" s="99">
        <f>G82+G89</f>
        <v>6596073352.1008997</v>
      </c>
      <c r="H90" s="92">
        <f>IFERROR(G90/F90,0)</f>
        <v>0.39150482859098407</v>
      </c>
      <c r="I90" s="93">
        <f>IFERROR(G90/D90-1,0)</f>
        <v>-0.38450195971669776</v>
      </c>
      <c r="J90" s="35">
        <f t="shared" si="54"/>
        <v>-0.38151382231136599</v>
      </c>
      <c r="K90" s="3"/>
      <c r="L90" s="30" t="s">
        <v>23</v>
      </c>
      <c r="M90" s="88">
        <f>M82+M89</f>
        <v>10397009108</v>
      </c>
      <c r="N90" s="31">
        <f>N82+N89</f>
        <v>9561978864</v>
      </c>
      <c r="O90" s="98">
        <f>O82+O89</f>
        <v>17784000000</v>
      </c>
      <c r="P90" s="99">
        <f>P82+P89</f>
        <v>5600287172.0340004</v>
      </c>
      <c r="Q90" s="113">
        <f>IFERROR(P90/O90,0)</f>
        <v>0.31490593634919029</v>
      </c>
      <c r="R90" s="91">
        <f>IFERROR(P90/M90-1,0)</f>
        <v>-0.46135594247726031</v>
      </c>
      <c r="S90" s="35">
        <f t="shared" si="55"/>
        <v>-0.41431713542909165</v>
      </c>
      <c r="T90" s="50"/>
      <c r="U90" s="3"/>
      <c r="V90" s="49"/>
      <c r="W90" s="30" t="s">
        <v>23</v>
      </c>
      <c r="X90" s="88">
        <f>X82+X89</f>
        <v>12138943603</v>
      </c>
      <c r="Y90" s="96">
        <f>Y82+Y89</f>
        <v>10653528428</v>
      </c>
      <c r="Z90" s="97">
        <f>Z82+Z89</f>
        <v>14352000000</v>
      </c>
      <c r="AA90" s="89">
        <f>AA82+AA89</f>
        <v>8135927479.5595999</v>
      </c>
      <c r="AB90" s="92">
        <f>IFERROR(AA90/Z90,0)</f>
        <v>0.56688457912204571</v>
      </c>
      <c r="AC90" s="93">
        <f>IFERROR(AA90/X90-1,0)</f>
        <v>-0.32976643226607472</v>
      </c>
      <c r="AD90" s="35">
        <f t="shared" si="56"/>
        <v>-0.23631616186648052</v>
      </c>
      <c r="AE90" s="3"/>
      <c r="AF90" s="30" t="s">
        <v>23</v>
      </c>
      <c r="AG90" s="88">
        <f>AG82+AG89</f>
        <v>7879074333</v>
      </c>
      <c r="AH90" s="31">
        <f>AH82+AH89</f>
        <v>6459602333</v>
      </c>
      <c r="AI90" s="88">
        <f>AI82+AI89</f>
        <v>11232000000</v>
      </c>
      <c r="AJ90" s="89">
        <f>AJ82+AJ89</f>
        <v>4491750282.3297005</v>
      </c>
      <c r="AK90" s="92">
        <f>IFERROR(AJ90/AI90,0)</f>
        <v>0.39990654223020838</v>
      </c>
      <c r="AL90" s="93">
        <f>IFERROR(AJ90/AG90-1,0)</f>
        <v>-0.42991396038531315</v>
      </c>
      <c r="AM90" s="35">
        <f t="shared" si="57"/>
        <v>-0.3046398136023305</v>
      </c>
      <c r="AN90" s="50"/>
      <c r="AO90" s="3"/>
      <c r="AP90" s="3"/>
      <c r="AQ90" s="3"/>
    </row>
    <row r="91" spans="1:43" ht="15.5" thickTop="1" thickBot="1" x14ac:dyDescent="0.4">
      <c r="B91" s="49"/>
      <c r="C91" s="36" t="s">
        <v>24</v>
      </c>
      <c r="D91" s="100">
        <f>IFERROR(AVERAGE(D76:D81,D83:D88),0)</f>
        <v>893053662.83333337</v>
      </c>
      <c r="E91" s="100">
        <f>IFERROR(AVERAGE(E76:E81,E83:E88),0)</f>
        <v>888738987.5</v>
      </c>
      <c r="F91" s="100">
        <f>IFERROR(AVERAGE(F76:F81,F83:F88),0)</f>
        <v>1404000000</v>
      </c>
      <c r="G91" s="114">
        <f>IFERROR(AVERAGE(G76:G81,G83:G88),0)</f>
        <v>549672779.34174168</v>
      </c>
      <c r="H91" s="103">
        <f>IFERROR(G91/F91,0)</f>
        <v>0.39150482859098412</v>
      </c>
      <c r="I91" s="102">
        <f>IFERROR(G91/D91-1,0)</f>
        <v>-0.38450195971669776</v>
      </c>
      <c r="J91" s="41">
        <f t="shared" si="54"/>
        <v>-0.38151382231136599</v>
      </c>
      <c r="L91" s="36" t="s">
        <v>24</v>
      </c>
      <c r="M91" s="100">
        <f>IFERROR(AVERAGE(M76:M81,M83:M88),0)</f>
        <v>866417425.66666663</v>
      </c>
      <c r="N91" s="37">
        <f>IFERROR(AVERAGE(N76:N81,N83:N88),0)</f>
        <v>796831572</v>
      </c>
      <c r="O91" s="37">
        <f>IFERROR(AVERAGE(O76:O81,O83:O88),0)</f>
        <v>1482000000</v>
      </c>
      <c r="P91" s="101">
        <f>IFERROR(AVERAGE(P76:P81,P83:P88),0)</f>
        <v>466690597.66949993</v>
      </c>
      <c r="Q91" s="103">
        <f>IFERROR(P91/O91,0)</f>
        <v>0.31490593634919023</v>
      </c>
      <c r="R91" s="102">
        <f>IFERROR(P91/M91-1,0)</f>
        <v>-0.46135594247726042</v>
      </c>
      <c r="S91" s="41">
        <f t="shared" si="55"/>
        <v>-0.41431713542909177</v>
      </c>
      <c r="T91" s="50"/>
      <c r="V91" s="49"/>
      <c r="W91" s="36" t="s">
        <v>24</v>
      </c>
      <c r="X91" s="100">
        <f>IFERROR(AVERAGE(X76:X81,X83:X88),0)</f>
        <v>1011578633.5833334</v>
      </c>
      <c r="Y91" s="105">
        <f>IFERROR(AVERAGE(Y76:Y81,Y83:Y88),0)</f>
        <v>887794035.66666663</v>
      </c>
      <c r="Z91" s="109">
        <f>IFERROR(AVERAGE(Z76:Z81,Z83:Z88),0)</f>
        <v>1196000000</v>
      </c>
      <c r="AA91" s="101">
        <f>IFERROR(AVERAGE(AA76:AA81,AA83:AA88),0)</f>
        <v>677993956.62996674</v>
      </c>
      <c r="AB91" s="103">
        <f>IFERROR(AA91/Z91,0)</f>
        <v>0.56688457912204582</v>
      </c>
      <c r="AC91" s="102">
        <f>IFERROR(AA91/X91-1,0)</f>
        <v>-0.32976643226607461</v>
      </c>
      <c r="AD91" s="41">
        <f t="shared" si="56"/>
        <v>-0.23631616186648041</v>
      </c>
      <c r="AF91" s="36" t="s">
        <v>24</v>
      </c>
      <c r="AG91" s="100">
        <f>IFERROR(AVERAGE(AG76:AG81,AG83:AG88),0)</f>
        <v>656589527.75</v>
      </c>
      <c r="AH91" s="37">
        <f>IFERROR(AVERAGE(AH76:AH81,AH83:AH88),0)</f>
        <v>538300194.41666663</v>
      </c>
      <c r="AI91" s="37">
        <f>IFERROR(AVERAGE(AI76:AI81,AI83:AI88),0)</f>
        <v>936000000</v>
      </c>
      <c r="AJ91" s="101">
        <f>IFERROR(AVERAGE(AJ76:AJ81,AJ83:AJ88),0)</f>
        <v>374312523.52747506</v>
      </c>
      <c r="AK91" s="103">
        <f>IFERROR(AJ91/AI91,0)</f>
        <v>0.39990654223020838</v>
      </c>
      <c r="AL91" s="102">
        <f>IFERROR(AJ91/AG91-1,0)</f>
        <v>-0.42991396038531315</v>
      </c>
      <c r="AM91" s="41">
        <f t="shared" si="57"/>
        <v>-0.3046398136023305</v>
      </c>
      <c r="AN91" s="50"/>
    </row>
    <row r="92" spans="1:43" ht="15" thickBot="1" x14ac:dyDescent="0.4">
      <c r="B92" s="115"/>
      <c r="C92" s="116"/>
      <c r="D92" s="117"/>
      <c r="E92" s="117"/>
      <c r="F92" s="117"/>
      <c r="G92" s="117"/>
      <c r="H92" s="348"/>
      <c r="I92" s="348"/>
      <c r="J92" s="348"/>
      <c r="K92" s="116"/>
      <c r="L92" s="116"/>
      <c r="M92" s="116"/>
      <c r="N92" s="116"/>
      <c r="O92" s="116"/>
      <c r="P92" s="116"/>
      <c r="Q92" s="116"/>
      <c r="R92" s="116"/>
      <c r="S92" s="116"/>
      <c r="T92" s="118"/>
      <c r="V92" s="115"/>
      <c r="W92" s="116"/>
      <c r="X92" s="117"/>
      <c r="Y92" s="117"/>
      <c r="Z92" s="117"/>
      <c r="AA92" s="117"/>
      <c r="AB92" s="348"/>
      <c r="AC92" s="348"/>
      <c r="AD92" s="348"/>
      <c r="AE92" s="116"/>
      <c r="AF92" s="116"/>
      <c r="AG92" s="116"/>
      <c r="AH92" s="116"/>
      <c r="AI92" s="116"/>
      <c r="AJ92" s="116"/>
      <c r="AK92" s="116"/>
      <c r="AL92" s="116"/>
      <c r="AM92" s="116"/>
      <c r="AN92" s="118"/>
    </row>
    <row r="93" spans="1:43" ht="15" thickBot="1" x14ac:dyDescent="0.4"/>
    <row r="94" spans="1:43" ht="14.5" customHeight="1" thickBot="1" x14ac:dyDescent="0.4">
      <c r="C94" s="540" t="s">
        <v>46</v>
      </c>
      <c r="D94" s="541"/>
      <c r="E94" s="541"/>
      <c r="F94" s="541"/>
      <c r="G94" s="542"/>
      <c r="I94" s="540" t="s">
        <v>44</v>
      </c>
      <c r="J94" s="541"/>
      <c r="K94" s="541"/>
      <c r="L94" s="541"/>
      <c r="M94" s="541"/>
      <c r="N94" s="541"/>
      <c r="O94" s="542"/>
      <c r="Q94" s="539" t="s">
        <v>45</v>
      </c>
      <c r="R94" s="539"/>
      <c r="S94" s="539"/>
      <c r="W94" s="540" t="s">
        <v>46</v>
      </c>
      <c r="X94" s="541"/>
      <c r="Y94" s="541"/>
      <c r="Z94" s="541"/>
      <c r="AA94" s="542"/>
      <c r="AB94" s="1"/>
      <c r="AC94" s="540" t="s">
        <v>44</v>
      </c>
      <c r="AD94" s="541"/>
      <c r="AE94" s="541"/>
      <c r="AF94" s="541"/>
      <c r="AG94" s="541"/>
      <c r="AH94" s="541"/>
      <c r="AI94" s="542"/>
      <c r="AK94" s="539" t="s">
        <v>45</v>
      </c>
      <c r="AL94" s="539"/>
      <c r="AM94" s="539"/>
    </row>
    <row r="95" spans="1:43" ht="15" customHeight="1" thickBot="1" x14ac:dyDescent="0.4">
      <c r="C95" s="543"/>
      <c r="D95" s="544"/>
      <c r="E95" s="544"/>
      <c r="F95" s="544"/>
      <c r="G95" s="545"/>
      <c r="I95" s="543"/>
      <c r="J95" s="544"/>
      <c r="K95" s="544"/>
      <c r="L95" s="544"/>
      <c r="M95" s="544"/>
      <c r="N95" s="544"/>
      <c r="O95" s="545"/>
      <c r="Q95" s="518"/>
      <c r="R95" s="519"/>
      <c r="S95" s="520"/>
      <c r="W95" s="543"/>
      <c r="X95" s="544"/>
      <c r="Y95" s="544"/>
      <c r="Z95" s="544"/>
      <c r="AA95" s="545"/>
      <c r="AB95" s="1"/>
      <c r="AC95" s="543"/>
      <c r="AD95" s="544"/>
      <c r="AE95" s="544"/>
      <c r="AF95" s="544"/>
      <c r="AG95" s="544"/>
      <c r="AH95" s="544"/>
      <c r="AI95" s="545"/>
      <c r="AK95" s="518"/>
      <c r="AL95" s="519"/>
      <c r="AM95" s="520"/>
    </row>
    <row r="96" spans="1:43" ht="15" thickBot="1" x14ac:dyDescent="0.4">
      <c r="Q96" s="521"/>
      <c r="R96" s="522"/>
      <c r="S96" s="523"/>
      <c r="X96" s="4"/>
      <c r="Y96" s="4"/>
      <c r="Z96" s="4"/>
      <c r="AA96" s="4"/>
      <c r="AB96" s="1"/>
      <c r="AC96" s="1"/>
      <c r="AD96" s="1"/>
      <c r="AK96" s="521"/>
      <c r="AL96" s="522"/>
      <c r="AM96" s="523"/>
    </row>
    <row r="97" spans="3:39" ht="14.5" customHeight="1" x14ac:dyDescent="0.35">
      <c r="C97" s="532">
        <f>E52-D52</f>
        <v>-1166023601</v>
      </c>
      <c r="D97" s="533"/>
      <c r="E97" s="533"/>
      <c r="F97" s="533"/>
      <c r="G97" s="534"/>
      <c r="I97" s="532">
        <f>G52-F52</f>
        <v>-53271413765.272003</v>
      </c>
      <c r="J97" s="546"/>
      <c r="K97" s="533"/>
      <c r="L97" s="533"/>
      <c r="M97" s="533"/>
      <c r="N97" s="533"/>
      <c r="O97" s="534"/>
      <c r="Q97" s="521"/>
      <c r="R97" s="522"/>
      <c r="S97" s="523"/>
      <c r="W97" s="532">
        <f>Y52-X52</f>
        <v>-5237489089</v>
      </c>
      <c r="X97" s="533"/>
      <c r="Y97" s="533"/>
      <c r="Z97" s="533"/>
      <c r="AA97" s="534"/>
      <c r="AB97" s="1"/>
      <c r="AC97" s="532">
        <f>AA52-Z52</f>
        <v>-35164004273.224503</v>
      </c>
      <c r="AD97" s="546"/>
      <c r="AE97" s="533"/>
      <c r="AF97" s="533"/>
      <c r="AG97" s="533"/>
      <c r="AH97" s="533"/>
      <c r="AI97" s="534"/>
      <c r="AK97" s="521"/>
      <c r="AL97" s="522"/>
      <c r="AM97" s="523"/>
    </row>
    <row r="98" spans="3:39" ht="15" customHeight="1" thickBot="1" x14ac:dyDescent="0.4">
      <c r="C98" s="535"/>
      <c r="D98" s="536"/>
      <c r="E98" s="536"/>
      <c r="F98" s="536"/>
      <c r="G98" s="537"/>
      <c r="I98" s="535"/>
      <c r="J98" s="536"/>
      <c r="K98" s="536"/>
      <c r="L98" s="536"/>
      <c r="M98" s="536"/>
      <c r="N98" s="536"/>
      <c r="O98" s="537"/>
      <c r="Q98" s="521"/>
      <c r="R98" s="522"/>
      <c r="S98" s="523"/>
      <c r="W98" s="535"/>
      <c r="X98" s="536"/>
      <c r="Y98" s="536"/>
      <c r="Z98" s="536"/>
      <c r="AA98" s="537"/>
      <c r="AB98" s="1"/>
      <c r="AC98" s="535"/>
      <c r="AD98" s="536"/>
      <c r="AE98" s="536"/>
      <c r="AF98" s="536"/>
      <c r="AG98" s="536"/>
      <c r="AH98" s="536"/>
      <c r="AI98" s="537"/>
      <c r="AK98" s="521"/>
      <c r="AL98" s="522"/>
      <c r="AM98" s="523"/>
    </row>
    <row r="99" spans="3:39" ht="15" thickBot="1" x14ac:dyDescent="0.4">
      <c r="Q99" s="521"/>
      <c r="R99" s="522"/>
      <c r="S99" s="523"/>
      <c r="X99" s="4"/>
      <c r="Y99" s="4"/>
      <c r="Z99" s="4"/>
      <c r="AA99" s="4"/>
      <c r="AB99" s="1"/>
      <c r="AC99" s="1"/>
      <c r="AD99" s="1"/>
      <c r="AK99" s="521"/>
      <c r="AL99" s="522"/>
      <c r="AM99" s="523"/>
    </row>
    <row r="100" spans="3:39" ht="15" customHeight="1" thickBot="1" x14ac:dyDescent="0.4">
      <c r="C100" s="540" t="s">
        <v>152</v>
      </c>
      <c r="D100" s="541"/>
      <c r="E100" s="541"/>
      <c r="F100" s="541"/>
      <c r="G100" s="542"/>
      <c r="Q100" s="524"/>
      <c r="R100" s="517"/>
      <c r="S100" s="525"/>
      <c r="W100" s="540" t="s">
        <v>152</v>
      </c>
      <c r="X100" s="541"/>
      <c r="Y100" s="541"/>
      <c r="Z100" s="541"/>
      <c r="AA100" s="542"/>
      <c r="AB100" s="1"/>
      <c r="AC100" s="1"/>
      <c r="AD100" s="1"/>
      <c r="AK100" s="524"/>
      <c r="AL100" s="517"/>
      <c r="AM100" s="525"/>
    </row>
    <row r="101" spans="3:39" ht="15" customHeight="1" thickBot="1" x14ac:dyDescent="0.4">
      <c r="C101" s="543"/>
      <c r="D101" s="544"/>
      <c r="E101" s="544"/>
      <c r="F101" s="544"/>
      <c r="G101" s="545"/>
      <c r="W101" s="543"/>
      <c r="X101" s="544"/>
      <c r="Y101" s="544"/>
      <c r="Z101" s="544"/>
      <c r="AA101" s="545"/>
      <c r="AB101" s="1"/>
      <c r="AC101" s="1"/>
      <c r="AD101" s="1"/>
    </row>
    <row r="102" spans="3:39" ht="15" thickBot="1" x14ac:dyDescent="0.4">
      <c r="X102" s="4"/>
      <c r="Y102" s="4"/>
      <c r="Z102" s="4"/>
      <c r="AA102" s="4"/>
      <c r="AB102" s="1"/>
      <c r="AC102" s="1"/>
      <c r="AD102" s="1"/>
    </row>
    <row r="103" spans="3:39" x14ac:dyDescent="0.35">
      <c r="C103" s="532">
        <f>G52-E52</f>
        <v>-25399191850.272003</v>
      </c>
      <c r="D103" s="533"/>
      <c r="E103" s="533"/>
      <c r="F103" s="533"/>
      <c r="G103" s="534"/>
      <c r="W103" s="532">
        <f>AA52-Y52</f>
        <v>-13607758483.224499</v>
      </c>
      <c r="X103" s="533"/>
      <c r="Y103" s="533"/>
      <c r="Z103" s="533"/>
      <c r="AA103" s="534"/>
      <c r="AB103" s="1"/>
      <c r="AC103" s="1"/>
      <c r="AD103" s="1"/>
    </row>
    <row r="104" spans="3:39" ht="15" thickBot="1" x14ac:dyDescent="0.4">
      <c r="C104" s="535"/>
      <c r="D104" s="536"/>
      <c r="E104" s="536"/>
      <c r="F104" s="536"/>
      <c r="G104" s="537"/>
      <c r="W104" s="535"/>
      <c r="X104" s="536"/>
      <c r="Y104" s="536"/>
      <c r="Z104" s="536"/>
      <c r="AA104" s="537"/>
      <c r="AB104" s="1"/>
      <c r="AC104" s="1"/>
      <c r="AD104" s="1"/>
    </row>
    <row r="105" spans="3:39" x14ac:dyDescent="0.35">
      <c r="X105" s="4"/>
      <c r="Y105" s="4"/>
      <c r="Z105" s="4"/>
      <c r="AA105" s="4"/>
      <c r="AB105" s="1"/>
      <c r="AC105" s="1"/>
      <c r="AD105" s="1"/>
    </row>
    <row r="116" spans="4:4" x14ac:dyDescent="0.35">
      <c r="D116" s="1"/>
    </row>
    <row r="117" spans="4:4" x14ac:dyDescent="0.35">
      <c r="D117" s="1"/>
    </row>
    <row r="118" spans="4:4" x14ac:dyDescent="0.35">
      <c r="D118"/>
    </row>
    <row r="119" spans="4:4" x14ac:dyDescent="0.35">
      <c r="D119"/>
    </row>
    <row r="120" spans="4:4" x14ac:dyDescent="0.35">
      <c r="D120"/>
    </row>
    <row r="121" spans="4:4" x14ac:dyDescent="0.35">
      <c r="D121"/>
    </row>
    <row r="122" spans="4:4" x14ac:dyDescent="0.35">
      <c r="D122"/>
    </row>
    <row r="123" spans="4:4" x14ac:dyDescent="0.35">
      <c r="D123"/>
    </row>
  </sheetData>
  <mergeCells count="73">
    <mergeCell ref="C3:C4"/>
    <mergeCell ref="G22:I23"/>
    <mergeCell ref="G25:I26"/>
    <mergeCell ref="C22:E23"/>
    <mergeCell ref="C24:E25"/>
    <mergeCell ref="C26:E27"/>
    <mergeCell ref="G29:I29"/>
    <mergeCell ref="G30:I32"/>
    <mergeCell ref="C36:C37"/>
    <mergeCell ref="L36:L37"/>
    <mergeCell ref="M36:O36"/>
    <mergeCell ref="C28:E29"/>
    <mergeCell ref="W36:W37"/>
    <mergeCell ref="AF36:AF37"/>
    <mergeCell ref="AG36:AI36"/>
    <mergeCell ref="R36:S36"/>
    <mergeCell ref="P36:Q36"/>
    <mergeCell ref="C55:C56"/>
    <mergeCell ref="L55:L56"/>
    <mergeCell ref="M55:O55"/>
    <mergeCell ref="R55:S55"/>
    <mergeCell ref="G55:H55"/>
    <mergeCell ref="P55:Q55"/>
    <mergeCell ref="D55:F55"/>
    <mergeCell ref="G74:H74"/>
    <mergeCell ref="P74:Q74"/>
    <mergeCell ref="D74:F74"/>
    <mergeCell ref="W55:W56"/>
    <mergeCell ref="X55:Z55"/>
    <mergeCell ref="AK94:AM94"/>
    <mergeCell ref="Q95:S100"/>
    <mergeCell ref="AK95:AM100"/>
    <mergeCell ref="I3:J3"/>
    <mergeCell ref="D3:H3"/>
    <mergeCell ref="D36:H36"/>
    <mergeCell ref="I36:J36"/>
    <mergeCell ref="I55:J55"/>
    <mergeCell ref="I74:J74"/>
    <mergeCell ref="C94:G95"/>
    <mergeCell ref="I94:O95"/>
    <mergeCell ref="W94:AA95"/>
    <mergeCell ref="AC94:AI95"/>
    <mergeCell ref="C97:G98"/>
    <mergeCell ref="I97:O98"/>
    <mergeCell ref="W97:AA98"/>
    <mergeCell ref="AL74:AM74"/>
    <mergeCell ref="AL55:AM55"/>
    <mergeCell ref="AL36:AM36"/>
    <mergeCell ref="AJ36:AK36"/>
    <mergeCell ref="AA55:AB55"/>
    <mergeCell ref="AF74:AF75"/>
    <mergeCell ref="AG74:AI74"/>
    <mergeCell ref="AA74:AB74"/>
    <mergeCell ref="AJ74:AK74"/>
    <mergeCell ref="AF55:AF56"/>
    <mergeCell ref="AG55:AI55"/>
    <mergeCell ref="AJ55:AK55"/>
    <mergeCell ref="C100:G101"/>
    <mergeCell ref="C103:G104"/>
    <mergeCell ref="W100:AA101"/>
    <mergeCell ref="W103:AA104"/>
    <mergeCell ref="AC36:AD36"/>
    <mergeCell ref="X36:AB36"/>
    <mergeCell ref="AC55:AD55"/>
    <mergeCell ref="AC74:AD74"/>
    <mergeCell ref="Q94:S94"/>
    <mergeCell ref="AC97:AI98"/>
    <mergeCell ref="W74:W75"/>
    <mergeCell ref="X74:Z74"/>
    <mergeCell ref="C74:C75"/>
    <mergeCell ref="L74:L75"/>
    <mergeCell ref="M74:O74"/>
    <mergeCell ref="R74:S74"/>
  </mergeCells>
  <conditionalFormatting sqref="H5:H20">
    <cfRule type="cellIs" dxfId="59" priority="68" stopIfTrue="1" operator="greaterThan">
      <formula>1</formula>
    </cfRule>
    <cfRule type="cellIs" dxfId="58" priority="67" stopIfTrue="1" operator="lessThan">
      <formula>0.9</formula>
    </cfRule>
    <cfRule type="cellIs" dxfId="57" priority="69" stopIfTrue="1" operator="greaterThan">
      <formula>0.9</formula>
    </cfRule>
  </conditionalFormatting>
  <conditionalFormatting sqref="H38:H53">
    <cfRule type="cellIs" dxfId="56" priority="75" stopIfTrue="1" operator="greaterThan">
      <formula>1</formula>
    </cfRule>
    <cfRule type="cellIs" dxfId="55" priority="74" stopIfTrue="1" operator="lessThan">
      <formula>0.9</formula>
    </cfRule>
    <cfRule type="cellIs" dxfId="54" priority="76" stopIfTrue="1" operator="greaterThan">
      <formula>0.9</formula>
    </cfRule>
  </conditionalFormatting>
  <conditionalFormatting sqref="H57:H72">
    <cfRule type="cellIs" dxfId="53" priority="66" stopIfTrue="1" operator="greaterThan">
      <formula>0.9</formula>
    </cfRule>
    <cfRule type="cellIs" dxfId="52" priority="65" stopIfTrue="1" operator="greaterThan">
      <formula>1</formula>
    </cfRule>
    <cfRule type="cellIs" dxfId="51" priority="64" stopIfTrue="1" operator="lessThan">
      <formula>0.9</formula>
    </cfRule>
  </conditionalFormatting>
  <conditionalFormatting sqref="H76:H91">
    <cfRule type="cellIs" dxfId="50" priority="61" stopIfTrue="1" operator="greaterThan">
      <formula>0.9</formula>
    </cfRule>
    <cfRule type="cellIs" dxfId="49" priority="60" stopIfTrue="1" operator="greaterThan">
      <formula>1</formula>
    </cfRule>
    <cfRule type="cellIs" dxfId="48" priority="59" stopIfTrue="1" operator="lessThan">
      <formula>0.9</formula>
    </cfRule>
  </conditionalFormatting>
  <conditionalFormatting sqref="I5:J20">
    <cfRule type="cellIs" dxfId="47" priority="73" operator="lessThan">
      <formula>0</formula>
    </cfRule>
    <cfRule type="cellIs" dxfId="46" priority="72" operator="greaterThan">
      <formula>0</formula>
    </cfRule>
  </conditionalFormatting>
  <conditionalFormatting sqref="I38:J53">
    <cfRule type="cellIs" dxfId="45" priority="71" operator="lessThan">
      <formula>0</formula>
    </cfRule>
    <cfRule type="cellIs" dxfId="44" priority="70" operator="greaterThan">
      <formula>0</formula>
    </cfRule>
  </conditionalFormatting>
  <conditionalFormatting sqref="I57:J72">
    <cfRule type="cellIs" dxfId="43" priority="63" operator="lessThan">
      <formula>0</formula>
    </cfRule>
    <cfRule type="cellIs" dxfId="42" priority="62" operator="greaterThan">
      <formula>0</formula>
    </cfRule>
  </conditionalFormatting>
  <conditionalFormatting sqref="I76:J91">
    <cfRule type="cellIs" dxfId="41" priority="58" operator="lessThan">
      <formula>0</formula>
    </cfRule>
    <cfRule type="cellIs" dxfId="40" priority="57" operator="greaterThan">
      <formula>0</formula>
    </cfRule>
  </conditionalFormatting>
  <conditionalFormatting sqref="Q38:Q53">
    <cfRule type="cellIs" dxfId="39" priority="44" stopIfTrue="1" operator="lessThan">
      <formula>0.9</formula>
    </cfRule>
    <cfRule type="cellIs" dxfId="38" priority="45" stopIfTrue="1" operator="greaterThan">
      <formula>1</formula>
    </cfRule>
    <cfRule type="cellIs" dxfId="37" priority="46" stopIfTrue="1" operator="greaterThan">
      <formula>0.9</formula>
    </cfRule>
  </conditionalFormatting>
  <conditionalFormatting sqref="Q57:Q72">
    <cfRule type="cellIs" dxfId="36" priority="51" stopIfTrue="1" operator="greaterThan">
      <formula>0.9</formula>
    </cfRule>
    <cfRule type="cellIs" dxfId="35" priority="50" stopIfTrue="1" operator="greaterThan">
      <formula>1</formula>
    </cfRule>
    <cfRule type="cellIs" dxfId="34" priority="49" stopIfTrue="1" operator="lessThan">
      <formula>0.9</formula>
    </cfRule>
  </conditionalFormatting>
  <conditionalFormatting sqref="Q76:Q91">
    <cfRule type="cellIs" dxfId="33" priority="56" stopIfTrue="1" operator="greaterThan">
      <formula>0.9</formula>
    </cfRule>
    <cfRule type="cellIs" dxfId="32" priority="55" stopIfTrue="1" operator="greaterThan">
      <formula>1</formula>
    </cfRule>
    <cfRule type="cellIs" dxfId="31" priority="54" stopIfTrue="1" operator="lessThan">
      <formula>0.9</formula>
    </cfRule>
  </conditionalFormatting>
  <conditionalFormatting sqref="R38:S53">
    <cfRule type="cellIs" dxfId="30" priority="42" operator="greaterThan">
      <formula>0</formula>
    </cfRule>
    <cfRule type="cellIs" dxfId="29" priority="43" operator="lessThan">
      <formula>0</formula>
    </cfRule>
  </conditionalFormatting>
  <conditionalFormatting sqref="R57:S72">
    <cfRule type="cellIs" dxfId="28" priority="48" operator="lessThan">
      <formula>0</formula>
    </cfRule>
    <cfRule type="cellIs" dxfId="27" priority="47" operator="greaterThan">
      <formula>0</formula>
    </cfRule>
  </conditionalFormatting>
  <conditionalFormatting sqref="R76:S91">
    <cfRule type="cellIs" dxfId="26" priority="52" operator="greaterThan">
      <formula>0</formula>
    </cfRule>
    <cfRule type="cellIs" dxfId="25" priority="53" operator="lessThan">
      <formula>0</formula>
    </cfRule>
  </conditionalFormatting>
  <conditionalFormatting sqref="AB38:AB53">
    <cfRule type="cellIs" dxfId="24" priority="39" stopIfTrue="1" operator="lessThan">
      <formula>0.9</formula>
    </cfRule>
    <cfRule type="cellIs" dxfId="23" priority="40" stopIfTrue="1" operator="greaterThan">
      <formula>1</formula>
    </cfRule>
    <cfRule type="cellIs" dxfId="22" priority="41" stopIfTrue="1" operator="greaterThan">
      <formula>0.9</formula>
    </cfRule>
  </conditionalFormatting>
  <conditionalFormatting sqref="AB57:AB72">
    <cfRule type="cellIs" dxfId="21" priority="36" stopIfTrue="1" operator="greaterThan">
      <formula>0.9</formula>
    </cfRule>
    <cfRule type="cellIs" dxfId="20" priority="35" stopIfTrue="1" operator="greaterThan">
      <formula>1</formula>
    </cfRule>
    <cfRule type="cellIs" dxfId="19" priority="34" stopIfTrue="1" operator="lessThan">
      <formula>0.9</formula>
    </cfRule>
  </conditionalFormatting>
  <conditionalFormatting sqref="AB76:AB91">
    <cfRule type="cellIs" dxfId="18" priority="30" stopIfTrue="1" operator="greaterThan">
      <formula>1</formula>
    </cfRule>
    <cfRule type="cellIs" dxfId="17" priority="29" stopIfTrue="1" operator="lessThan">
      <formula>0.9</formula>
    </cfRule>
    <cfRule type="cellIs" dxfId="16" priority="31" stopIfTrue="1" operator="greaterThan">
      <formula>0.9</formula>
    </cfRule>
  </conditionalFormatting>
  <conditionalFormatting sqref="AC38:AD53">
    <cfRule type="cellIs" dxfId="15" priority="38" operator="lessThan">
      <formula>0</formula>
    </cfRule>
    <cfRule type="cellIs" dxfId="14" priority="37" operator="greaterThan">
      <formula>0</formula>
    </cfRule>
  </conditionalFormatting>
  <conditionalFormatting sqref="AC57:AD72">
    <cfRule type="cellIs" dxfId="13" priority="33" operator="lessThan">
      <formula>0</formula>
    </cfRule>
    <cfRule type="cellIs" dxfId="12" priority="32" operator="greaterThan">
      <formula>0</formula>
    </cfRule>
  </conditionalFormatting>
  <conditionalFormatting sqref="AC76:AD91">
    <cfRule type="cellIs" dxfId="11" priority="28" operator="lessThan">
      <formula>0</formula>
    </cfRule>
    <cfRule type="cellIs" dxfId="10" priority="27" operator="greaterThan">
      <formula>0</formula>
    </cfRule>
  </conditionalFormatting>
  <conditionalFormatting sqref="AK38:AK53 AK57:AK72">
    <cfRule type="cellIs" dxfId="9" priority="5" stopIfTrue="1" operator="greaterThan">
      <formula>0.9</formula>
    </cfRule>
    <cfRule type="cellIs" dxfId="8" priority="4" stopIfTrue="1" operator="greaterThan">
      <formula>1</formula>
    </cfRule>
    <cfRule type="cellIs" dxfId="7" priority="3" stopIfTrue="1" operator="lessThan">
      <formula>0.9</formula>
    </cfRule>
  </conditionalFormatting>
  <conditionalFormatting sqref="AK76:AK91">
    <cfRule type="cellIs" dxfId="6" priority="26" stopIfTrue="1" operator="greaterThan">
      <formula>0.9</formula>
    </cfRule>
    <cfRule type="cellIs" dxfId="5" priority="25" stopIfTrue="1" operator="greaterThan">
      <formula>1</formula>
    </cfRule>
    <cfRule type="cellIs" dxfId="4" priority="24" stopIfTrue="1" operator="lessThan">
      <formula>0.9</formula>
    </cfRule>
  </conditionalFormatting>
  <conditionalFormatting sqref="AL38:AM53 AL57:AM72">
    <cfRule type="cellIs" dxfId="3" priority="1" operator="greaterThan">
      <formula>0</formula>
    </cfRule>
    <cfRule type="cellIs" dxfId="2" priority="2" operator="lessThan">
      <formula>0</formula>
    </cfRule>
  </conditionalFormatting>
  <conditionalFormatting sqref="AL76:AM91">
    <cfRule type="cellIs" dxfId="1" priority="23" operator="lessThan">
      <formula>0</formula>
    </cfRule>
    <cfRule type="cellIs" dxfId="0" priority="22" operator="greaterThan">
      <formula>0</formula>
    </cfRule>
  </conditionalFormatting>
  <printOptions horizontalCentered="1"/>
  <pageMargins left="0.11811023622047245" right="0.11811023622047245" top="0.11811023622047245" bottom="7.874015748031496E-2" header="0" footer="0"/>
  <pageSetup paperSize="9" scale="37" fitToWidth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49FA0-0B99-4D47-A536-F12E5586A49A}">
  <sheetPr>
    <tabColor rgb="FFC00000"/>
  </sheetPr>
  <dimension ref="A2:L334"/>
  <sheetViews>
    <sheetView showGridLines="0" topLeftCell="A298" zoomScale="65" zoomScaleNormal="70" workbookViewId="0">
      <selection activeCell="B300" sqref="B300:G334"/>
    </sheetView>
  </sheetViews>
  <sheetFormatPr defaultColWidth="8.7265625" defaultRowHeight="14.5" x14ac:dyDescent="0.35"/>
  <cols>
    <col min="1" max="1" width="8.7265625" style="194"/>
    <col min="2" max="2" width="31.7265625" style="194" bestFit="1" customWidth="1"/>
    <col min="3" max="3" width="15.81640625" style="192" customWidth="1"/>
    <col min="4" max="4" width="6.54296875" style="192" customWidth="1"/>
    <col min="5" max="5" width="15.54296875" style="192" customWidth="1"/>
    <col min="6" max="6" width="15.7265625" style="186" customWidth="1"/>
    <col min="7" max="7" width="15.54296875" style="186" customWidth="1"/>
    <col min="8" max="9" width="15.54296875" style="194" customWidth="1"/>
    <col min="10" max="10" width="13" style="194" bestFit="1" customWidth="1"/>
    <col min="11" max="11" width="5.7265625" style="194" customWidth="1"/>
    <col min="12" max="12" width="5.453125" style="307" customWidth="1"/>
    <col min="13" max="14" width="6.54296875" style="194" customWidth="1"/>
    <col min="15" max="16384" width="8.7265625" style="194"/>
  </cols>
  <sheetData>
    <row r="2" spans="2:9" ht="31" x14ac:dyDescent="0.7">
      <c r="B2" s="496" t="s">
        <v>56</v>
      </c>
      <c r="C2" s="496"/>
      <c r="D2" s="496"/>
      <c r="E2" s="496"/>
      <c r="F2" s="496"/>
      <c r="G2" s="496"/>
      <c r="H2" s="496"/>
      <c r="I2" s="496"/>
    </row>
    <row r="4" spans="2:9" ht="28.5" customHeight="1" x14ac:dyDescent="0.35">
      <c r="B4" s="486">
        <v>46023</v>
      </c>
      <c r="C4" s="488"/>
      <c r="D4" s="488"/>
      <c r="E4" s="488"/>
      <c r="F4" s="488"/>
      <c r="G4" s="488"/>
      <c r="H4" s="488"/>
      <c r="I4" s="488"/>
    </row>
    <row r="5" spans="2:9" ht="7.5" customHeight="1" x14ac:dyDescent="0.35"/>
    <row r="6" spans="2:9" x14ac:dyDescent="0.35">
      <c r="B6" s="351" t="s">
        <v>57</v>
      </c>
      <c r="C6" s="350" t="s">
        <v>58</v>
      </c>
      <c r="D6" s="489" t="s">
        <v>59</v>
      </c>
      <c r="E6" s="490"/>
      <c r="F6" s="490"/>
      <c r="G6" s="491"/>
      <c r="H6" s="492" t="str">
        <f>UPPER(TEXT('AGPn-Harian'!B4,"MMM-YY"))</f>
        <v>JAN-26</v>
      </c>
      <c r="I6" s="492"/>
    </row>
    <row r="7" spans="2:9" x14ac:dyDescent="0.35">
      <c r="B7" s="472" t="s">
        <v>60</v>
      </c>
      <c r="C7" s="474" t="s">
        <v>61</v>
      </c>
      <c r="D7" s="474" t="s">
        <v>62</v>
      </c>
      <c r="E7" s="476" t="str">
        <f>JAN!F4</f>
        <v>OMSET JAN
 (1-31)</v>
      </c>
      <c r="F7" s="474" t="s">
        <v>63</v>
      </c>
      <c r="G7" s="474" t="s">
        <v>64</v>
      </c>
      <c r="H7" s="472" t="s">
        <v>65</v>
      </c>
      <c r="I7" s="351" t="s">
        <v>66</v>
      </c>
    </row>
    <row r="8" spans="2:9" x14ac:dyDescent="0.35">
      <c r="B8" s="473"/>
      <c r="C8" s="475"/>
      <c r="D8" s="475"/>
      <c r="E8" s="477"/>
      <c r="F8" s="475"/>
      <c r="G8" s="475"/>
      <c r="H8" s="473"/>
      <c r="I8" s="282">
        <f>JAN!K4</f>
        <v>1</v>
      </c>
    </row>
    <row r="9" spans="2:9" x14ac:dyDescent="0.35">
      <c r="B9" s="261" t="s">
        <v>67</v>
      </c>
      <c r="C9" s="262">
        <v>2000000000</v>
      </c>
      <c r="D9" s="264">
        <v>15</v>
      </c>
      <c r="E9" s="263">
        <v>1461128298</v>
      </c>
      <c r="F9" s="264"/>
      <c r="G9" s="265">
        <f t="shared" ref="G9:G18" si="0">E9-F9</f>
        <v>1461128298</v>
      </c>
      <c r="H9" s="265">
        <f t="shared" ref="H9:H17" si="1">G9-C9</f>
        <v>-538871702</v>
      </c>
      <c r="I9" s="266">
        <f t="shared" ref="I9:I17" si="2">G9/C9</f>
        <v>0.730564149</v>
      </c>
    </row>
    <row r="10" spans="2:9" x14ac:dyDescent="0.35">
      <c r="B10" s="257" t="s">
        <v>68</v>
      </c>
      <c r="C10" s="267">
        <v>1000000000</v>
      </c>
      <c r="D10" s="269">
        <v>8</v>
      </c>
      <c r="E10" s="268">
        <v>259775443</v>
      </c>
      <c r="F10" s="269"/>
      <c r="G10" s="265">
        <f t="shared" si="0"/>
        <v>259775443</v>
      </c>
      <c r="H10" s="171">
        <f t="shared" si="1"/>
        <v>-740224557</v>
      </c>
      <c r="I10" s="270">
        <f t="shared" si="2"/>
        <v>0.25977544299999999</v>
      </c>
    </row>
    <row r="11" spans="2:9" x14ac:dyDescent="0.35">
      <c r="B11" s="257" t="s">
        <v>69</v>
      </c>
      <c r="C11" s="267">
        <v>500000000</v>
      </c>
      <c r="D11" s="269">
        <v>2</v>
      </c>
      <c r="E11" s="268">
        <v>189865312</v>
      </c>
      <c r="F11" s="269"/>
      <c r="G11" s="265">
        <f t="shared" si="0"/>
        <v>189865312</v>
      </c>
      <c r="H11" s="171">
        <f t="shared" si="1"/>
        <v>-310134688</v>
      </c>
      <c r="I11" s="270">
        <f t="shared" si="2"/>
        <v>0.37973062400000002</v>
      </c>
    </row>
    <row r="12" spans="2:9" x14ac:dyDescent="0.35">
      <c r="B12" s="257" t="s">
        <v>70</v>
      </c>
      <c r="C12" s="267">
        <v>500000000</v>
      </c>
      <c r="D12" s="269">
        <v>8</v>
      </c>
      <c r="E12" s="268">
        <v>190550230</v>
      </c>
      <c r="F12" s="269"/>
      <c r="G12" s="265">
        <f t="shared" si="0"/>
        <v>190550230</v>
      </c>
      <c r="H12" s="171">
        <f t="shared" si="1"/>
        <v>-309449770</v>
      </c>
      <c r="I12" s="270">
        <f t="shared" si="2"/>
        <v>0.38110045999999997</v>
      </c>
    </row>
    <row r="13" spans="2:9" x14ac:dyDescent="0.35">
      <c r="B13" s="257" t="s">
        <v>71</v>
      </c>
      <c r="C13" s="267">
        <v>100000000</v>
      </c>
      <c r="D13" s="269">
        <v>2</v>
      </c>
      <c r="E13" s="268">
        <v>10646198</v>
      </c>
      <c r="F13" s="269"/>
      <c r="G13" s="265">
        <f t="shared" si="0"/>
        <v>10646198</v>
      </c>
      <c r="H13" s="171">
        <f t="shared" si="1"/>
        <v>-89353802</v>
      </c>
      <c r="I13" s="270">
        <f t="shared" si="2"/>
        <v>0.10646198</v>
      </c>
    </row>
    <row r="14" spans="2:9" x14ac:dyDescent="0.35">
      <c r="B14" s="257" t="s">
        <v>72</v>
      </c>
      <c r="C14" s="267">
        <v>100000000</v>
      </c>
      <c r="D14" s="269">
        <v>3</v>
      </c>
      <c r="E14" s="268">
        <v>106070271</v>
      </c>
      <c r="F14" s="269"/>
      <c r="G14" s="265">
        <f t="shared" si="0"/>
        <v>106070271</v>
      </c>
      <c r="H14" s="171">
        <f t="shared" si="1"/>
        <v>6070271</v>
      </c>
      <c r="I14" s="270">
        <f t="shared" si="2"/>
        <v>1.0607027099999999</v>
      </c>
    </row>
    <row r="15" spans="2:9" x14ac:dyDescent="0.35">
      <c r="B15" s="257" t="s">
        <v>73</v>
      </c>
      <c r="C15" s="267">
        <v>200000000</v>
      </c>
      <c r="D15" s="269">
        <v>1</v>
      </c>
      <c r="E15" s="268">
        <v>5901035</v>
      </c>
      <c r="F15" s="269"/>
      <c r="G15" s="265">
        <f t="shared" si="0"/>
        <v>5901035</v>
      </c>
      <c r="H15" s="171">
        <f t="shared" si="1"/>
        <v>-194098965</v>
      </c>
      <c r="I15" s="270">
        <f t="shared" si="2"/>
        <v>2.9505175000000002E-2</v>
      </c>
    </row>
    <row r="16" spans="2:9" x14ac:dyDescent="0.35">
      <c r="B16" s="257" t="s">
        <v>74</v>
      </c>
      <c r="C16" s="267">
        <v>500000000</v>
      </c>
      <c r="D16" s="269">
        <v>5</v>
      </c>
      <c r="E16" s="268">
        <v>149447313</v>
      </c>
      <c r="F16" s="269"/>
      <c r="G16" s="265">
        <f t="shared" si="0"/>
        <v>149447313</v>
      </c>
      <c r="H16" s="171">
        <f t="shared" si="1"/>
        <v>-350552687</v>
      </c>
      <c r="I16" s="270">
        <f t="shared" si="2"/>
        <v>0.298894626</v>
      </c>
    </row>
    <row r="17" spans="2:9" x14ac:dyDescent="0.35">
      <c r="B17" s="257" t="s">
        <v>75</v>
      </c>
      <c r="C17" s="267">
        <v>600000000</v>
      </c>
      <c r="D17" s="269">
        <v>3</v>
      </c>
      <c r="E17" s="323">
        <v>151204446</v>
      </c>
      <c r="F17" s="269"/>
      <c r="G17" s="171">
        <f t="shared" si="0"/>
        <v>151204446</v>
      </c>
      <c r="H17" s="171">
        <f t="shared" si="1"/>
        <v>-448795554</v>
      </c>
      <c r="I17" s="270">
        <f t="shared" si="2"/>
        <v>0.25200740999999999</v>
      </c>
    </row>
    <row r="18" spans="2:9" x14ac:dyDescent="0.35">
      <c r="B18" s="257" t="s">
        <v>76</v>
      </c>
      <c r="C18" s="267"/>
      <c r="D18" s="269">
        <v>1</v>
      </c>
      <c r="E18" s="323">
        <v>16900694</v>
      </c>
      <c r="F18" s="269"/>
      <c r="G18" s="171">
        <f t="shared" si="0"/>
        <v>16900694</v>
      </c>
      <c r="H18" s="171"/>
      <c r="I18" s="270"/>
    </row>
    <row r="19" spans="2:9" x14ac:dyDescent="0.35">
      <c r="B19" s="320" t="s">
        <v>77</v>
      </c>
      <c r="C19" s="321">
        <f t="shared" ref="C19" si="3">SUM(C9:C17)</f>
        <v>5500000000</v>
      </c>
      <c r="D19" s="321">
        <f>SUM(D9:D18)</f>
        <v>48</v>
      </c>
      <c r="E19" s="321">
        <f>SUM(E9:E18)</f>
        <v>2541489240</v>
      </c>
      <c r="F19" s="321">
        <f>SUM(F9:F18)</f>
        <v>0</v>
      </c>
      <c r="G19" s="321">
        <f>SUM(G9:G18)</f>
        <v>2541489240</v>
      </c>
      <c r="H19" s="321">
        <f>G19-C19</f>
        <v>-2958510760</v>
      </c>
      <c r="I19" s="322">
        <f>G19/C19</f>
        <v>0.46208895272727274</v>
      </c>
    </row>
    <row r="20" spans="2:9" ht="7.5" customHeight="1" x14ac:dyDescent="0.35">
      <c r="C20" s="277"/>
      <c r="D20" s="277"/>
      <c r="E20" s="278"/>
      <c r="F20" s="279"/>
      <c r="H20" s="216"/>
      <c r="I20" s="280"/>
    </row>
    <row r="21" spans="2:9" x14ac:dyDescent="0.35">
      <c r="B21" s="351" t="s">
        <v>57</v>
      </c>
      <c r="C21" s="350" t="str">
        <f>C6</f>
        <v>STEVEN</v>
      </c>
      <c r="D21" s="489" t="s">
        <v>78</v>
      </c>
      <c r="E21" s="490"/>
      <c r="F21" s="490"/>
      <c r="G21" s="491"/>
      <c r="H21" s="492" t="str">
        <f>H6</f>
        <v>JAN-26</v>
      </c>
      <c r="I21" s="495"/>
    </row>
    <row r="22" spans="2:9" x14ac:dyDescent="0.35">
      <c r="B22" s="472" t="s">
        <v>60</v>
      </c>
      <c r="C22" s="474" t="s">
        <v>61</v>
      </c>
      <c r="D22" s="474" t="s">
        <v>62</v>
      </c>
      <c r="E22" s="476" t="str">
        <f>E7</f>
        <v>OMSET JAN
 (1-31)</v>
      </c>
      <c r="F22" s="474" t="s">
        <v>63</v>
      </c>
      <c r="G22" s="474" t="s">
        <v>64</v>
      </c>
      <c r="H22" s="472" t="s">
        <v>65</v>
      </c>
      <c r="I22" s="351" t="s">
        <v>66</v>
      </c>
    </row>
    <row r="23" spans="2:9" x14ac:dyDescent="0.35">
      <c r="B23" s="473"/>
      <c r="C23" s="475"/>
      <c r="D23" s="475"/>
      <c r="E23" s="477"/>
      <c r="F23" s="475"/>
      <c r="G23" s="475"/>
      <c r="H23" s="473"/>
      <c r="I23" s="282">
        <f>I8</f>
        <v>1</v>
      </c>
    </row>
    <row r="24" spans="2:9" x14ac:dyDescent="0.35">
      <c r="B24" s="261" t="s">
        <v>79</v>
      </c>
      <c r="C24" s="262">
        <v>2000000000</v>
      </c>
      <c r="D24" s="341">
        <v>28</v>
      </c>
      <c r="E24" s="281">
        <v>1547094181</v>
      </c>
      <c r="F24" s="264"/>
      <c r="G24" s="265">
        <f>E24-F24</f>
        <v>1547094181</v>
      </c>
      <c r="H24" s="265">
        <f>G24-C24</f>
        <v>-452905819</v>
      </c>
      <c r="I24" s="266">
        <f>G24/C24</f>
        <v>0.77354709050000003</v>
      </c>
    </row>
    <row r="25" spans="2:9" x14ac:dyDescent="0.35">
      <c r="B25" s="271"/>
      <c r="C25" s="272"/>
      <c r="D25" s="342"/>
      <c r="E25" s="273"/>
      <c r="F25" s="274"/>
      <c r="G25" s="275"/>
      <c r="H25" s="275"/>
      <c r="I25" s="276"/>
    </row>
    <row r="26" spans="2:9" x14ac:dyDescent="0.35">
      <c r="B26" s="283" t="s">
        <v>77</v>
      </c>
      <c r="C26" s="284">
        <f t="shared" ref="C26:G26" si="4">SUM(C24:C25)</f>
        <v>2000000000</v>
      </c>
      <c r="D26" s="284">
        <f>SUM(D24:D25)</f>
        <v>28</v>
      </c>
      <c r="E26" s="284">
        <f>SUM(E24:E25)</f>
        <v>1547094181</v>
      </c>
      <c r="F26" s="284">
        <f t="shared" si="4"/>
        <v>0</v>
      </c>
      <c r="G26" s="284">
        <f t="shared" si="4"/>
        <v>1547094181</v>
      </c>
      <c r="H26" s="284">
        <f>G26-C26</f>
        <v>-452905819</v>
      </c>
      <c r="I26" s="285">
        <f>G26/C26</f>
        <v>0.77354709050000003</v>
      </c>
    </row>
    <row r="27" spans="2:9" x14ac:dyDescent="0.35">
      <c r="C27" s="194"/>
      <c r="D27" s="194"/>
      <c r="E27" s="194"/>
      <c r="F27" s="194"/>
      <c r="G27" s="194"/>
    </row>
    <row r="28" spans="2:9" x14ac:dyDescent="0.35">
      <c r="B28" s="351" t="s">
        <v>57</v>
      </c>
      <c r="C28" s="350" t="s">
        <v>36</v>
      </c>
      <c r="D28" s="489" t="s">
        <v>80</v>
      </c>
      <c r="E28" s="490"/>
      <c r="F28" s="490"/>
      <c r="G28" s="491"/>
      <c r="H28" s="493" t="str">
        <f>H21</f>
        <v>JAN-26</v>
      </c>
      <c r="I28" s="494"/>
    </row>
    <row r="29" spans="2:9" ht="14.5" customHeight="1" x14ac:dyDescent="0.35">
      <c r="B29" s="472" t="s">
        <v>60</v>
      </c>
      <c r="C29" s="474" t="s">
        <v>61</v>
      </c>
      <c r="D29" s="474" t="s">
        <v>62</v>
      </c>
      <c r="E29" s="476" t="str">
        <f>E7</f>
        <v>OMSET JAN
 (1-31)</v>
      </c>
      <c r="F29" s="474" t="s">
        <v>63</v>
      </c>
      <c r="G29" s="474" t="s">
        <v>64</v>
      </c>
      <c r="H29" s="472" t="s">
        <v>65</v>
      </c>
      <c r="I29" s="351" t="s">
        <v>66</v>
      </c>
    </row>
    <row r="30" spans="2:9" x14ac:dyDescent="0.35">
      <c r="B30" s="473"/>
      <c r="C30" s="475"/>
      <c r="D30" s="475"/>
      <c r="E30" s="477"/>
      <c r="F30" s="475"/>
      <c r="G30" s="475"/>
      <c r="H30" s="473"/>
      <c r="I30" s="282">
        <f>I8</f>
        <v>1</v>
      </c>
    </row>
    <row r="31" spans="2:9" x14ac:dyDescent="0.35">
      <c r="B31" s="261" t="s">
        <v>81</v>
      </c>
      <c r="C31" s="262">
        <v>1000000000</v>
      </c>
      <c r="D31" s="264">
        <v>68</v>
      </c>
      <c r="E31" s="263">
        <v>927956967</v>
      </c>
      <c r="F31" s="264"/>
      <c r="G31" s="265">
        <f>E31-F31</f>
        <v>927956967</v>
      </c>
      <c r="H31" s="265">
        <f>G31-C31</f>
        <v>-72043033</v>
      </c>
      <c r="I31" s="266">
        <f>G31/C31</f>
        <v>0.92795696699999997</v>
      </c>
    </row>
    <row r="32" spans="2:9" x14ac:dyDescent="0.35">
      <c r="B32" s="257" t="s">
        <v>82</v>
      </c>
      <c r="C32" s="267">
        <v>300000000</v>
      </c>
      <c r="D32" s="269"/>
      <c r="E32" s="268"/>
      <c r="F32" s="269"/>
      <c r="G32" s="265">
        <f>E32-F32</f>
        <v>0</v>
      </c>
      <c r="H32" s="171">
        <f>G32-C32</f>
        <v>-300000000</v>
      </c>
      <c r="I32" s="270">
        <f>G32/C32</f>
        <v>0</v>
      </c>
    </row>
    <row r="33" spans="1:12" x14ac:dyDescent="0.35">
      <c r="B33" s="286" t="s">
        <v>77</v>
      </c>
      <c r="C33" s="287">
        <f>SUM(C31:C32)</f>
        <v>1300000000</v>
      </c>
      <c r="D33" s="287">
        <f t="shared" ref="D33:F33" si="5">SUM(D31:D32)</f>
        <v>68</v>
      </c>
      <c r="E33" s="287">
        <f t="shared" si="5"/>
        <v>927956967</v>
      </c>
      <c r="F33" s="287">
        <f t="shared" si="5"/>
        <v>0</v>
      </c>
      <c r="G33" s="287">
        <f>SUM(G31:G32)</f>
        <v>927956967</v>
      </c>
      <c r="H33" s="287">
        <f>G33-C33</f>
        <v>-372043033</v>
      </c>
      <c r="I33" s="288">
        <f>G33/C33</f>
        <v>0.71381305153846153</v>
      </c>
    </row>
    <row r="34" spans="1:12" x14ac:dyDescent="0.35">
      <c r="A34" s="194">
        <f>C34/C33</f>
        <v>0.9</v>
      </c>
      <c r="B34" s="289" t="s">
        <v>83</v>
      </c>
      <c r="C34" s="182">
        <v>1170000000</v>
      </c>
      <c r="D34" s="182"/>
      <c r="E34" s="318"/>
      <c r="F34" s="318"/>
      <c r="G34" s="182">
        <f>G33</f>
        <v>927956967</v>
      </c>
      <c r="H34" s="182">
        <f>G34-C34</f>
        <v>-242043033</v>
      </c>
      <c r="I34" s="319">
        <f>G34/C34</f>
        <v>0.79312561282051286</v>
      </c>
    </row>
    <row r="35" spans="1:12" customFormat="1" ht="7" customHeight="1" x14ac:dyDescent="0.35">
      <c r="L35" s="357"/>
    </row>
    <row r="36" spans="1:12" customFormat="1" x14ac:dyDescent="0.35">
      <c r="B36" s="478" t="s">
        <v>85</v>
      </c>
      <c r="C36" s="480" t="s">
        <v>61</v>
      </c>
      <c r="D36" s="482" t="s">
        <v>62</v>
      </c>
      <c r="E36" s="484" t="str">
        <f>E7</f>
        <v>OMSET JAN
 (1-31)</v>
      </c>
      <c r="F36" s="482" t="s">
        <v>63</v>
      </c>
      <c r="G36" s="480" t="s">
        <v>64</v>
      </c>
      <c r="H36" s="480" t="s">
        <v>65</v>
      </c>
      <c r="I36" s="347" t="s">
        <v>66</v>
      </c>
      <c r="L36" s="357"/>
    </row>
    <row r="37" spans="1:12" customFormat="1" x14ac:dyDescent="0.35">
      <c r="B37" s="478"/>
      <c r="C37" s="481"/>
      <c r="D37" s="483"/>
      <c r="E37" s="485"/>
      <c r="F37" s="483"/>
      <c r="G37" s="481"/>
      <c r="H37" s="481"/>
      <c r="I37" s="346">
        <f>I8</f>
        <v>1</v>
      </c>
      <c r="L37" s="357"/>
    </row>
    <row r="38" spans="1:12" ht="16" x14ac:dyDescent="0.4">
      <c r="B38" s="479"/>
      <c r="C38" s="343">
        <f>SUM(C33,C26,C19)</f>
        <v>8800000000</v>
      </c>
      <c r="D38" s="344">
        <f>SUM(D33,D26,D19)</f>
        <v>144</v>
      </c>
      <c r="E38" s="344">
        <f>SUM(E33,E26,E19)</f>
        <v>5016540388</v>
      </c>
      <c r="F38" s="344">
        <f>SUM(F33,F26,F19)</f>
        <v>0</v>
      </c>
      <c r="G38" s="344">
        <f>SUM(G33,G26,G19)</f>
        <v>5016540388</v>
      </c>
      <c r="H38" s="344">
        <f>G38-C38</f>
        <v>-3783459612</v>
      </c>
      <c r="I38" s="345">
        <f>G38/C38</f>
        <v>0.57006140772727276</v>
      </c>
    </row>
    <row r="41" spans="1:12" ht="28.5" x14ac:dyDescent="0.35">
      <c r="B41" s="486">
        <v>46054</v>
      </c>
      <c r="C41" s="488"/>
      <c r="D41" s="488"/>
      <c r="E41" s="488"/>
      <c r="F41" s="488"/>
      <c r="G41" s="488"/>
      <c r="H41" s="488"/>
      <c r="I41" s="488"/>
    </row>
    <row r="42" spans="1:12" ht="7.5" customHeight="1" x14ac:dyDescent="0.35"/>
    <row r="43" spans="1:12" x14ac:dyDescent="0.35">
      <c r="B43" s="351" t="s">
        <v>57</v>
      </c>
      <c r="C43" s="350" t="s">
        <v>58</v>
      </c>
      <c r="D43" s="489" t="s">
        <v>59</v>
      </c>
      <c r="E43" s="490"/>
      <c r="F43" s="490"/>
      <c r="G43" s="491"/>
      <c r="H43" s="492" t="str">
        <f>UPPER(TEXT('AGPn-Harian'!B41,"MMM-YY"))</f>
        <v>FEB-26</v>
      </c>
      <c r="I43" s="492"/>
    </row>
    <row r="44" spans="1:12" x14ac:dyDescent="0.35">
      <c r="B44" s="472" t="s">
        <v>60</v>
      </c>
      <c r="C44" s="474" t="s">
        <v>61</v>
      </c>
      <c r="D44" s="474" t="s">
        <v>62</v>
      </c>
      <c r="E44" s="476" t="str">
        <f>FEB!F4</f>
        <v>OMSET FEB
 (1-28)</v>
      </c>
      <c r="F44" s="474" t="s">
        <v>95</v>
      </c>
      <c r="G44" s="474" t="s">
        <v>64</v>
      </c>
      <c r="H44" s="472" t="s">
        <v>65</v>
      </c>
      <c r="I44" s="351" t="s">
        <v>66</v>
      </c>
    </row>
    <row r="45" spans="1:12" x14ac:dyDescent="0.35">
      <c r="B45" s="473"/>
      <c r="C45" s="475"/>
      <c r="D45" s="475"/>
      <c r="E45" s="477"/>
      <c r="F45" s="475"/>
      <c r="G45" s="475"/>
      <c r="H45" s="473"/>
      <c r="I45" s="282">
        <f>FEB!K4</f>
        <v>1</v>
      </c>
    </row>
    <row r="46" spans="1:12" x14ac:dyDescent="0.35">
      <c r="B46" s="261" t="s">
        <v>67</v>
      </c>
      <c r="C46" s="262">
        <v>2000000000</v>
      </c>
      <c r="D46" s="264">
        <v>12</v>
      </c>
      <c r="E46" s="263">
        <v>1141209220.7205002</v>
      </c>
      <c r="F46" s="264"/>
      <c r="G46" s="265">
        <f t="shared" ref="G46:G55" si="6">E46-F46</f>
        <v>1141209220.7205002</v>
      </c>
      <c r="H46" s="265">
        <f t="shared" ref="H46:H54" si="7">G46-C46</f>
        <v>-858790779.27949977</v>
      </c>
      <c r="I46" s="266">
        <f t="shared" ref="I46:I54" si="8">G46/C46</f>
        <v>0.57060461036025012</v>
      </c>
    </row>
    <row r="47" spans="1:12" x14ac:dyDescent="0.35">
      <c r="B47" s="257" t="s">
        <v>68</v>
      </c>
      <c r="C47" s="267">
        <v>1000000000</v>
      </c>
      <c r="D47" s="269">
        <v>8</v>
      </c>
      <c r="E47" s="268">
        <v>352556360.35989988</v>
      </c>
      <c r="F47" s="269"/>
      <c r="G47" s="265">
        <f t="shared" si="6"/>
        <v>352556360.35989988</v>
      </c>
      <c r="H47" s="171">
        <f t="shared" si="7"/>
        <v>-647443639.64010012</v>
      </c>
      <c r="I47" s="270">
        <f t="shared" si="8"/>
        <v>0.3525563603598999</v>
      </c>
    </row>
    <row r="48" spans="1:12" x14ac:dyDescent="0.35">
      <c r="B48" s="257" t="s">
        <v>69</v>
      </c>
      <c r="C48" s="267">
        <v>500000000</v>
      </c>
      <c r="D48" s="269">
        <v>3</v>
      </c>
      <c r="E48" s="268">
        <v>468869099.09890002</v>
      </c>
      <c r="F48" s="269"/>
      <c r="G48" s="265">
        <f t="shared" si="6"/>
        <v>468869099.09890002</v>
      </c>
      <c r="H48" s="171">
        <f t="shared" si="7"/>
        <v>-31130900.90109998</v>
      </c>
      <c r="I48" s="270">
        <f t="shared" si="8"/>
        <v>0.93773819819780002</v>
      </c>
    </row>
    <row r="49" spans="2:9" x14ac:dyDescent="0.35">
      <c r="B49" s="257" t="s">
        <v>70</v>
      </c>
      <c r="C49" s="267">
        <v>500000000</v>
      </c>
      <c r="D49" s="269">
        <v>7</v>
      </c>
      <c r="E49" s="268">
        <v>169251994.59419996</v>
      </c>
      <c r="F49" s="269"/>
      <c r="G49" s="265">
        <f t="shared" si="6"/>
        <v>169251994.59419996</v>
      </c>
      <c r="H49" s="171">
        <f t="shared" si="7"/>
        <v>-330748005.40580004</v>
      </c>
      <c r="I49" s="270">
        <f t="shared" si="8"/>
        <v>0.33850398918839991</v>
      </c>
    </row>
    <row r="50" spans="2:9" x14ac:dyDescent="0.35">
      <c r="B50" s="257" t="s">
        <v>71</v>
      </c>
      <c r="C50" s="267">
        <v>100000000</v>
      </c>
      <c r="D50" s="269"/>
      <c r="E50" s="268"/>
      <c r="F50" s="269"/>
      <c r="G50" s="265">
        <f t="shared" si="6"/>
        <v>0</v>
      </c>
      <c r="H50" s="171">
        <f t="shared" si="7"/>
        <v>-100000000</v>
      </c>
      <c r="I50" s="270">
        <f t="shared" si="8"/>
        <v>0</v>
      </c>
    </row>
    <row r="51" spans="2:9" x14ac:dyDescent="0.35">
      <c r="B51" s="257" t="s">
        <v>72</v>
      </c>
      <c r="C51" s="267">
        <v>100000000</v>
      </c>
      <c r="D51" s="269">
        <v>2</v>
      </c>
      <c r="E51" s="268">
        <v>4522522.5225</v>
      </c>
      <c r="F51" s="269"/>
      <c r="G51" s="265">
        <f t="shared" si="6"/>
        <v>4522522.5225</v>
      </c>
      <c r="H51" s="171">
        <f t="shared" si="7"/>
        <v>-95477477.477500007</v>
      </c>
      <c r="I51" s="270">
        <f t="shared" si="8"/>
        <v>4.5225225224999999E-2</v>
      </c>
    </row>
    <row r="52" spans="2:9" x14ac:dyDescent="0.35">
      <c r="B52" s="257" t="s">
        <v>73</v>
      </c>
      <c r="C52" s="267">
        <v>200000000</v>
      </c>
      <c r="D52" s="269">
        <v>2</v>
      </c>
      <c r="E52" s="268">
        <v>8621621.6216000002</v>
      </c>
      <c r="F52" s="269"/>
      <c r="G52" s="265">
        <f t="shared" si="6"/>
        <v>8621621.6216000002</v>
      </c>
      <c r="H52" s="171">
        <f t="shared" si="7"/>
        <v>-191378378.3784</v>
      </c>
      <c r="I52" s="270">
        <f t="shared" si="8"/>
        <v>4.3108108108000004E-2</v>
      </c>
    </row>
    <row r="53" spans="2:9" x14ac:dyDescent="0.35">
      <c r="B53" s="257" t="s">
        <v>74</v>
      </c>
      <c r="C53" s="267">
        <v>500000000</v>
      </c>
      <c r="D53" s="269">
        <v>3</v>
      </c>
      <c r="E53" s="268">
        <v>64174887.387399994</v>
      </c>
      <c r="F53" s="269"/>
      <c r="G53" s="265">
        <f t="shared" si="6"/>
        <v>64174887.387399994</v>
      </c>
      <c r="H53" s="171">
        <f t="shared" si="7"/>
        <v>-435825112.61260003</v>
      </c>
      <c r="I53" s="270">
        <f t="shared" si="8"/>
        <v>0.12834977477479997</v>
      </c>
    </row>
    <row r="54" spans="2:9" x14ac:dyDescent="0.35">
      <c r="B54" s="257" t="s">
        <v>75</v>
      </c>
      <c r="C54" s="267">
        <v>600000000</v>
      </c>
      <c r="D54" s="269"/>
      <c r="E54" s="323"/>
      <c r="F54" s="269"/>
      <c r="G54" s="171">
        <f t="shared" si="6"/>
        <v>0</v>
      </c>
      <c r="H54" s="171">
        <f t="shared" si="7"/>
        <v>-600000000</v>
      </c>
      <c r="I54" s="270">
        <f t="shared" si="8"/>
        <v>0</v>
      </c>
    </row>
    <row r="55" spans="2:9" x14ac:dyDescent="0.35">
      <c r="B55" s="257" t="s">
        <v>76</v>
      </c>
      <c r="C55" s="267"/>
      <c r="D55" s="269"/>
      <c r="E55" s="323"/>
      <c r="F55" s="269"/>
      <c r="G55" s="171">
        <f t="shared" si="6"/>
        <v>0</v>
      </c>
      <c r="H55" s="171"/>
      <c r="I55" s="270"/>
    </row>
    <row r="56" spans="2:9" x14ac:dyDescent="0.35">
      <c r="B56" s="320" t="s">
        <v>77</v>
      </c>
      <c r="C56" s="321">
        <f t="shared" ref="C56" si="9">SUM(C46:C54)</f>
        <v>5500000000</v>
      </c>
      <c r="D56" s="321">
        <f>SUM(D46:D55)</f>
        <v>37</v>
      </c>
      <c r="E56" s="321">
        <f>SUM(E46:E55)</f>
        <v>2209205706.3049998</v>
      </c>
      <c r="F56" s="321">
        <f>SUM(F46:F55)</f>
        <v>0</v>
      </c>
      <c r="G56" s="321">
        <f>SUM(G46:G55)</f>
        <v>2209205706.3049998</v>
      </c>
      <c r="H56" s="321">
        <f>G56-C56</f>
        <v>-3290794293.6950002</v>
      </c>
      <c r="I56" s="322">
        <f>G56/C56</f>
        <v>0.40167376478272726</v>
      </c>
    </row>
    <row r="57" spans="2:9" ht="7.5" customHeight="1" x14ac:dyDescent="0.35"/>
    <row r="58" spans="2:9" x14ac:dyDescent="0.35">
      <c r="B58" s="351" t="s">
        <v>57</v>
      </c>
      <c r="C58" s="350" t="str">
        <f>C43</f>
        <v>STEVEN</v>
      </c>
      <c r="D58" s="489" t="s">
        <v>78</v>
      </c>
      <c r="E58" s="490"/>
      <c r="F58" s="490"/>
      <c r="G58" s="491"/>
      <c r="H58" s="492" t="str">
        <f>H43</f>
        <v>FEB-26</v>
      </c>
      <c r="I58" s="495"/>
    </row>
    <row r="59" spans="2:9" x14ac:dyDescent="0.35">
      <c r="B59" s="472" t="s">
        <v>60</v>
      </c>
      <c r="C59" s="474" t="s">
        <v>61</v>
      </c>
      <c r="D59" s="474" t="s">
        <v>62</v>
      </c>
      <c r="E59" s="476" t="str">
        <f>E44</f>
        <v>OMSET FEB
 (1-28)</v>
      </c>
      <c r="F59" s="474" t="s">
        <v>95</v>
      </c>
      <c r="G59" s="474" t="s">
        <v>64</v>
      </c>
      <c r="H59" s="472" t="s">
        <v>65</v>
      </c>
      <c r="I59" s="351" t="s">
        <v>66</v>
      </c>
    </row>
    <row r="60" spans="2:9" x14ac:dyDescent="0.35">
      <c r="B60" s="473"/>
      <c r="C60" s="475"/>
      <c r="D60" s="475"/>
      <c r="E60" s="477"/>
      <c r="F60" s="475"/>
      <c r="G60" s="475"/>
      <c r="H60" s="473"/>
      <c r="I60" s="282">
        <f>I45</f>
        <v>1</v>
      </c>
    </row>
    <row r="61" spans="2:9" x14ac:dyDescent="0.35">
      <c r="B61" s="261" t="s">
        <v>79</v>
      </c>
      <c r="C61" s="262">
        <v>2000000000</v>
      </c>
      <c r="D61" s="341">
        <v>28</v>
      </c>
      <c r="E61" s="281">
        <v>1746135540.9123995</v>
      </c>
      <c r="F61" s="264"/>
      <c r="G61" s="265">
        <f>E61-F61</f>
        <v>1746135540.9123995</v>
      </c>
      <c r="H61" s="265">
        <f>G61-C61</f>
        <v>-253864459.08760047</v>
      </c>
      <c r="I61" s="266">
        <f>G61/C61</f>
        <v>0.87306777045619977</v>
      </c>
    </row>
    <row r="62" spans="2:9" x14ac:dyDescent="0.35">
      <c r="B62" s="271"/>
      <c r="C62" s="272"/>
      <c r="D62" s="342"/>
      <c r="E62" s="273"/>
      <c r="F62" s="274"/>
      <c r="G62" s="275"/>
      <c r="H62" s="275"/>
      <c r="I62" s="276"/>
    </row>
    <row r="63" spans="2:9" x14ac:dyDescent="0.35">
      <c r="B63" s="283" t="s">
        <v>77</v>
      </c>
      <c r="C63" s="284">
        <f t="shared" ref="C63" si="10">SUM(C61:C62)</f>
        <v>2000000000</v>
      </c>
      <c r="D63" s="284">
        <f>SUM(D61:D62)</f>
        <v>28</v>
      </c>
      <c r="E63" s="284">
        <f>SUM(E61:E62)</f>
        <v>1746135540.9123995</v>
      </c>
      <c r="F63" s="284">
        <f t="shared" ref="F63:G63" si="11">SUM(F61:F62)</f>
        <v>0</v>
      </c>
      <c r="G63" s="284">
        <f t="shared" si="11"/>
        <v>1746135540.9123995</v>
      </c>
      <c r="H63" s="284">
        <f>G63-C63</f>
        <v>-253864459.08760047</v>
      </c>
      <c r="I63" s="285">
        <f>G63/C63</f>
        <v>0.87306777045619977</v>
      </c>
    </row>
    <row r="64" spans="2:9" ht="7.5" customHeight="1" x14ac:dyDescent="0.35"/>
    <row r="65" spans="2:12" x14ac:dyDescent="0.35">
      <c r="B65" s="351" t="s">
        <v>57</v>
      </c>
      <c r="C65" s="350" t="s">
        <v>36</v>
      </c>
      <c r="D65" s="489" t="s">
        <v>80</v>
      </c>
      <c r="E65" s="490"/>
      <c r="F65" s="490"/>
      <c r="G65" s="491"/>
      <c r="H65" s="493" t="str">
        <f>H58</f>
        <v>FEB-26</v>
      </c>
      <c r="I65" s="494"/>
    </row>
    <row r="66" spans="2:12" x14ac:dyDescent="0.35">
      <c r="B66" s="472" t="s">
        <v>60</v>
      </c>
      <c r="C66" s="474" t="s">
        <v>61</v>
      </c>
      <c r="D66" s="474" t="s">
        <v>62</v>
      </c>
      <c r="E66" s="476" t="str">
        <f>E44</f>
        <v>OMSET FEB
 (1-28)</v>
      </c>
      <c r="F66" s="474" t="s">
        <v>95</v>
      </c>
      <c r="G66" s="474" t="s">
        <v>64</v>
      </c>
      <c r="H66" s="472" t="s">
        <v>65</v>
      </c>
      <c r="I66" s="351" t="s">
        <v>66</v>
      </c>
    </row>
    <row r="67" spans="2:12" x14ac:dyDescent="0.35">
      <c r="B67" s="473"/>
      <c r="C67" s="475"/>
      <c r="D67" s="475"/>
      <c r="E67" s="477"/>
      <c r="F67" s="475"/>
      <c r="G67" s="475"/>
      <c r="H67" s="473"/>
      <c r="I67" s="282">
        <f>I45</f>
        <v>1</v>
      </c>
    </row>
    <row r="68" spans="2:12" x14ac:dyDescent="0.35">
      <c r="B68" s="261" t="s">
        <v>81</v>
      </c>
      <c r="C68" s="262">
        <v>1000000000</v>
      </c>
      <c r="D68" s="264">
        <v>68</v>
      </c>
      <c r="E68" s="263">
        <v>1075641837.6654003</v>
      </c>
      <c r="F68" s="264">
        <v>5201153.1530999998</v>
      </c>
      <c r="G68" s="265">
        <f>E68-F68</f>
        <v>1070440684.5123003</v>
      </c>
      <c r="H68" s="265">
        <f>G68-C68</f>
        <v>70440684.512300253</v>
      </c>
      <c r="I68" s="266">
        <f>G68/C68</f>
        <v>1.0704406845123002</v>
      </c>
    </row>
    <row r="69" spans="2:12" x14ac:dyDescent="0.35">
      <c r="B69" s="257" t="s">
        <v>82</v>
      </c>
      <c r="C69" s="267">
        <v>300000000</v>
      </c>
      <c r="D69" s="269"/>
      <c r="E69" s="268"/>
      <c r="F69" s="269"/>
      <c r="G69" s="265">
        <f>E69-F69</f>
        <v>0</v>
      </c>
      <c r="H69" s="171">
        <f>G69-C69</f>
        <v>-300000000</v>
      </c>
      <c r="I69" s="270">
        <f>G69/C69</f>
        <v>0</v>
      </c>
    </row>
    <row r="70" spans="2:12" x14ac:dyDescent="0.35">
      <c r="B70" s="286" t="s">
        <v>77</v>
      </c>
      <c r="C70" s="287">
        <f>SUM(C68:C69)</f>
        <v>1300000000</v>
      </c>
      <c r="D70" s="287">
        <f t="shared" ref="D70:F70" si="12">SUM(D68:D69)</f>
        <v>68</v>
      </c>
      <c r="E70" s="287">
        <f t="shared" si="12"/>
        <v>1075641837.6654003</v>
      </c>
      <c r="F70" s="287">
        <f t="shared" si="12"/>
        <v>5201153.1530999998</v>
      </c>
      <c r="G70" s="287">
        <f>SUM(G68:G69)</f>
        <v>1070440684.5123003</v>
      </c>
      <c r="H70" s="287">
        <f>G70-C70</f>
        <v>-229559315.48769975</v>
      </c>
      <c r="I70" s="288">
        <f>G70/C70</f>
        <v>0.82341591116330792</v>
      </c>
    </row>
    <row r="71" spans="2:12" x14ac:dyDescent="0.35">
      <c r="B71" s="289" t="s">
        <v>83</v>
      </c>
      <c r="C71" s="182">
        <v>1170000000</v>
      </c>
      <c r="D71" s="182"/>
      <c r="E71" s="318"/>
      <c r="F71" s="318"/>
      <c r="G71" s="182">
        <f>G70</f>
        <v>1070440684.5123003</v>
      </c>
      <c r="H71" s="182">
        <f>G71-C71</f>
        <v>-99559315.487699747</v>
      </c>
      <c r="I71" s="319">
        <f>G71/C71</f>
        <v>0.91490656795923098</v>
      </c>
    </row>
    <row r="72" spans="2:12" customFormat="1" ht="7" customHeight="1" x14ac:dyDescent="0.35">
      <c r="L72" s="357"/>
    </row>
    <row r="73" spans="2:12" x14ac:dyDescent="0.35">
      <c r="B73" s="478" t="s">
        <v>85</v>
      </c>
      <c r="C73" s="480" t="s">
        <v>61</v>
      </c>
      <c r="D73" s="482" t="s">
        <v>62</v>
      </c>
      <c r="E73" s="484" t="str">
        <f>E44</f>
        <v>OMSET FEB
 (1-28)</v>
      </c>
      <c r="F73" s="487" t="str">
        <f>F66</f>
        <v>OMSET PRODUK</v>
      </c>
      <c r="G73" s="480" t="s">
        <v>64</v>
      </c>
      <c r="H73" s="480" t="s">
        <v>65</v>
      </c>
      <c r="I73" s="347" t="s">
        <v>66</v>
      </c>
    </row>
    <row r="74" spans="2:12" x14ac:dyDescent="0.35">
      <c r="B74" s="478"/>
      <c r="C74" s="481"/>
      <c r="D74" s="483"/>
      <c r="E74" s="485"/>
      <c r="F74" s="483"/>
      <c r="G74" s="481"/>
      <c r="H74" s="481"/>
      <c r="I74" s="346">
        <f>I45</f>
        <v>1</v>
      </c>
    </row>
    <row r="75" spans="2:12" ht="16" x14ac:dyDescent="0.4">
      <c r="B75" s="479"/>
      <c r="C75" s="343">
        <f>SUM(C70,C63,C56)</f>
        <v>8800000000</v>
      </c>
      <c r="D75" s="344">
        <f>SUM(D70,D63,D56)</f>
        <v>133</v>
      </c>
      <c r="E75" s="344">
        <f>SUM(E70,E63,E56)</f>
        <v>5030983084.8827991</v>
      </c>
      <c r="F75" s="344">
        <f>SUM(F70,F63,F56)</f>
        <v>5201153.1530999998</v>
      </c>
      <c r="G75" s="344">
        <f>SUM(G70,G63,G56)</f>
        <v>5025781931.7297001</v>
      </c>
      <c r="H75" s="344">
        <f>G75-C75</f>
        <v>-3774218068.2702999</v>
      </c>
      <c r="I75" s="345">
        <f>G75/C75</f>
        <v>0.57111158315110233</v>
      </c>
    </row>
    <row r="78" spans="2:12" ht="28.5" x14ac:dyDescent="0.35">
      <c r="B78" s="486">
        <v>46082</v>
      </c>
      <c r="C78" s="488"/>
      <c r="D78" s="488"/>
      <c r="E78" s="488"/>
      <c r="F78" s="488"/>
      <c r="G78" s="488"/>
      <c r="H78" s="488"/>
      <c r="I78" s="488"/>
    </row>
    <row r="79" spans="2:12" ht="7.5" customHeight="1" x14ac:dyDescent="0.35"/>
    <row r="80" spans="2:12" x14ac:dyDescent="0.35">
      <c r="B80" s="351" t="s">
        <v>57</v>
      </c>
      <c r="C80" s="350" t="s">
        <v>58</v>
      </c>
      <c r="D80" s="489" t="s">
        <v>59</v>
      </c>
      <c r="E80" s="490"/>
      <c r="F80" s="490"/>
      <c r="G80" s="491"/>
      <c r="H80" s="492" t="str">
        <f>UPPER(TEXT('AGPn-Harian'!B78,"MMM-YY"))</f>
        <v>MAR-26</v>
      </c>
      <c r="I80" s="492"/>
    </row>
    <row r="81" spans="2:9" x14ac:dyDescent="0.35">
      <c r="B81" s="472" t="s">
        <v>60</v>
      </c>
      <c r="C81" s="474" t="s">
        <v>61</v>
      </c>
      <c r="D81" s="474" t="s">
        <v>62</v>
      </c>
      <c r="E81" s="476" t="str">
        <f>MAR!F4</f>
        <v>OMSET MAR
 (1-31)</v>
      </c>
      <c r="F81" s="474" t="s">
        <v>95</v>
      </c>
      <c r="G81" s="474" t="s">
        <v>64</v>
      </c>
      <c r="H81" s="472" t="s">
        <v>65</v>
      </c>
      <c r="I81" s="351" t="s">
        <v>66</v>
      </c>
    </row>
    <row r="82" spans="2:9" x14ac:dyDescent="0.35">
      <c r="B82" s="473"/>
      <c r="C82" s="475"/>
      <c r="D82" s="475"/>
      <c r="E82" s="477"/>
      <c r="F82" s="475"/>
      <c r="G82" s="475"/>
      <c r="H82" s="473"/>
      <c r="I82" s="282">
        <f>MAR!K4</f>
        <v>1</v>
      </c>
    </row>
    <row r="83" spans="2:9" x14ac:dyDescent="0.35">
      <c r="B83" s="261" t="s">
        <v>67</v>
      </c>
      <c r="C83" s="262">
        <v>2000000000</v>
      </c>
      <c r="D83" s="264">
        <v>8</v>
      </c>
      <c r="E83" s="263">
        <v>322765900.90109998</v>
      </c>
      <c r="F83" s="264"/>
      <c r="G83" s="265">
        <f t="shared" ref="G83:G92" si="13">E83-F83</f>
        <v>322765900.90109998</v>
      </c>
      <c r="H83" s="265">
        <f t="shared" ref="H83:H91" si="14">G83-C83</f>
        <v>-1677234099.0989001</v>
      </c>
      <c r="I83" s="266">
        <f t="shared" ref="I83:I91" si="15">G83/C83</f>
        <v>0.16138295045054998</v>
      </c>
    </row>
    <row r="84" spans="2:9" x14ac:dyDescent="0.35">
      <c r="B84" s="257" t="s">
        <v>68</v>
      </c>
      <c r="C84" s="267">
        <v>1000000000</v>
      </c>
      <c r="D84" s="269">
        <v>4</v>
      </c>
      <c r="E84" s="268">
        <v>94675621.621700004</v>
      </c>
      <c r="F84" s="269"/>
      <c r="G84" s="265">
        <f t="shared" si="13"/>
        <v>94675621.621700004</v>
      </c>
      <c r="H84" s="171">
        <f t="shared" si="14"/>
        <v>-905324378.37829995</v>
      </c>
      <c r="I84" s="270">
        <f t="shared" si="15"/>
        <v>9.4675621621699999E-2</v>
      </c>
    </row>
    <row r="85" spans="2:9" x14ac:dyDescent="0.35">
      <c r="B85" s="257" t="s">
        <v>69</v>
      </c>
      <c r="C85" s="267">
        <v>500000000</v>
      </c>
      <c r="D85" s="269"/>
      <c r="E85" s="268"/>
      <c r="F85" s="269"/>
      <c r="G85" s="265">
        <f t="shared" si="13"/>
        <v>0</v>
      </c>
      <c r="H85" s="171">
        <f t="shared" si="14"/>
        <v>-500000000</v>
      </c>
      <c r="I85" s="270">
        <f t="shared" si="15"/>
        <v>0</v>
      </c>
    </row>
    <row r="86" spans="2:9" x14ac:dyDescent="0.35">
      <c r="B86" s="257" t="s">
        <v>70</v>
      </c>
      <c r="C86" s="267">
        <v>500000000</v>
      </c>
      <c r="D86" s="269">
        <v>7</v>
      </c>
      <c r="E86" s="268">
        <v>86821927.954999983</v>
      </c>
      <c r="F86" s="269"/>
      <c r="G86" s="265">
        <f t="shared" si="13"/>
        <v>86821927.954999983</v>
      </c>
      <c r="H86" s="171">
        <f t="shared" si="14"/>
        <v>-413178072.04500002</v>
      </c>
      <c r="I86" s="270">
        <f t="shared" si="15"/>
        <v>0.17364385590999998</v>
      </c>
    </row>
    <row r="87" spans="2:9" x14ac:dyDescent="0.35">
      <c r="B87" s="257" t="s">
        <v>71</v>
      </c>
      <c r="C87" s="267">
        <v>100000000</v>
      </c>
      <c r="D87" s="269">
        <v>1</v>
      </c>
      <c r="E87" s="268">
        <v>7399369.3695</v>
      </c>
      <c r="F87" s="269"/>
      <c r="G87" s="265">
        <f t="shared" si="13"/>
        <v>7399369.3695</v>
      </c>
      <c r="H87" s="171">
        <f t="shared" si="14"/>
        <v>-92600630.630500004</v>
      </c>
      <c r="I87" s="270">
        <f t="shared" si="15"/>
        <v>7.3993693695000001E-2</v>
      </c>
    </row>
    <row r="88" spans="2:9" x14ac:dyDescent="0.35">
      <c r="B88" s="257" t="s">
        <v>72</v>
      </c>
      <c r="C88" s="267">
        <v>100000000</v>
      </c>
      <c r="D88" s="269"/>
      <c r="E88" s="268"/>
      <c r="F88" s="269"/>
      <c r="G88" s="265">
        <f t="shared" si="13"/>
        <v>0</v>
      </c>
      <c r="H88" s="171">
        <f t="shared" si="14"/>
        <v>-100000000</v>
      </c>
      <c r="I88" s="270">
        <f t="shared" si="15"/>
        <v>0</v>
      </c>
    </row>
    <row r="89" spans="2:9" x14ac:dyDescent="0.35">
      <c r="B89" s="257" t="s">
        <v>73</v>
      </c>
      <c r="C89" s="267">
        <v>200000000</v>
      </c>
      <c r="D89" s="269"/>
      <c r="E89" s="268"/>
      <c r="F89" s="269"/>
      <c r="G89" s="265">
        <f t="shared" si="13"/>
        <v>0</v>
      </c>
      <c r="H89" s="171">
        <f t="shared" si="14"/>
        <v>-200000000</v>
      </c>
      <c r="I89" s="270">
        <f t="shared" si="15"/>
        <v>0</v>
      </c>
    </row>
    <row r="90" spans="2:9" x14ac:dyDescent="0.35">
      <c r="B90" s="257" t="s">
        <v>74</v>
      </c>
      <c r="C90" s="267">
        <v>500000000</v>
      </c>
      <c r="D90" s="269">
        <v>3</v>
      </c>
      <c r="E90" s="268">
        <v>141918918.91889998</v>
      </c>
      <c r="F90" s="269"/>
      <c r="G90" s="265">
        <f t="shared" si="13"/>
        <v>141918918.91889998</v>
      </c>
      <c r="H90" s="171">
        <f t="shared" si="14"/>
        <v>-358081081.08109999</v>
      </c>
      <c r="I90" s="270">
        <f t="shared" si="15"/>
        <v>0.28383783783779998</v>
      </c>
    </row>
    <row r="91" spans="2:9" x14ac:dyDescent="0.35">
      <c r="B91" s="257" t="s">
        <v>75</v>
      </c>
      <c r="C91" s="267">
        <v>600000000</v>
      </c>
      <c r="D91" s="269"/>
      <c r="E91" s="323"/>
      <c r="F91" s="269"/>
      <c r="G91" s="171">
        <f t="shared" si="13"/>
        <v>0</v>
      </c>
      <c r="H91" s="171">
        <f t="shared" si="14"/>
        <v>-600000000</v>
      </c>
      <c r="I91" s="270">
        <f t="shared" si="15"/>
        <v>0</v>
      </c>
    </row>
    <row r="92" spans="2:9" x14ac:dyDescent="0.35">
      <c r="B92" s="257" t="s">
        <v>76</v>
      </c>
      <c r="C92" s="267"/>
      <c r="D92" s="269"/>
      <c r="E92" s="323"/>
      <c r="F92" s="269"/>
      <c r="G92" s="171">
        <f t="shared" si="13"/>
        <v>0</v>
      </c>
      <c r="H92" s="171"/>
      <c r="I92" s="270"/>
    </row>
    <row r="93" spans="2:9" x14ac:dyDescent="0.35">
      <c r="B93" s="320" t="s">
        <v>77</v>
      </c>
      <c r="C93" s="321">
        <f t="shared" ref="C93" si="16">SUM(C83:C91)</f>
        <v>5500000000</v>
      </c>
      <c r="D93" s="321">
        <f>SUM(D83:D92)</f>
        <v>23</v>
      </c>
      <c r="E93" s="321">
        <f>SUM(E83:E92)</f>
        <v>653581738.76619995</v>
      </c>
      <c r="F93" s="321">
        <f>SUM(F83:F92)</f>
        <v>0</v>
      </c>
      <c r="G93" s="321">
        <f>SUM(G83:G92)</f>
        <v>653581738.76619995</v>
      </c>
      <c r="H93" s="321">
        <f>G93-C93</f>
        <v>-4846418261.2337999</v>
      </c>
      <c r="I93" s="322">
        <f>G93/C93</f>
        <v>0.11883304341203635</v>
      </c>
    </row>
    <row r="94" spans="2:9" ht="7.5" customHeight="1" x14ac:dyDescent="0.35"/>
    <row r="95" spans="2:9" x14ac:dyDescent="0.35">
      <c r="B95" s="351" t="s">
        <v>57</v>
      </c>
      <c r="C95" s="350" t="str">
        <f>C80</f>
        <v>STEVEN</v>
      </c>
      <c r="D95" s="489" t="s">
        <v>78</v>
      </c>
      <c r="E95" s="490"/>
      <c r="F95" s="490"/>
      <c r="G95" s="491"/>
      <c r="H95" s="492" t="str">
        <f>H80</f>
        <v>MAR-26</v>
      </c>
      <c r="I95" s="495"/>
    </row>
    <row r="96" spans="2:9" x14ac:dyDescent="0.35">
      <c r="B96" s="472" t="s">
        <v>60</v>
      </c>
      <c r="C96" s="474" t="s">
        <v>61</v>
      </c>
      <c r="D96" s="474" t="s">
        <v>62</v>
      </c>
      <c r="E96" s="476" t="str">
        <f>E81</f>
        <v>OMSET MAR
 (1-31)</v>
      </c>
      <c r="F96" s="474" t="s">
        <v>95</v>
      </c>
      <c r="G96" s="474" t="s">
        <v>64</v>
      </c>
      <c r="H96" s="472" t="s">
        <v>65</v>
      </c>
      <c r="I96" s="351" t="s">
        <v>66</v>
      </c>
    </row>
    <row r="97" spans="2:12" x14ac:dyDescent="0.35">
      <c r="B97" s="473"/>
      <c r="C97" s="475"/>
      <c r="D97" s="475"/>
      <c r="E97" s="477"/>
      <c r="F97" s="475"/>
      <c r="G97" s="475"/>
      <c r="H97" s="473"/>
      <c r="I97" s="282">
        <f>I82</f>
        <v>1</v>
      </c>
    </row>
    <row r="98" spans="2:12" x14ac:dyDescent="0.35">
      <c r="B98" s="261" t="s">
        <v>79</v>
      </c>
      <c r="C98" s="262">
        <v>2000000000</v>
      </c>
      <c r="D98" s="341">
        <v>19</v>
      </c>
      <c r="E98" s="281">
        <v>1069496749.3262001</v>
      </c>
      <c r="F98" s="264"/>
      <c r="G98" s="265">
        <f>E98-F98</f>
        <v>1069496749.3262001</v>
      </c>
      <c r="H98" s="265">
        <f>G98-C98</f>
        <v>-930503250.67379987</v>
      </c>
      <c r="I98" s="266">
        <f>G98/C98</f>
        <v>0.5347483746631001</v>
      </c>
    </row>
    <row r="99" spans="2:12" x14ac:dyDescent="0.35">
      <c r="B99" s="271"/>
      <c r="C99" s="272"/>
      <c r="D99" s="342"/>
      <c r="E99" s="273"/>
      <c r="F99" s="274"/>
      <c r="G99" s="275"/>
      <c r="H99" s="275"/>
      <c r="I99" s="276"/>
    </row>
    <row r="100" spans="2:12" x14ac:dyDescent="0.35">
      <c r="B100" s="283" t="s">
        <v>77</v>
      </c>
      <c r="C100" s="284">
        <f t="shared" ref="C100" si="17">SUM(C98:C99)</f>
        <v>2000000000</v>
      </c>
      <c r="D100" s="284">
        <f>SUM(D98:D99)</f>
        <v>19</v>
      </c>
      <c r="E100" s="284">
        <f>SUM(E98:E99)</f>
        <v>1069496749.3262001</v>
      </c>
      <c r="F100" s="284">
        <f t="shared" ref="F100:G100" si="18">SUM(F98:F99)</f>
        <v>0</v>
      </c>
      <c r="G100" s="284">
        <f t="shared" si="18"/>
        <v>1069496749.3262001</v>
      </c>
      <c r="H100" s="284">
        <f>G100-C100</f>
        <v>-930503250.67379987</v>
      </c>
      <c r="I100" s="285">
        <f>G100/C100</f>
        <v>0.5347483746631001</v>
      </c>
    </row>
    <row r="101" spans="2:12" ht="7.5" customHeight="1" x14ac:dyDescent="0.35"/>
    <row r="102" spans="2:12" x14ac:dyDescent="0.35">
      <c r="B102" s="351" t="s">
        <v>57</v>
      </c>
      <c r="C102" s="350" t="s">
        <v>36</v>
      </c>
      <c r="D102" s="489" t="s">
        <v>80</v>
      </c>
      <c r="E102" s="490"/>
      <c r="F102" s="490"/>
      <c r="G102" s="491"/>
      <c r="H102" s="493" t="str">
        <f>H95</f>
        <v>MAR-26</v>
      </c>
      <c r="I102" s="494"/>
    </row>
    <row r="103" spans="2:12" x14ac:dyDescent="0.35">
      <c r="B103" s="472" t="s">
        <v>60</v>
      </c>
      <c r="C103" s="474" t="s">
        <v>61</v>
      </c>
      <c r="D103" s="474" t="s">
        <v>62</v>
      </c>
      <c r="E103" s="476" t="str">
        <f>E81</f>
        <v>OMSET MAR
 (1-31)</v>
      </c>
      <c r="F103" s="474" t="s">
        <v>95</v>
      </c>
      <c r="G103" s="474" t="s">
        <v>64</v>
      </c>
      <c r="H103" s="472" t="s">
        <v>65</v>
      </c>
      <c r="I103" s="351" t="s">
        <v>66</v>
      </c>
    </row>
    <row r="104" spans="2:12" x14ac:dyDescent="0.35">
      <c r="B104" s="473"/>
      <c r="C104" s="475"/>
      <c r="D104" s="475"/>
      <c r="E104" s="477"/>
      <c r="F104" s="475"/>
      <c r="G104" s="475"/>
      <c r="H104" s="473"/>
      <c r="I104" s="282">
        <f>I82</f>
        <v>1</v>
      </c>
    </row>
    <row r="105" spans="2:12" x14ac:dyDescent="0.35">
      <c r="B105" s="261" t="s">
        <v>81</v>
      </c>
      <c r="C105" s="262">
        <v>1000000000</v>
      </c>
      <c r="D105" s="264">
        <v>53</v>
      </c>
      <c r="E105" s="263">
        <v>553914972.52149975</v>
      </c>
      <c r="F105" s="264">
        <v>1210810.8108000001</v>
      </c>
      <c r="G105" s="265">
        <f>E105-F105</f>
        <v>552704161.7106998</v>
      </c>
      <c r="H105" s="265">
        <f>G105-C105</f>
        <v>-447295838.2893002</v>
      </c>
      <c r="I105" s="266">
        <f>G105/C105</f>
        <v>0.5527041617106998</v>
      </c>
    </row>
    <row r="106" spans="2:12" x14ac:dyDescent="0.35">
      <c r="B106" s="257" t="s">
        <v>82</v>
      </c>
      <c r="C106" s="267">
        <v>300000000</v>
      </c>
      <c r="D106" s="269">
        <v>1</v>
      </c>
      <c r="E106" s="268">
        <v>27166666.666699998</v>
      </c>
      <c r="F106" s="269"/>
      <c r="G106" s="265">
        <f>E106-F106</f>
        <v>27166666.666699998</v>
      </c>
      <c r="H106" s="171">
        <f>G106-C106</f>
        <v>-272833333.33329999</v>
      </c>
      <c r="I106" s="270">
        <f>G106/C106</f>
        <v>9.0555555555666661E-2</v>
      </c>
    </row>
    <row r="107" spans="2:12" x14ac:dyDescent="0.35">
      <c r="B107" s="286" t="s">
        <v>77</v>
      </c>
      <c r="C107" s="287">
        <f>SUM(C105:C106)</f>
        <v>1300000000</v>
      </c>
      <c r="D107" s="287">
        <v>53</v>
      </c>
      <c r="E107" s="287">
        <v>581081639.18820024</v>
      </c>
      <c r="F107" s="287">
        <f t="shared" ref="F107" si="19">SUM(F105:F106)</f>
        <v>1210810.8108000001</v>
      </c>
      <c r="G107" s="287">
        <f>SUM(G105:G106)</f>
        <v>579870828.3773998</v>
      </c>
      <c r="H107" s="287">
        <f>G107-C107</f>
        <v>-720129171.6226002</v>
      </c>
      <c r="I107" s="288">
        <f>G107/C107</f>
        <v>0.44605448336723064</v>
      </c>
    </row>
    <row r="108" spans="2:12" x14ac:dyDescent="0.35">
      <c r="B108" s="289" t="s">
        <v>83</v>
      </c>
      <c r="C108" s="182">
        <v>1170000000</v>
      </c>
      <c r="D108" s="182"/>
      <c r="E108" s="318"/>
      <c r="F108" s="318"/>
      <c r="G108" s="182">
        <f>G107</f>
        <v>579870828.3773998</v>
      </c>
      <c r="H108" s="182">
        <f>G108-C108</f>
        <v>-590129171.6226002</v>
      </c>
      <c r="I108" s="319">
        <f>G108/C108</f>
        <v>0.49561609263025624</v>
      </c>
    </row>
    <row r="109" spans="2:12" customFormat="1" ht="7" customHeight="1" x14ac:dyDescent="0.35">
      <c r="L109" s="357"/>
    </row>
    <row r="110" spans="2:12" x14ac:dyDescent="0.35">
      <c r="B110" s="478" t="s">
        <v>85</v>
      </c>
      <c r="C110" s="480" t="s">
        <v>61</v>
      </c>
      <c r="D110" s="482" t="s">
        <v>62</v>
      </c>
      <c r="E110" s="484" t="str">
        <f>E81</f>
        <v>OMSET MAR
 (1-31)</v>
      </c>
      <c r="F110" s="487" t="str">
        <f>F103</f>
        <v>OMSET PRODUK</v>
      </c>
      <c r="G110" s="480" t="s">
        <v>64</v>
      </c>
      <c r="H110" s="480" t="s">
        <v>65</v>
      </c>
      <c r="I110" s="347" t="s">
        <v>66</v>
      </c>
    </row>
    <row r="111" spans="2:12" x14ac:dyDescent="0.35">
      <c r="B111" s="478"/>
      <c r="C111" s="481"/>
      <c r="D111" s="483"/>
      <c r="E111" s="485"/>
      <c r="F111" s="483"/>
      <c r="G111" s="481"/>
      <c r="H111" s="481"/>
      <c r="I111" s="346">
        <f>I82</f>
        <v>1</v>
      </c>
    </row>
    <row r="112" spans="2:12" ht="16" x14ac:dyDescent="0.4">
      <c r="B112" s="479"/>
      <c r="C112" s="343">
        <f>SUM(C107,C100,C93)</f>
        <v>8800000000</v>
      </c>
      <c r="D112" s="344">
        <f>SUM(D107,D100,D93)</f>
        <v>95</v>
      </c>
      <c r="E112" s="344">
        <f>SUM(E107,E100,E93)</f>
        <v>2304160127.2806005</v>
      </c>
      <c r="F112" s="344">
        <f>SUM(F107,F100,F93)</f>
        <v>1210810.8108000001</v>
      </c>
      <c r="G112" s="344">
        <f>SUM(G107,G100,G93)</f>
        <v>2302949316.4698</v>
      </c>
      <c r="H112" s="344">
        <f>G112-C112</f>
        <v>-6497050683.5302</v>
      </c>
      <c r="I112" s="345">
        <f>G112/C112</f>
        <v>0.26169878596247725</v>
      </c>
    </row>
    <row r="115" spans="2:9" ht="28.5" x14ac:dyDescent="0.35">
      <c r="B115" s="486">
        <f>APR!B1</f>
        <v>46142</v>
      </c>
      <c r="C115" s="488"/>
      <c r="D115" s="488"/>
      <c r="E115" s="488"/>
      <c r="F115" s="488"/>
      <c r="G115" s="488"/>
      <c r="H115" s="488"/>
      <c r="I115" s="488"/>
    </row>
    <row r="116" spans="2:9" ht="7.5" customHeight="1" x14ac:dyDescent="0.35"/>
    <row r="117" spans="2:9" x14ac:dyDescent="0.35">
      <c r="B117" s="351" t="s">
        <v>57</v>
      </c>
      <c r="C117" s="350" t="s">
        <v>58</v>
      </c>
      <c r="D117" s="489" t="s">
        <v>59</v>
      </c>
      <c r="E117" s="490"/>
      <c r="F117" s="490"/>
      <c r="G117" s="491"/>
      <c r="H117" s="492" t="str">
        <f>UPPER(TEXT('AGPn-Harian'!B115,"MMM-YY"))</f>
        <v>APR-26</v>
      </c>
      <c r="I117" s="492"/>
    </row>
    <row r="118" spans="2:9" x14ac:dyDescent="0.35">
      <c r="B118" s="472" t="s">
        <v>60</v>
      </c>
      <c r="C118" s="474" t="s">
        <v>61</v>
      </c>
      <c r="D118" s="474" t="s">
        <v>62</v>
      </c>
      <c r="E118" s="476" t="str">
        <f>APR!F4</f>
        <v>OMSET APR
 (1-30)</v>
      </c>
      <c r="F118" s="474" t="s">
        <v>95</v>
      </c>
      <c r="G118" s="474" t="s">
        <v>64</v>
      </c>
      <c r="H118" s="472" t="s">
        <v>65</v>
      </c>
      <c r="I118" s="351" t="s">
        <v>66</v>
      </c>
    </row>
    <row r="119" spans="2:9" x14ac:dyDescent="0.35">
      <c r="B119" s="473"/>
      <c r="C119" s="475"/>
      <c r="D119" s="475"/>
      <c r="E119" s="477"/>
      <c r="F119" s="475"/>
      <c r="G119" s="475"/>
      <c r="H119" s="473"/>
      <c r="I119" s="282">
        <f>APR!K4</f>
        <v>1</v>
      </c>
    </row>
    <row r="120" spans="2:9" x14ac:dyDescent="0.35">
      <c r="B120" s="261" t="s">
        <v>67</v>
      </c>
      <c r="C120" s="262">
        <v>2000000000</v>
      </c>
      <c r="D120" s="264">
        <v>10</v>
      </c>
      <c r="E120" s="263">
        <v>737140677.0267998</v>
      </c>
      <c r="F120" s="264"/>
      <c r="G120" s="265">
        <f t="shared" ref="G120:G129" si="20">E120-F120</f>
        <v>737140677.0267998</v>
      </c>
      <c r="H120" s="265">
        <f t="shared" ref="H120:H128" si="21">G120-C120</f>
        <v>-1262859322.9732003</v>
      </c>
      <c r="I120" s="266">
        <f t="shared" ref="I120:I128" si="22">G120/C120</f>
        <v>0.36857033851339988</v>
      </c>
    </row>
    <row r="121" spans="2:9" x14ac:dyDescent="0.35">
      <c r="B121" s="257" t="s">
        <v>68</v>
      </c>
      <c r="C121" s="267">
        <v>1000000000</v>
      </c>
      <c r="D121" s="269">
        <v>5</v>
      </c>
      <c r="E121" s="268">
        <v>170638288.28830001</v>
      </c>
      <c r="F121" s="269"/>
      <c r="G121" s="265">
        <f t="shared" si="20"/>
        <v>170638288.28830001</v>
      </c>
      <c r="H121" s="171">
        <f t="shared" si="21"/>
        <v>-829361711.71169996</v>
      </c>
      <c r="I121" s="270">
        <f t="shared" si="22"/>
        <v>0.17063828828829999</v>
      </c>
    </row>
    <row r="122" spans="2:9" x14ac:dyDescent="0.35">
      <c r="B122" s="257" t="s">
        <v>69</v>
      </c>
      <c r="C122" s="267">
        <v>500000000</v>
      </c>
      <c r="D122" s="269">
        <v>2</v>
      </c>
      <c r="E122" s="268">
        <v>349943693.69379997</v>
      </c>
      <c r="F122" s="269"/>
      <c r="G122" s="265">
        <f t="shared" si="20"/>
        <v>349943693.69379997</v>
      </c>
      <c r="H122" s="171">
        <f t="shared" si="21"/>
        <v>-150056306.30620003</v>
      </c>
      <c r="I122" s="270">
        <f t="shared" si="22"/>
        <v>0.69988738738759992</v>
      </c>
    </row>
    <row r="123" spans="2:9" x14ac:dyDescent="0.35">
      <c r="B123" s="257" t="s">
        <v>70</v>
      </c>
      <c r="C123" s="267">
        <v>500000000</v>
      </c>
      <c r="D123" s="269">
        <v>7</v>
      </c>
      <c r="E123" s="268">
        <v>207795720.7209</v>
      </c>
      <c r="F123" s="269"/>
      <c r="G123" s="265">
        <f t="shared" si="20"/>
        <v>207795720.7209</v>
      </c>
      <c r="H123" s="171">
        <f t="shared" si="21"/>
        <v>-292204279.2791</v>
      </c>
      <c r="I123" s="270">
        <f t="shared" si="22"/>
        <v>0.41559144144179999</v>
      </c>
    </row>
    <row r="124" spans="2:9" x14ac:dyDescent="0.35">
      <c r="B124" s="257" t="s">
        <v>71</v>
      </c>
      <c r="C124" s="267">
        <v>100000000</v>
      </c>
      <c r="D124" s="269">
        <v>2</v>
      </c>
      <c r="E124" s="268">
        <v>16160666.666700002</v>
      </c>
      <c r="F124" s="269"/>
      <c r="G124" s="265">
        <f t="shared" si="20"/>
        <v>16160666.666700002</v>
      </c>
      <c r="H124" s="171">
        <f t="shared" si="21"/>
        <v>-83839333.333299994</v>
      </c>
      <c r="I124" s="270">
        <f t="shared" si="22"/>
        <v>0.16160666666700002</v>
      </c>
    </row>
    <row r="125" spans="2:9" x14ac:dyDescent="0.35">
      <c r="B125" s="257" t="s">
        <v>72</v>
      </c>
      <c r="C125" s="267">
        <v>100000000</v>
      </c>
      <c r="D125" s="269"/>
      <c r="E125" s="268"/>
      <c r="F125" s="269"/>
      <c r="G125" s="265">
        <f t="shared" si="20"/>
        <v>0</v>
      </c>
      <c r="H125" s="171">
        <f t="shared" si="21"/>
        <v>-100000000</v>
      </c>
      <c r="I125" s="270">
        <f t="shared" si="22"/>
        <v>0</v>
      </c>
    </row>
    <row r="126" spans="2:9" x14ac:dyDescent="0.35">
      <c r="B126" s="257" t="s">
        <v>73</v>
      </c>
      <c r="C126" s="267">
        <v>200000000</v>
      </c>
      <c r="D126" s="269"/>
      <c r="E126" s="268"/>
      <c r="F126" s="269"/>
      <c r="G126" s="265">
        <f t="shared" si="20"/>
        <v>0</v>
      </c>
      <c r="H126" s="171">
        <f t="shared" si="21"/>
        <v>-200000000</v>
      </c>
      <c r="I126" s="270">
        <f t="shared" si="22"/>
        <v>0</v>
      </c>
    </row>
    <row r="127" spans="2:9" x14ac:dyDescent="0.35">
      <c r="B127" s="257" t="s">
        <v>74</v>
      </c>
      <c r="C127" s="267">
        <v>500000000</v>
      </c>
      <c r="D127" s="269">
        <v>3</v>
      </c>
      <c r="E127" s="268">
        <v>224278727.47739998</v>
      </c>
      <c r="F127" s="269"/>
      <c r="G127" s="265">
        <f t="shared" si="20"/>
        <v>224278727.47739998</v>
      </c>
      <c r="H127" s="171">
        <f t="shared" si="21"/>
        <v>-275721272.52260005</v>
      </c>
      <c r="I127" s="270">
        <f t="shared" si="22"/>
        <v>0.44855745495479993</v>
      </c>
    </row>
    <row r="128" spans="2:9" x14ac:dyDescent="0.35">
      <c r="B128" s="257" t="s">
        <v>75</v>
      </c>
      <c r="C128" s="267">
        <v>600000000</v>
      </c>
      <c r="D128" s="269"/>
      <c r="E128" s="323"/>
      <c r="F128" s="269"/>
      <c r="G128" s="171">
        <f t="shared" si="20"/>
        <v>0</v>
      </c>
      <c r="H128" s="171">
        <f t="shared" si="21"/>
        <v>-600000000</v>
      </c>
      <c r="I128" s="270">
        <f t="shared" si="22"/>
        <v>0</v>
      </c>
    </row>
    <row r="129" spans="2:9" x14ac:dyDescent="0.35">
      <c r="B129" s="257" t="s">
        <v>76</v>
      </c>
      <c r="C129" s="267"/>
      <c r="D129" s="269">
        <v>1</v>
      </c>
      <c r="E129" s="323">
        <v>18053590.090099998</v>
      </c>
      <c r="F129" s="269"/>
      <c r="G129" s="171">
        <f t="shared" si="20"/>
        <v>18053590.090099998</v>
      </c>
      <c r="H129" s="171"/>
      <c r="I129" s="270"/>
    </row>
    <row r="130" spans="2:9" x14ac:dyDescent="0.35">
      <c r="B130" s="320" t="s">
        <v>77</v>
      </c>
      <c r="C130" s="321">
        <f t="shared" ref="C130" si="23">SUM(C120:C128)</f>
        <v>5500000000</v>
      </c>
      <c r="D130" s="321">
        <f>SUM(D120:D129)</f>
        <v>30</v>
      </c>
      <c r="E130" s="321">
        <f>SUM(E120:E129)</f>
        <v>1724011363.9639997</v>
      </c>
      <c r="F130" s="321">
        <f>SUM(F120:F129)</f>
        <v>0</v>
      </c>
      <c r="G130" s="321">
        <f>SUM(G120:G129)</f>
        <v>1724011363.9639997</v>
      </c>
      <c r="H130" s="321">
        <f>G130-C130</f>
        <v>-3775988636.0360003</v>
      </c>
      <c r="I130" s="322">
        <f>G130/C130</f>
        <v>0.31345661162981814</v>
      </c>
    </row>
    <row r="131" spans="2:9" ht="7.5" customHeight="1" x14ac:dyDescent="0.35"/>
    <row r="132" spans="2:9" x14ac:dyDescent="0.35">
      <c r="B132" s="351" t="s">
        <v>57</v>
      </c>
      <c r="C132" s="350" t="str">
        <f>C117</f>
        <v>STEVEN</v>
      </c>
      <c r="D132" s="489" t="s">
        <v>78</v>
      </c>
      <c r="E132" s="490"/>
      <c r="F132" s="490"/>
      <c r="G132" s="491"/>
      <c r="H132" s="492" t="str">
        <f>H117</f>
        <v>APR-26</v>
      </c>
      <c r="I132" s="495"/>
    </row>
    <row r="133" spans="2:9" x14ac:dyDescent="0.35">
      <c r="B133" s="472" t="s">
        <v>60</v>
      </c>
      <c r="C133" s="474" t="s">
        <v>61</v>
      </c>
      <c r="D133" s="474" t="s">
        <v>62</v>
      </c>
      <c r="E133" s="476" t="str">
        <f>E118</f>
        <v>OMSET APR
 (1-30)</v>
      </c>
      <c r="F133" s="474" t="s">
        <v>95</v>
      </c>
      <c r="G133" s="474" t="s">
        <v>64</v>
      </c>
      <c r="H133" s="472" t="s">
        <v>65</v>
      </c>
      <c r="I133" s="351" t="s">
        <v>66</v>
      </c>
    </row>
    <row r="134" spans="2:9" x14ac:dyDescent="0.35">
      <c r="B134" s="473"/>
      <c r="C134" s="475"/>
      <c r="D134" s="475"/>
      <c r="E134" s="477"/>
      <c r="F134" s="475"/>
      <c r="G134" s="475"/>
      <c r="H134" s="473"/>
      <c r="I134" s="282">
        <f>I119</f>
        <v>1</v>
      </c>
    </row>
    <row r="135" spans="2:9" x14ac:dyDescent="0.35">
      <c r="B135" s="261" t="s">
        <v>79</v>
      </c>
      <c r="C135" s="262">
        <v>2000000000</v>
      </c>
      <c r="D135" s="341">
        <v>30</v>
      </c>
      <c r="E135" s="281">
        <v>2409854550.4726992</v>
      </c>
      <c r="F135" s="264"/>
      <c r="G135" s="265">
        <f>E135-F135</f>
        <v>2409854550.4726992</v>
      </c>
      <c r="H135" s="265">
        <f>G135-C135</f>
        <v>409854550.47269917</v>
      </c>
      <c r="I135" s="266">
        <f>G135/C135</f>
        <v>1.2049272752363496</v>
      </c>
    </row>
    <row r="136" spans="2:9" x14ac:dyDescent="0.35">
      <c r="B136" s="271"/>
      <c r="C136" s="272"/>
      <c r="D136" s="342"/>
      <c r="E136" s="273"/>
      <c r="F136" s="274"/>
      <c r="G136" s="275"/>
      <c r="H136" s="275"/>
      <c r="I136" s="276"/>
    </row>
    <row r="137" spans="2:9" x14ac:dyDescent="0.35">
      <c r="B137" s="283" t="s">
        <v>77</v>
      </c>
      <c r="C137" s="284">
        <f t="shared" ref="C137" si="24">SUM(C135:C136)</f>
        <v>2000000000</v>
      </c>
      <c r="D137" s="284">
        <f>SUM(D135:D136)</f>
        <v>30</v>
      </c>
      <c r="E137" s="284">
        <f>SUM(E135:E136)</f>
        <v>2409854550.4726992</v>
      </c>
      <c r="F137" s="284">
        <f t="shared" ref="F137:G137" si="25">SUM(F135:F136)</f>
        <v>0</v>
      </c>
      <c r="G137" s="284">
        <f t="shared" si="25"/>
        <v>2409854550.4726992</v>
      </c>
      <c r="H137" s="284">
        <f>G137-C137</f>
        <v>409854550.47269917</v>
      </c>
      <c r="I137" s="285">
        <f>G137/C137</f>
        <v>1.2049272752363496</v>
      </c>
    </row>
    <row r="138" spans="2:9" ht="7.5" customHeight="1" x14ac:dyDescent="0.35"/>
    <row r="139" spans="2:9" x14ac:dyDescent="0.35">
      <c r="B139" s="351" t="s">
        <v>57</v>
      </c>
      <c r="C139" s="350" t="s">
        <v>36</v>
      </c>
      <c r="D139" s="489" t="s">
        <v>80</v>
      </c>
      <c r="E139" s="490"/>
      <c r="F139" s="490"/>
      <c r="G139" s="491"/>
      <c r="H139" s="493" t="str">
        <f>H132</f>
        <v>APR-26</v>
      </c>
      <c r="I139" s="494"/>
    </row>
    <row r="140" spans="2:9" x14ac:dyDescent="0.35">
      <c r="B140" s="472" t="s">
        <v>60</v>
      </c>
      <c r="C140" s="474" t="s">
        <v>61</v>
      </c>
      <c r="D140" s="474" t="s">
        <v>62</v>
      </c>
      <c r="E140" s="476" t="str">
        <f>E118</f>
        <v>OMSET APR
 (1-30)</v>
      </c>
      <c r="F140" s="474" t="s">
        <v>95</v>
      </c>
      <c r="G140" s="474" t="s">
        <v>64</v>
      </c>
      <c r="H140" s="472" t="s">
        <v>65</v>
      </c>
      <c r="I140" s="351" t="s">
        <v>66</v>
      </c>
    </row>
    <row r="141" spans="2:9" x14ac:dyDescent="0.35">
      <c r="B141" s="473"/>
      <c r="C141" s="475"/>
      <c r="D141" s="475"/>
      <c r="E141" s="477"/>
      <c r="F141" s="475"/>
      <c r="G141" s="475"/>
      <c r="H141" s="473"/>
      <c r="I141" s="282">
        <f>I119</f>
        <v>1</v>
      </c>
    </row>
    <row r="142" spans="2:9" x14ac:dyDescent="0.35">
      <c r="B142" s="261" t="s">
        <v>81</v>
      </c>
      <c r="C142" s="262">
        <v>1000000000</v>
      </c>
      <c r="D142" s="264">
        <v>55</v>
      </c>
      <c r="E142" s="263">
        <v>683306357.23449969</v>
      </c>
      <c r="F142" s="264">
        <v>337500</v>
      </c>
      <c r="G142" s="265">
        <f>E142-F142</f>
        <v>682968857.23449969</v>
      </c>
      <c r="H142" s="265">
        <f>G142-C142</f>
        <v>-317031142.76550031</v>
      </c>
      <c r="I142" s="266">
        <f>G142/C142</f>
        <v>0.68296885723449974</v>
      </c>
    </row>
    <row r="143" spans="2:9" x14ac:dyDescent="0.35">
      <c r="B143" s="257" t="s">
        <v>82</v>
      </c>
      <c r="C143" s="267">
        <v>300000000</v>
      </c>
      <c r="D143" s="269"/>
      <c r="E143" s="268"/>
      <c r="F143" s="269"/>
      <c r="G143" s="265">
        <f>E143-F143</f>
        <v>0</v>
      </c>
      <c r="H143" s="171">
        <f>G143-C143</f>
        <v>-300000000</v>
      </c>
      <c r="I143" s="270">
        <f>G143/C143</f>
        <v>0</v>
      </c>
    </row>
    <row r="144" spans="2:9" x14ac:dyDescent="0.35">
      <c r="B144" s="286" t="s">
        <v>77</v>
      </c>
      <c r="C144" s="287">
        <f>SUM(C142:C143)</f>
        <v>1300000000</v>
      </c>
      <c r="D144" s="284">
        <f>SUM(D142:D143)</f>
        <v>55</v>
      </c>
      <c r="E144" s="284">
        <f>SUM(E142:E143)</f>
        <v>683306357.23449969</v>
      </c>
      <c r="F144" s="287">
        <f t="shared" ref="F144" si="26">SUM(F142:F143)</f>
        <v>337500</v>
      </c>
      <c r="G144" s="287">
        <f>E144-F144</f>
        <v>682968857.23449969</v>
      </c>
      <c r="H144" s="287">
        <f>G144-C144</f>
        <v>-617031142.76550031</v>
      </c>
      <c r="I144" s="288">
        <f>G144/C144</f>
        <v>0.52536065941115362</v>
      </c>
    </row>
    <row r="145" spans="2:12" x14ac:dyDescent="0.35">
      <c r="B145" s="289" t="str">
        <f>APR!P111</f>
        <v>TARGET Q2</v>
      </c>
      <c r="C145" s="182">
        <v>1170000000</v>
      </c>
      <c r="D145" s="182"/>
      <c r="E145" s="318"/>
      <c r="F145" s="318"/>
      <c r="G145" s="182">
        <f>G144</f>
        <v>682968857.23449969</v>
      </c>
      <c r="H145" s="182">
        <f>G145-C145</f>
        <v>-487031142.76550031</v>
      </c>
      <c r="I145" s="319">
        <f>G145/C145</f>
        <v>0.58373406601239286</v>
      </c>
    </row>
    <row r="146" spans="2:12" customFormat="1" ht="7" customHeight="1" x14ac:dyDescent="0.35">
      <c r="L146" s="357"/>
    </row>
    <row r="147" spans="2:12" x14ac:dyDescent="0.35">
      <c r="B147" s="478" t="s">
        <v>85</v>
      </c>
      <c r="C147" s="480" t="s">
        <v>61</v>
      </c>
      <c r="D147" s="482" t="s">
        <v>62</v>
      </c>
      <c r="E147" s="484" t="str">
        <f>E118</f>
        <v>OMSET APR
 (1-30)</v>
      </c>
      <c r="F147" s="487" t="str">
        <f>F140</f>
        <v>OMSET PRODUK</v>
      </c>
      <c r="G147" s="480" t="s">
        <v>64</v>
      </c>
      <c r="H147" s="480" t="s">
        <v>65</v>
      </c>
      <c r="I147" s="347" t="s">
        <v>66</v>
      </c>
    </row>
    <row r="148" spans="2:12" x14ac:dyDescent="0.35">
      <c r="B148" s="478"/>
      <c r="C148" s="481"/>
      <c r="D148" s="483"/>
      <c r="E148" s="485"/>
      <c r="F148" s="483"/>
      <c r="G148" s="481"/>
      <c r="H148" s="481"/>
      <c r="I148" s="346">
        <f>I119</f>
        <v>1</v>
      </c>
    </row>
    <row r="149" spans="2:12" ht="16" x14ac:dyDescent="0.4">
      <c r="B149" s="479"/>
      <c r="C149" s="343">
        <f>SUM(C144,C137,C130)</f>
        <v>8800000000</v>
      </c>
      <c r="D149" s="344">
        <f>SUM(D144,D137,D130)</f>
        <v>115</v>
      </c>
      <c r="E149" s="344">
        <f>SUM(E144,E137,E130)</f>
        <v>4817172271.6711988</v>
      </c>
      <c r="F149" s="344">
        <f>SUM(F144,F137,F130)</f>
        <v>337500</v>
      </c>
      <c r="G149" s="344">
        <f>SUM(G144,G137,G130)</f>
        <v>4816834771.6711988</v>
      </c>
      <c r="H149" s="344">
        <f>G149-C149</f>
        <v>-3983165228.3288012</v>
      </c>
      <c r="I149" s="345">
        <f>G149/C149</f>
        <v>0.54736758768990901</v>
      </c>
    </row>
    <row r="152" spans="2:12" ht="28.5" x14ac:dyDescent="0.35">
      <c r="B152" s="486">
        <f>MEI!B1</f>
        <v>46173</v>
      </c>
      <c r="C152" s="488"/>
      <c r="D152" s="488"/>
      <c r="E152" s="488"/>
      <c r="F152" s="488"/>
      <c r="G152" s="488"/>
      <c r="H152" s="488"/>
      <c r="I152" s="488"/>
    </row>
    <row r="153" spans="2:12" ht="7.5" customHeight="1" x14ac:dyDescent="0.35"/>
    <row r="154" spans="2:12" x14ac:dyDescent="0.35">
      <c r="B154" s="351" t="s">
        <v>57</v>
      </c>
      <c r="C154" s="350" t="s">
        <v>58</v>
      </c>
      <c r="D154" s="489" t="s">
        <v>59</v>
      </c>
      <c r="E154" s="490"/>
      <c r="F154" s="490"/>
      <c r="G154" s="491"/>
      <c r="H154" s="492" t="str">
        <f>UPPER(TEXT('AGPn-Harian'!B152,"MMM-YY"))</f>
        <v>MEI-26</v>
      </c>
      <c r="I154" s="492"/>
    </row>
    <row r="155" spans="2:12" x14ac:dyDescent="0.35">
      <c r="B155" s="472" t="s">
        <v>60</v>
      </c>
      <c r="C155" s="474" t="s">
        <v>61</v>
      </c>
      <c r="D155" s="474" t="s">
        <v>62</v>
      </c>
      <c r="E155" s="476" t="str">
        <f>MEI!F4</f>
        <v>OMSET MEI
 (1-31)</v>
      </c>
      <c r="F155" s="474" t="s">
        <v>95</v>
      </c>
      <c r="G155" s="474" t="s">
        <v>64</v>
      </c>
      <c r="H155" s="472" t="s">
        <v>65</v>
      </c>
      <c r="I155" s="351" t="s">
        <v>66</v>
      </c>
    </row>
    <row r="156" spans="2:12" x14ac:dyDescent="0.35">
      <c r="B156" s="473"/>
      <c r="C156" s="475"/>
      <c r="D156" s="475"/>
      <c r="E156" s="477"/>
      <c r="F156" s="475"/>
      <c r="G156" s="475"/>
      <c r="H156" s="473"/>
      <c r="I156" s="282">
        <f>MEI!K4</f>
        <v>1</v>
      </c>
    </row>
    <row r="157" spans="2:12" x14ac:dyDescent="0.35">
      <c r="B157" s="261" t="s">
        <v>67</v>
      </c>
      <c r="C157" s="262">
        <v>2000000000</v>
      </c>
      <c r="D157" s="264">
        <v>9</v>
      </c>
      <c r="E157" s="263">
        <v>644146702.70280015</v>
      </c>
      <c r="F157" s="264"/>
      <c r="G157" s="265">
        <f>E157-F157</f>
        <v>644146702.70280015</v>
      </c>
      <c r="H157" s="265">
        <f t="shared" ref="H157:H165" si="27">G157-C157</f>
        <v>-1355853297.2971997</v>
      </c>
      <c r="I157" s="266">
        <f t="shared" ref="I157:I165" si="28">G157/C157</f>
        <v>0.32207335135140008</v>
      </c>
    </row>
    <row r="158" spans="2:12" x14ac:dyDescent="0.35">
      <c r="B158" s="257" t="s">
        <v>68</v>
      </c>
      <c r="C158" s="267">
        <v>1000000000</v>
      </c>
      <c r="D158" s="269">
        <v>7</v>
      </c>
      <c r="E158" s="268">
        <v>68071441.441300005</v>
      </c>
      <c r="F158" s="269"/>
      <c r="G158" s="265">
        <f>E158-F158</f>
        <v>68071441.441300005</v>
      </c>
      <c r="H158" s="171">
        <f t="shared" si="27"/>
        <v>-931928558.55869997</v>
      </c>
      <c r="I158" s="270">
        <f t="shared" si="28"/>
        <v>6.8071441441300007E-2</v>
      </c>
    </row>
    <row r="159" spans="2:12" x14ac:dyDescent="0.35">
      <c r="B159" s="257" t="s">
        <v>69</v>
      </c>
      <c r="C159" s="267">
        <v>500000000</v>
      </c>
      <c r="D159" s="269">
        <v>3</v>
      </c>
      <c r="E159" s="268">
        <v>360412725.22539997</v>
      </c>
      <c r="F159" s="269"/>
      <c r="G159" s="265">
        <f t="shared" ref="G159:G166" si="29">E159-F159</f>
        <v>360412725.22539997</v>
      </c>
      <c r="H159" s="171">
        <f t="shared" si="27"/>
        <v>-139587274.77460003</v>
      </c>
      <c r="I159" s="270">
        <f t="shared" si="28"/>
        <v>0.72082545045079993</v>
      </c>
    </row>
    <row r="160" spans="2:12" x14ac:dyDescent="0.35">
      <c r="B160" s="257" t="s">
        <v>70</v>
      </c>
      <c r="C160" s="267">
        <v>500000000</v>
      </c>
      <c r="D160" s="269">
        <v>5</v>
      </c>
      <c r="E160" s="268">
        <v>227227162.1622</v>
      </c>
      <c r="F160" s="269"/>
      <c r="G160" s="265">
        <f t="shared" si="29"/>
        <v>227227162.1622</v>
      </c>
      <c r="H160" s="171">
        <f t="shared" si="27"/>
        <v>-272772837.83780003</v>
      </c>
      <c r="I160" s="270">
        <f t="shared" si="28"/>
        <v>0.45445432432440003</v>
      </c>
    </row>
    <row r="161" spans="2:9" x14ac:dyDescent="0.35">
      <c r="B161" s="257" t="s">
        <v>71</v>
      </c>
      <c r="C161" s="267">
        <v>100000000</v>
      </c>
      <c r="D161" s="269"/>
      <c r="E161" s="268"/>
      <c r="F161" s="269"/>
      <c r="G161" s="265">
        <f t="shared" si="29"/>
        <v>0</v>
      </c>
      <c r="H161" s="171">
        <f t="shared" si="27"/>
        <v>-100000000</v>
      </c>
      <c r="I161" s="270">
        <f t="shared" si="28"/>
        <v>0</v>
      </c>
    </row>
    <row r="162" spans="2:9" x14ac:dyDescent="0.35">
      <c r="B162" s="257" t="s">
        <v>72</v>
      </c>
      <c r="C162" s="267">
        <v>100000000</v>
      </c>
      <c r="D162" s="269">
        <v>2</v>
      </c>
      <c r="E162" s="268">
        <v>12905405.405400001</v>
      </c>
      <c r="F162" s="269"/>
      <c r="G162" s="265">
        <f t="shared" si="29"/>
        <v>12905405.405400001</v>
      </c>
      <c r="H162" s="171">
        <f t="shared" si="27"/>
        <v>-87094594.594599992</v>
      </c>
      <c r="I162" s="270">
        <f t="shared" si="28"/>
        <v>0.129054054054</v>
      </c>
    </row>
    <row r="163" spans="2:9" x14ac:dyDescent="0.35">
      <c r="B163" s="257" t="s">
        <v>73</v>
      </c>
      <c r="C163" s="267">
        <v>200000000</v>
      </c>
      <c r="D163" s="269"/>
      <c r="E163" s="268"/>
      <c r="F163" s="269"/>
      <c r="G163" s="265">
        <f t="shared" si="29"/>
        <v>0</v>
      </c>
      <c r="H163" s="171">
        <f t="shared" si="27"/>
        <v>-200000000</v>
      </c>
      <c r="I163" s="270">
        <f t="shared" si="28"/>
        <v>0</v>
      </c>
    </row>
    <row r="164" spans="2:9" x14ac:dyDescent="0.35">
      <c r="B164" s="257" t="s">
        <v>74</v>
      </c>
      <c r="C164" s="267">
        <v>500000000</v>
      </c>
      <c r="D164" s="269">
        <v>4</v>
      </c>
      <c r="E164" s="268">
        <v>127406981.98189998</v>
      </c>
      <c r="F164" s="269"/>
      <c r="G164" s="265">
        <f t="shared" si="29"/>
        <v>127406981.98189998</v>
      </c>
      <c r="H164" s="171">
        <f t="shared" si="27"/>
        <v>-372593018.01810002</v>
      </c>
      <c r="I164" s="270">
        <f t="shared" si="28"/>
        <v>0.25481396396379996</v>
      </c>
    </row>
    <row r="165" spans="2:9" x14ac:dyDescent="0.35">
      <c r="B165" s="257" t="s">
        <v>75</v>
      </c>
      <c r="C165" s="267">
        <v>600000000</v>
      </c>
      <c r="D165" s="269">
        <v>2</v>
      </c>
      <c r="E165" s="323">
        <v>62793830.630599998</v>
      </c>
      <c r="F165" s="269"/>
      <c r="G165" s="171">
        <f t="shared" si="29"/>
        <v>62793830.630599998</v>
      </c>
      <c r="H165" s="171">
        <f t="shared" si="27"/>
        <v>-537206169.36940002</v>
      </c>
      <c r="I165" s="270">
        <f t="shared" si="28"/>
        <v>0.10465638438433333</v>
      </c>
    </row>
    <row r="166" spans="2:9" x14ac:dyDescent="0.35">
      <c r="B166" s="257" t="s">
        <v>76</v>
      </c>
      <c r="C166" s="267"/>
      <c r="D166" s="269"/>
      <c r="E166" s="323"/>
      <c r="F166" s="269"/>
      <c r="G166" s="171">
        <f t="shared" si="29"/>
        <v>0</v>
      </c>
      <c r="H166" s="171"/>
      <c r="I166" s="270"/>
    </row>
    <row r="167" spans="2:9" x14ac:dyDescent="0.35">
      <c r="B167" s="320" t="s">
        <v>77</v>
      </c>
      <c r="C167" s="321">
        <f t="shared" ref="C167" si="30">SUM(C157:C165)</f>
        <v>5500000000</v>
      </c>
      <c r="D167" s="321">
        <f>SUM(D157:D166)</f>
        <v>32</v>
      </c>
      <c r="E167" s="321">
        <f>SUM(E157:E166)</f>
        <v>1502964249.5496001</v>
      </c>
      <c r="F167" s="321">
        <f>SUM(F157:F166)</f>
        <v>0</v>
      </c>
      <c r="G167" s="321">
        <f>SUM(G157:G166)</f>
        <v>1502964249.5496001</v>
      </c>
      <c r="H167" s="321">
        <f>G167-C167</f>
        <v>-3997035750.4503999</v>
      </c>
      <c r="I167" s="322">
        <f>G167/C167</f>
        <v>0.27326622719083637</v>
      </c>
    </row>
    <row r="168" spans="2:9" ht="7.5" customHeight="1" x14ac:dyDescent="0.35"/>
    <row r="169" spans="2:9" x14ac:dyDescent="0.35">
      <c r="B169" s="351" t="s">
        <v>57</v>
      </c>
      <c r="C169" s="350" t="str">
        <f>C154</f>
        <v>STEVEN</v>
      </c>
      <c r="D169" s="489" t="s">
        <v>78</v>
      </c>
      <c r="E169" s="490"/>
      <c r="F169" s="490"/>
      <c r="G169" s="491"/>
      <c r="H169" s="492" t="str">
        <f>H154</f>
        <v>MEI-26</v>
      </c>
      <c r="I169" s="495"/>
    </row>
    <row r="170" spans="2:9" x14ac:dyDescent="0.35">
      <c r="B170" s="472" t="s">
        <v>60</v>
      </c>
      <c r="C170" s="474" t="s">
        <v>61</v>
      </c>
      <c r="D170" s="474" t="s">
        <v>62</v>
      </c>
      <c r="E170" s="476" t="str">
        <f>E155</f>
        <v>OMSET MEI
 (1-31)</v>
      </c>
      <c r="F170" s="474" t="s">
        <v>95</v>
      </c>
      <c r="G170" s="474" t="s">
        <v>64</v>
      </c>
      <c r="H170" s="472" t="s">
        <v>65</v>
      </c>
      <c r="I170" s="351" t="s">
        <v>66</v>
      </c>
    </row>
    <row r="171" spans="2:9" x14ac:dyDescent="0.35">
      <c r="B171" s="473"/>
      <c r="C171" s="475"/>
      <c r="D171" s="475"/>
      <c r="E171" s="477"/>
      <c r="F171" s="475"/>
      <c r="G171" s="475"/>
      <c r="H171" s="473"/>
      <c r="I171" s="282">
        <f>I156</f>
        <v>1</v>
      </c>
    </row>
    <row r="172" spans="2:9" x14ac:dyDescent="0.35">
      <c r="B172" s="261" t="s">
        <v>79</v>
      </c>
      <c r="C172" s="262">
        <v>2000000000</v>
      </c>
      <c r="D172" s="341">
        <v>26</v>
      </c>
      <c r="E172" s="281">
        <v>1181606389.0090003</v>
      </c>
      <c r="F172" s="264"/>
      <c r="G172" s="265">
        <f>E172-F172</f>
        <v>1181606389.0090003</v>
      </c>
      <c r="H172" s="265">
        <f>G172-C172</f>
        <v>-818393610.9909997</v>
      </c>
      <c r="I172" s="266">
        <f>G172/C172</f>
        <v>0.59080319450450014</v>
      </c>
    </row>
    <row r="173" spans="2:9" x14ac:dyDescent="0.35">
      <c r="B173" s="271"/>
      <c r="C173" s="272"/>
      <c r="D173" s="342"/>
      <c r="E173" s="273"/>
      <c r="F173" s="274"/>
      <c r="G173" s="275"/>
      <c r="H173" s="275"/>
      <c r="I173" s="276"/>
    </row>
    <row r="174" spans="2:9" x14ac:dyDescent="0.35">
      <c r="B174" s="283" t="s">
        <v>77</v>
      </c>
      <c r="C174" s="284">
        <f t="shared" ref="C174" si="31">SUM(C172:C173)</f>
        <v>2000000000</v>
      </c>
      <c r="D174" s="284">
        <f>SUM(D172:D173)</f>
        <v>26</v>
      </c>
      <c r="E174" s="284">
        <f>SUM(E172:E173)</f>
        <v>1181606389.0090003</v>
      </c>
      <c r="F174" s="284">
        <f t="shared" ref="F174:G174" si="32">SUM(F172:F173)</f>
        <v>0</v>
      </c>
      <c r="G174" s="284">
        <f t="shared" si="32"/>
        <v>1181606389.0090003</v>
      </c>
      <c r="H174" s="284">
        <f>G174-C174</f>
        <v>-818393610.9909997</v>
      </c>
      <c r="I174" s="285">
        <f>G174/C174</f>
        <v>0.59080319450450014</v>
      </c>
    </row>
    <row r="175" spans="2:9" ht="7.5" customHeight="1" x14ac:dyDescent="0.35"/>
    <row r="176" spans="2:9" x14ac:dyDescent="0.35">
      <c r="B176" s="351" t="s">
        <v>57</v>
      </c>
      <c r="C176" s="350" t="s">
        <v>36</v>
      </c>
      <c r="D176" s="489" t="s">
        <v>80</v>
      </c>
      <c r="E176" s="490"/>
      <c r="F176" s="490"/>
      <c r="G176" s="491"/>
      <c r="H176" s="493" t="str">
        <f>H169</f>
        <v>MEI-26</v>
      </c>
      <c r="I176" s="494"/>
    </row>
    <row r="177" spans="2:12" x14ac:dyDescent="0.35">
      <c r="B177" s="472" t="s">
        <v>60</v>
      </c>
      <c r="C177" s="474" t="s">
        <v>61</v>
      </c>
      <c r="D177" s="474" t="s">
        <v>62</v>
      </c>
      <c r="E177" s="476" t="str">
        <f>E155</f>
        <v>OMSET MEI
 (1-31)</v>
      </c>
      <c r="F177" s="474" t="s">
        <v>95</v>
      </c>
      <c r="G177" s="474" t="s">
        <v>64</v>
      </c>
      <c r="H177" s="472" t="s">
        <v>65</v>
      </c>
      <c r="I177" s="351" t="s">
        <v>66</v>
      </c>
    </row>
    <row r="178" spans="2:12" x14ac:dyDescent="0.35">
      <c r="B178" s="473"/>
      <c r="C178" s="475"/>
      <c r="D178" s="475"/>
      <c r="E178" s="477"/>
      <c r="F178" s="475"/>
      <c r="G178" s="475"/>
      <c r="H178" s="473"/>
      <c r="I178" s="282">
        <f>I156</f>
        <v>1</v>
      </c>
    </row>
    <row r="179" spans="2:12" x14ac:dyDescent="0.35">
      <c r="B179" s="261" t="s">
        <v>81</v>
      </c>
      <c r="C179" s="262">
        <v>1000000000</v>
      </c>
      <c r="D179" s="264">
        <v>50</v>
      </c>
      <c r="E179" s="263">
        <v>572973306.75979984</v>
      </c>
      <c r="F179" s="264">
        <v>4616645.0450999998</v>
      </c>
      <c r="G179" s="265">
        <f>E179-F179</f>
        <v>568356661.71469986</v>
      </c>
      <c r="H179" s="265">
        <f>G179-C179</f>
        <v>-431643338.28530014</v>
      </c>
      <c r="I179" s="266">
        <f>G179/C179</f>
        <v>0.5683566617146999</v>
      </c>
    </row>
    <row r="180" spans="2:12" x14ac:dyDescent="0.35">
      <c r="B180" s="257" t="s">
        <v>82</v>
      </c>
      <c r="C180" s="267">
        <v>300000000</v>
      </c>
      <c r="D180" s="269"/>
      <c r="E180" s="268"/>
      <c r="F180" s="269"/>
      <c r="G180" s="265">
        <f>E180-F180</f>
        <v>0</v>
      </c>
      <c r="H180" s="171">
        <f>G180-C180</f>
        <v>-300000000</v>
      </c>
      <c r="I180" s="270">
        <f>G180/C180</f>
        <v>0</v>
      </c>
    </row>
    <row r="181" spans="2:12" x14ac:dyDescent="0.35">
      <c r="B181" s="286" t="s">
        <v>77</v>
      </c>
      <c r="C181" s="287">
        <f>SUM(C179:C180)</f>
        <v>1300000000</v>
      </c>
      <c r="D181" s="284">
        <f>SUM(D179:D180)</f>
        <v>50</v>
      </c>
      <c r="E181" s="284">
        <f>SUM(E179:E180)</f>
        <v>572973306.75979984</v>
      </c>
      <c r="F181" s="287">
        <f t="shared" ref="F181" si="33">SUM(F179:F180)</f>
        <v>4616645.0450999998</v>
      </c>
      <c r="G181" s="287">
        <f>E181-F181</f>
        <v>568356661.71469986</v>
      </c>
      <c r="H181" s="287">
        <f>G181-C181</f>
        <v>-731643338.28530014</v>
      </c>
      <c r="I181" s="288">
        <f>G181/C181</f>
        <v>0.43719743208823064</v>
      </c>
    </row>
    <row r="182" spans="2:12" x14ac:dyDescent="0.35">
      <c r="B182" s="289" t="str">
        <f>MEI!B12</f>
        <v>TARGET Q2</v>
      </c>
      <c r="C182" s="182">
        <v>1170000000</v>
      </c>
      <c r="D182" s="182"/>
      <c r="E182" s="318"/>
      <c r="F182" s="318"/>
      <c r="G182" s="182">
        <f>G181</f>
        <v>568356661.71469986</v>
      </c>
      <c r="H182" s="182">
        <f>G182-C182</f>
        <v>-601643338.28530014</v>
      </c>
      <c r="I182" s="319">
        <f>G182/C182</f>
        <v>0.4857749245424785</v>
      </c>
    </row>
    <row r="183" spans="2:12" customFormat="1" ht="7" customHeight="1" x14ac:dyDescent="0.35">
      <c r="L183" s="357"/>
    </row>
    <row r="184" spans="2:12" x14ac:dyDescent="0.35">
      <c r="B184" s="478" t="s">
        <v>85</v>
      </c>
      <c r="C184" s="480" t="s">
        <v>61</v>
      </c>
      <c r="D184" s="482" t="s">
        <v>62</v>
      </c>
      <c r="E184" s="484" t="str">
        <f>E155</f>
        <v>OMSET MEI
 (1-31)</v>
      </c>
      <c r="F184" s="487" t="str">
        <f>F177</f>
        <v>OMSET PRODUK</v>
      </c>
      <c r="G184" s="480" t="s">
        <v>64</v>
      </c>
      <c r="H184" s="480" t="s">
        <v>65</v>
      </c>
      <c r="I184" s="347" t="s">
        <v>66</v>
      </c>
    </row>
    <row r="185" spans="2:12" x14ac:dyDescent="0.35">
      <c r="B185" s="478"/>
      <c r="C185" s="481"/>
      <c r="D185" s="483"/>
      <c r="E185" s="485"/>
      <c r="F185" s="483"/>
      <c r="G185" s="481"/>
      <c r="H185" s="481"/>
      <c r="I185" s="346">
        <f>I156</f>
        <v>1</v>
      </c>
    </row>
    <row r="186" spans="2:12" ht="16" x14ac:dyDescent="0.4">
      <c r="B186" s="479"/>
      <c r="C186" s="343">
        <f>SUM(C181,C174,C167)</f>
        <v>8800000000</v>
      </c>
      <c r="D186" s="344">
        <f>SUM(D181,D174,D167)</f>
        <v>108</v>
      </c>
      <c r="E186" s="344">
        <f>SUM(E181,E174,E167)</f>
        <v>3257543945.3184004</v>
      </c>
      <c r="F186" s="344">
        <f>SUM(F181,F174,F167)</f>
        <v>4616645.0450999998</v>
      </c>
      <c r="G186" s="344">
        <f>SUM(G181,G174,G167)</f>
        <v>3252927300.2733002</v>
      </c>
      <c r="H186" s="344">
        <f>G186-C186</f>
        <v>-5547072699.7266998</v>
      </c>
      <c r="I186" s="345">
        <f>G186/C186</f>
        <v>0.36965082957651141</v>
      </c>
    </row>
    <row r="189" spans="2:12" ht="28.5" x14ac:dyDescent="0.35">
      <c r="B189" s="486">
        <f>JUN!B1</f>
        <v>46203</v>
      </c>
      <c r="C189" s="488"/>
      <c r="D189" s="488"/>
      <c r="E189" s="488"/>
      <c r="F189" s="488"/>
      <c r="G189" s="488"/>
      <c r="H189" s="488"/>
      <c r="I189" s="488"/>
    </row>
    <row r="190" spans="2:12" ht="7.5" customHeight="1" x14ac:dyDescent="0.35"/>
    <row r="191" spans="2:12" x14ac:dyDescent="0.35">
      <c r="B191" s="351" t="s">
        <v>57</v>
      </c>
      <c r="C191" s="350" t="s">
        <v>58</v>
      </c>
      <c r="D191" s="489" t="s">
        <v>59</v>
      </c>
      <c r="E191" s="490"/>
      <c r="F191" s="490"/>
      <c r="G191" s="491"/>
      <c r="H191" s="492" t="str">
        <f>UPPER(TEXT('AGPn-Harian'!B189,"MMM-YY"))</f>
        <v>JUN-26</v>
      </c>
      <c r="I191" s="492"/>
    </row>
    <row r="192" spans="2:12" x14ac:dyDescent="0.35">
      <c r="B192" s="472" t="s">
        <v>60</v>
      </c>
      <c r="C192" s="474" t="s">
        <v>61</v>
      </c>
      <c r="D192" s="474" t="s">
        <v>62</v>
      </c>
      <c r="E192" s="476" t="str">
        <f>JUN!F4</f>
        <v>OMSET JUN
 (1-30)</v>
      </c>
      <c r="F192" s="474" t="s">
        <v>95</v>
      </c>
      <c r="G192" s="474" t="s">
        <v>64</v>
      </c>
      <c r="H192" s="472" t="s">
        <v>65</v>
      </c>
      <c r="I192" s="351" t="s">
        <v>66</v>
      </c>
    </row>
    <row r="193" spans="2:9" x14ac:dyDescent="0.35">
      <c r="B193" s="473"/>
      <c r="C193" s="475"/>
      <c r="D193" s="475"/>
      <c r="E193" s="477"/>
      <c r="F193" s="475"/>
      <c r="G193" s="475"/>
      <c r="H193" s="473"/>
      <c r="I193" s="282">
        <f>JUN!K4</f>
        <v>1</v>
      </c>
    </row>
    <row r="194" spans="2:9" x14ac:dyDescent="0.35">
      <c r="B194" s="261" t="s">
        <v>67</v>
      </c>
      <c r="C194" s="262">
        <v>2000000000</v>
      </c>
      <c r="D194" s="264">
        <v>13</v>
      </c>
      <c r="E194" s="263">
        <v>770499536.39660001</v>
      </c>
      <c r="F194" s="264"/>
      <c r="G194" s="265">
        <f>E194-F194</f>
        <v>770499536.39660001</v>
      </c>
      <c r="H194" s="265">
        <f t="shared" ref="H194:H202" si="34">G194-C194</f>
        <v>-1229500463.6034</v>
      </c>
      <c r="I194" s="266">
        <f t="shared" ref="I194:I202" si="35">G194/C194</f>
        <v>0.38524976819829998</v>
      </c>
    </row>
    <row r="195" spans="2:9" x14ac:dyDescent="0.35">
      <c r="B195" s="257" t="s">
        <v>68</v>
      </c>
      <c r="C195" s="267">
        <v>1000000000</v>
      </c>
      <c r="D195" s="269">
        <v>7</v>
      </c>
      <c r="E195" s="268">
        <v>211380842.34239998</v>
      </c>
      <c r="F195" s="269"/>
      <c r="G195" s="265">
        <f>E195-F195</f>
        <v>211380842.34239998</v>
      </c>
      <c r="H195" s="171">
        <f t="shared" si="34"/>
        <v>-788619157.65760005</v>
      </c>
      <c r="I195" s="270">
        <f t="shared" si="35"/>
        <v>0.21138084234239998</v>
      </c>
    </row>
    <row r="196" spans="2:9" x14ac:dyDescent="0.35">
      <c r="B196" s="257" t="s">
        <v>69</v>
      </c>
      <c r="C196" s="267">
        <v>500000000</v>
      </c>
      <c r="D196" s="269">
        <v>2</v>
      </c>
      <c r="E196" s="268">
        <v>71274774.774700001</v>
      </c>
      <c r="F196" s="269"/>
      <c r="G196" s="265">
        <f t="shared" ref="G196:G203" si="36">E196-F196</f>
        <v>71274774.774700001</v>
      </c>
      <c r="H196" s="171">
        <f t="shared" si="34"/>
        <v>-428725225.22530001</v>
      </c>
      <c r="I196" s="270">
        <f t="shared" si="35"/>
        <v>0.1425495495494</v>
      </c>
    </row>
    <row r="197" spans="2:9" x14ac:dyDescent="0.35">
      <c r="B197" s="257" t="s">
        <v>70</v>
      </c>
      <c r="C197" s="267">
        <v>500000000</v>
      </c>
      <c r="D197" s="269">
        <v>7</v>
      </c>
      <c r="E197" s="268">
        <v>139300414.41460001</v>
      </c>
      <c r="F197" s="269"/>
      <c r="G197" s="265">
        <f t="shared" si="36"/>
        <v>139300414.41460001</v>
      </c>
      <c r="H197" s="171">
        <f t="shared" si="34"/>
        <v>-360699585.58539999</v>
      </c>
      <c r="I197" s="270">
        <f t="shared" si="35"/>
        <v>0.27860082882920001</v>
      </c>
    </row>
    <row r="198" spans="2:9" x14ac:dyDescent="0.35">
      <c r="B198" s="257" t="s">
        <v>71</v>
      </c>
      <c r="C198" s="267">
        <v>100000000</v>
      </c>
      <c r="D198" s="269">
        <v>5</v>
      </c>
      <c r="E198" s="268">
        <v>13902702.702800002</v>
      </c>
      <c r="F198" s="269"/>
      <c r="G198" s="265">
        <f t="shared" si="36"/>
        <v>13902702.702800002</v>
      </c>
      <c r="H198" s="171">
        <f t="shared" si="34"/>
        <v>-86097297.297199994</v>
      </c>
      <c r="I198" s="270">
        <f t="shared" si="35"/>
        <v>0.13902702702800002</v>
      </c>
    </row>
    <row r="199" spans="2:9" x14ac:dyDescent="0.35">
      <c r="B199" s="257" t="s">
        <v>72</v>
      </c>
      <c r="C199" s="267">
        <v>100000000</v>
      </c>
      <c r="D199" s="269"/>
      <c r="E199" s="268"/>
      <c r="F199" s="269"/>
      <c r="G199" s="265">
        <f t="shared" si="36"/>
        <v>0</v>
      </c>
      <c r="H199" s="171">
        <f t="shared" si="34"/>
        <v>-100000000</v>
      </c>
      <c r="I199" s="270">
        <f t="shared" si="35"/>
        <v>0</v>
      </c>
    </row>
    <row r="200" spans="2:9" x14ac:dyDescent="0.35">
      <c r="B200" s="257" t="s">
        <v>73</v>
      </c>
      <c r="C200" s="267">
        <v>200000000</v>
      </c>
      <c r="D200" s="269">
        <v>2</v>
      </c>
      <c r="E200" s="268">
        <v>13554054.054000001</v>
      </c>
      <c r="F200" s="269"/>
      <c r="G200" s="265">
        <f t="shared" si="36"/>
        <v>13554054.054000001</v>
      </c>
      <c r="H200" s="171">
        <f t="shared" si="34"/>
        <v>-186445945.94600001</v>
      </c>
      <c r="I200" s="270">
        <f t="shared" si="35"/>
        <v>6.7770270270000002E-2</v>
      </c>
    </row>
    <row r="201" spans="2:9" x14ac:dyDescent="0.35">
      <c r="B201" s="257" t="s">
        <v>74</v>
      </c>
      <c r="C201" s="267">
        <v>500000000</v>
      </c>
      <c r="D201" s="269">
        <v>2</v>
      </c>
      <c r="E201" s="268">
        <v>102012045.04510002</v>
      </c>
      <c r="F201" s="269"/>
      <c r="G201" s="265">
        <f t="shared" si="36"/>
        <v>102012045.04510002</v>
      </c>
      <c r="H201" s="171">
        <f t="shared" si="34"/>
        <v>-397987954.95489997</v>
      </c>
      <c r="I201" s="270">
        <f t="shared" si="35"/>
        <v>0.20402409009020003</v>
      </c>
    </row>
    <row r="202" spans="2:9" x14ac:dyDescent="0.35">
      <c r="B202" s="257" t="s">
        <v>75</v>
      </c>
      <c r="C202" s="267">
        <v>600000000</v>
      </c>
      <c r="D202" s="269"/>
      <c r="E202" s="323"/>
      <c r="F202" s="269"/>
      <c r="G202" s="171">
        <f t="shared" si="36"/>
        <v>0</v>
      </c>
      <c r="H202" s="171">
        <f t="shared" si="34"/>
        <v>-600000000</v>
      </c>
      <c r="I202" s="270">
        <f t="shared" si="35"/>
        <v>0</v>
      </c>
    </row>
    <row r="203" spans="2:9" x14ac:dyDescent="0.35">
      <c r="B203" s="257" t="s">
        <v>76</v>
      </c>
      <c r="C203" s="267"/>
      <c r="D203" s="269"/>
      <c r="E203" s="323"/>
      <c r="F203" s="269"/>
      <c r="G203" s="171">
        <f t="shared" si="36"/>
        <v>0</v>
      </c>
      <c r="H203" s="171"/>
      <c r="I203" s="270"/>
    </row>
    <row r="204" spans="2:9" x14ac:dyDescent="0.35">
      <c r="B204" s="320" t="s">
        <v>77</v>
      </c>
      <c r="C204" s="321">
        <f t="shared" ref="C204" si="37">SUM(C194:C202)</f>
        <v>5500000000</v>
      </c>
      <c r="D204" s="321">
        <f>SUM(D194:D203)</f>
        <v>38</v>
      </c>
      <c r="E204" s="321">
        <f>SUM(E194:E203)</f>
        <v>1321924369.7301998</v>
      </c>
      <c r="F204" s="321">
        <f>SUM(F194:F203)</f>
        <v>0</v>
      </c>
      <c r="G204" s="321">
        <f>SUM(G194:G203)</f>
        <v>1321924369.7301998</v>
      </c>
      <c r="H204" s="321">
        <f>G204-C204</f>
        <v>-4178075630.2698002</v>
      </c>
      <c r="I204" s="322">
        <f>G204/C204</f>
        <v>0.24034988540549088</v>
      </c>
    </row>
    <row r="205" spans="2:9" ht="7.5" customHeight="1" x14ac:dyDescent="0.35"/>
    <row r="206" spans="2:9" x14ac:dyDescent="0.35">
      <c r="B206" s="351" t="s">
        <v>57</v>
      </c>
      <c r="C206" s="350" t="str">
        <f>C191</f>
        <v>STEVEN</v>
      </c>
      <c r="D206" s="489" t="s">
        <v>78</v>
      </c>
      <c r="E206" s="490"/>
      <c r="F206" s="490"/>
      <c r="G206" s="491"/>
      <c r="H206" s="492" t="str">
        <f>H191</f>
        <v>JUN-26</v>
      </c>
      <c r="I206" s="495"/>
    </row>
    <row r="207" spans="2:9" x14ac:dyDescent="0.35">
      <c r="B207" s="472" t="s">
        <v>60</v>
      </c>
      <c r="C207" s="474" t="s">
        <v>61</v>
      </c>
      <c r="D207" s="474" t="s">
        <v>62</v>
      </c>
      <c r="E207" s="476" t="str">
        <f>E192</f>
        <v>OMSET JUN
 (1-30)</v>
      </c>
      <c r="F207" s="474" t="s">
        <v>95</v>
      </c>
      <c r="G207" s="474" t="s">
        <v>64</v>
      </c>
      <c r="H207" s="472" t="s">
        <v>65</v>
      </c>
      <c r="I207" s="351" t="s">
        <v>66</v>
      </c>
    </row>
    <row r="208" spans="2:9" x14ac:dyDescent="0.35">
      <c r="B208" s="473"/>
      <c r="C208" s="475"/>
      <c r="D208" s="475"/>
      <c r="E208" s="477"/>
      <c r="F208" s="475"/>
      <c r="G208" s="475"/>
      <c r="H208" s="473"/>
      <c r="I208" s="282">
        <f>I193</f>
        <v>1</v>
      </c>
    </row>
    <row r="209" spans="1:12" x14ac:dyDescent="0.35">
      <c r="B209" s="261" t="s">
        <v>79</v>
      </c>
      <c r="C209" s="262">
        <v>2000000000</v>
      </c>
      <c r="D209" s="341">
        <v>26</v>
      </c>
      <c r="E209" s="281">
        <v>1418277165.9913993</v>
      </c>
      <c r="F209" s="264"/>
      <c r="G209" s="265">
        <f>E209-F209</f>
        <v>1418277165.9913993</v>
      </c>
      <c r="H209" s="265">
        <f>G209-C209</f>
        <v>-581722834.00860071</v>
      </c>
      <c r="I209" s="266">
        <f>G209/C209</f>
        <v>0.70913858299569965</v>
      </c>
    </row>
    <row r="210" spans="1:12" x14ac:dyDescent="0.35">
      <c r="B210" s="271"/>
      <c r="C210" s="272"/>
      <c r="D210" s="342"/>
      <c r="E210" s="273"/>
      <c r="F210" s="274"/>
      <c r="G210" s="275"/>
      <c r="H210" s="275"/>
      <c r="I210" s="276"/>
    </row>
    <row r="211" spans="1:12" x14ac:dyDescent="0.35">
      <c r="B211" s="283" t="s">
        <v>77</v>
      </c>
      <c r="C211" s="284">
        <f t="shared" ref="C211" si="38">SUM(C209:C210)</f>
        <v>2000000000</v>
      </c>
      <c r="D211" s="284">
        <f>SUM(D209:D210)</f>
        <v>26</v>
      </c>
      <c r="E211" s="284">
        <f>SUM(E209:E210)</f>
        <v>1418277165.9913993</v>
      </c>
      <c r="F211" s="284">
        <f t="shared" ref="F211:G211" si="39">SUM(F209:F210)</f>
        <v>0</v>
      </c>
      <c r="G211" s="284">
        <f t="shared" si="39"/>
        <v>1418277165.9913993</v>
      </c>
      <c r="H211" s="284">
        <f>G211-C211</f>
        <v>-581722834.00860071</v>
      </c>
      <c r="I211" s="285">
        <f>G211/C211</f>
        <v>0.70913858299569965</v>
      </c>
    </row>
    <row r="212" spans="1:12" ht="7.5" customHeight="1" x14ac:dyDescent="0.35"/>
    <row r="213" spans="1:12" x14ac:dyDescent="0.35">
      <c r="B213" s="351" t="s">
        <v>57</v>
      </c>
      <c r="C213" s="350" t="s">
        <v>36</v>
      </c>
      <c r="D213" s="489" t="s">
        <v>80</v>
      </c>
      <c r="E213" s="490"/>
      <c r="F213" s="490"/>
      <c r="G213" s="491"/>
      <c r="H213" s="493" t="str">
        <f>H206</f>
        <v>JUN-26</v>
      </c>
      <c r="I213" s="494"/>
    </row>
    <row r="214" spans="1:12" x14ac:dyDescent="0.35">
      <c r="B214" s="472" t="s">
        <v>60</v>
      </c>
      <c r="C214" s="474" t="s">
        <v>61</v>
      </c>
      <c r="D214" s="474" t="s">
        <v>62</v>
      </c>
      <c r="E214" s="476" t="str">
        <f>E192</f>
        <v>OMSET JUN
 (1-30)</v>
      </c>
      <c r="F214" s="474" t="s">
        <v>95</v>
      </c>
      <c r="G214" s="474" t="s">
        <v>64</v>
      </c>
      <c r="H214" s="472" t="s">
        <v>65</v>
      </c>
      <c r="I214" s="351" t="s">
        <v>66</v>
      </c>
    </row>
    <row r="215" spans="1:12" x14ac:dyDescent="0.35">
      <c r="B215" s="473"/>
      <c r="C215" s="475"/>
      <c r="D215" s="475"/>
      <c r="E215" s="477"/>
      <c r="F215" s="475"/>
      <c r="G215" s="475"/>
      <c r="H215" s="473"/>
      <c r="I215" s="282">
        <f>I193</f>
        <v>1</v>
      </c>
    </row>
    <row r="216" spans="1:12" x14ac:dyDescent="0.35">
      <c r="B216" s="261" t="s">
        <v>81</v>
      </c>
      <c r="C216" s="262">
        <v>1000000000</v>
      </c>
      <c r="D216" s="264">
        <v>50</v>
      </c>
      <c r="E216" s="263">
        <v>703537987.83759928</v>
      </c>
      <c r="F216" s="264">
        <v>14052252.251700001</v>
      </c>
      <c r="G216" s="265">
        <f>E216-F216</f>
        <v>689485735.58589923</v>
      </c>
      <c r="H216" s="265">
        <f>G216-C216</f>
        <v>-310514264.41410077</v>
      </c>
      <c r="I216" s="266">
        <f>G216/C216</f>
        <v>0.68948573558589921</v>
      </c>
    </row>
    <row r="217" spans="1:12" x14ac:dyDescent="0.35">
      <c r="B217" s="257" t="s">
        <v>82</v>
      </c>
      <c r="C217" s="267">
        <v>300000000</v>
      </c>
      <c r="D217" s="269"/>
      <c r="E217" s="268"/>
      <c r="F217" s="269"/>
      <c r="G217" s="265">
        <f>E217-F217</f>
        <v>0</v>
      </c>
      <c r="H217" s="171">
        <f>G217-C217</f>
        <v>-300000000</v>
      </c>
      <c r="I217" s="270">
        <f>G217/C217</f>
        <v>0</v>
      </c>
    </row>
    <row r="218" spans="1:12" x14ac:dyDescent="0.35">
      <c r="B218" s="286" t="s">
        <v>77</v>
      </c>
      <c r="C218" s="287">
        <f>SUM(C216:C217)</f>
        <v>1300000000</v>
      </c>
      <c r="D218" s="284">
        <f>SUM(D216:D217)</f>
        <v>50</v>
      </c>
      <c r="E218" s="284">
        <f>SUM(E216:E217)</f>
        <v>703537987.83759928</v>
      </c>
      <c r="F218" s="287">
        <f t="shared" ref="F218" si="40">SUM(F216:F217)</f>
        <v>14052252.251700001</v>
      </c>
      <c r="G218" s="287">
        <f>E218-F218</f>
        <v>689485735.58589923</v>
      </c>
      <c r="H218" s="287">
        <f>G218-C218</f>
        <v>-610514264.41410077</v>
      </c>
      <c r="I218" s="288">
        <f>G218/C218</f>
        <v>0.53037364275838406</v>
      </c>
    </row>
    <row r="219" spans="1:12" x14ac:dyDescent="0.35">
      <c r="A219" s="194">
        <f>C219/C218</f>
        <v>0.9</v>
      </c>
      <c r="B219" s="289" t="str">
        <f>JUN!B12</f>
        <v>TARGET Q2</v>
      </c>
      <c r="C219" s="182">
        <v>1170000000</v>
      </c>
      <c r="D219" s="182"/>
      <c r="E219" s="318"/>
      <c r="F219" s="318"/>
      <c r="G219" s="182">
        <f>G218</f>
        <v>689485735.58589923</v>
      </c>
      <c r="H219" s="182">
        <f>G219-C219</f>
        <v>-480514264.41410077</v>
      </c>
      <c r="I219" s="319">
        <f>G219/C219</f>
        <v>0.58930404750931553</v>
      </c>
    </row>
    <row r="220" spans="1:12" customFormat="1" ht="7" customHeight="1" x14ac:dyDescent="0.35">
      <c r="L220" s="357"/>
    </row>
    <row r="221" spans="1:12" x14ac:dyDescent="0.35">
      <c r="B221" s="478" t="s">
        <v>85</v>
      </c>
      <c r="C221" s="480" t="s">
        <v>61</v>
      </c>
      <c r="D221" s="482" t="s">
        <v>62</v>
      </c>
      <c r="E221" s="484" t="str">
        <f>E192</f>
        <v>OMSET JUN
 (1-30)</v>
      </c>
      <c r="F221" s="487" t="str">
        <f>F214</f>
        <v>OMSET PRODUK</v>
      </c>
      <c r="G221" s="480" t="s">
        <v>64</v>
      </c>
      <c r="H221" s="480" t="s">
        <v>65</v>
      </c>
      <c r="I221" s="347" t="s">
        <v>66</v>
      </c>
    </row>
    <row r="222" spans="1:12" x14ac:dyDescent="0.35">
      <c r="B222" s="478"/>
      <c r="C222" s="481"/>
      <c r="D222" s="483"/>
      <c r="E222" s="485"/>
      <c r="F222" s="483"/>
      <c r="G222" s="481"/>
      <c r="H222" s="481"/>
      <c r="I222" s="346">
        <f>I193</f>
        <v>1</v>
      </c>
    </row>
    <row r="223" spans="1:12" ht="16" x14ac:dyDescent="0.4">
      <c r="B223" s="479"/>
      <c r="C223" s="343">
        <f>SUM(C218,C211,C204)</f>
        <v>8800000000</v>
      </c>
      <c r="D223" s="344">
        <f>SUM(D218,D211,D204)</f>
        <v>114</v>
      </c>
      <c r="E223" s="344">
        <f>SUM(E218,E211,E204)</f>
        <v>3443739523.5591984</v>
      </c>
      <c r="F223" s="344">
        <f>SUM(F218,F211,F204)</f>
        <v>14052252.251700001</v>
      </c>
      <c r="G223" s="344">
        <f>SUM(G218,G211,G204)</f>
        <v>3429687271.3074985</v>
      </c>
      <c r="H223" s="344">
        <f>G223-C223</f>
        <v>-5370312728.6925011</v>
      </c>
      <c r="I223" s="345">
        <f>G223/C223</f>
        <v>0.38973718992130663</v>
      </c>
    </row>
    <row r="226" spans="2:10" ht="28.5" x14ac:dyDescent="0.35">
      <c r="B226" s="486">
        <f>JUL!B1</f>
        <v>46234</v>
      </c>
      <c r="C226" s="486"/>
      <c r="D226" s="486"/>
      <c r="E226" s="486"/>
      <c r="F226" s="486"/>
      <c r="G226" s="486"/>
      <c r="H226"/>
      <c r="I226"/>
      <c r="J226"/>
    </row>
    <row r="227" spans="2:10" ht="7.5" customHeight="1" x14ac:dyDescent="0.35">
      <c r="H227"/>
      <c r="I227"/>
      <c r="J227"/>
    </row>
    <row r="228" spans="2:10" x14ac:dyDescent="0.35">
      <c r="B228" s="351" t="s">
        <v>57</v>
      </c>
      <c r="C228" s="350" t="s">
        <v>58</v>
      </c>
      <c r="D228" s="469" t="s">
        <v>59</v>
      </c>
      <c r="E228" s="470"/>
      <c r="F228" s="471"/>
      <c r="G228" s="457" t="str">
        <f>UPPER(TEXT(B226,"MMM-YY"))</f>
        <v>JUL-26</v>
      </c>
      <c r="H228"/>
      <c r="I228"/>
      <c r="J228"/>
    </row>
    <row r="229" spans="2:10" x14ac:dyDescent="0.35">
      <c r="B229" s="472" t="s">
        <v>60</v>
      </c>
      <c r="C229" s="474" t="s">
        <v>61</v>
      </c>
      <c r="D229" s="474" t="s">
        <v>62</v>
      </c>
      <c r="E229" s="476" t="str">
        <f>JUL!F4</f>
        <v>OMSET JUL
 (1-31)</v>
      </c>
      <c r="F229" s="472" t="s">
        <v>65</v>
      </c>
      <c r="G229" s="351" t="s">
        <v>66</v>
      </c>
      <c r="H229"/>
      <c r="I229"/>
      <c r="J229"/>
    </row>
    <row r="230" spans="2:10" x14ac:dyDescent="0.35">
      <c r="B230" s="473"/>
      <c r="C230" s="475"/>
      <c r="D230" s="475"/>
      <c r="E230" s="477"/>
      <c r="F230" s="473"/>
      <c r="G230" s="282">
        <f>JUL!H4</f>
        <v>1</v>
      </c>
      <c r="H230"/>
      <c r="I230"/>
      <c r="J230"/>
    </row>
    <row r="231" spans="2:10" x14ac:dyDescent="0.35">
      <c r="B231" s="261" t="s">
        <v>67</v>
      </c>
      <c r="C231" s="262">
        <v>2000000000</v>
      </c>
      <c r="D231" s="264">
        <v>12</v>
      </c>
      <c r="E231" s="263">
        <v>1239282819.4273</v>
      </c>
      <c r="F231" s="265">
        <f t="shared" ref="F231:F241" si="41">E231-C231</f>
        <v>-760717180.57270002</v>
      </c>
      <c r="G231" s="266">
        <f t="shared" ref="G231:G241" si="42">E231/C231</f>
        <v>0.61964140971365</v>
      </c>
      <c r="H231"/>
      <c r="I231"/>
      <c r="J231"/>
    </row>
    <row r="232" spans="2:10" x14ac:dyDescent="0.35">
      <c r="B232" s="257" t="s">
        <v>68</v>
      </c>
      <c r="C232" s="267">
        <v>1000000000</v>
      </c>
      <c r="D232" s="269">
        <v>8</v>
      </c>
      <c r="E232" s="268">
        <v>278863143.73859996</v>
      </c>
      <c r="F232" s="171">
        <f t="shared" si="41"/>
        <v>-721136856.26139998</v>
      </c>
      <c r="G232" s="270">
        <f t="shared" si="42"/>
        <v>0.27886314373859994</v>
      </c>
      <c r="H232"/>
      <c r="I232"/>
      <c r="J232"/>
    </row>
    <row r="233" spans="2:10" x14ac:dyDescent="0.35">
      <c r="B233" s="257" t="s">
        <v>69</v>
      </c>
      <c r="C233" s="267">
        <v>500000000</v>
      </c>
      <c r="D233" s="269">
        <v>2</v>
      </c>
      <c r="E233" s="268">
        <v>62828828.8288</v>
      </c>
      <c r="F233" s="171">
        <f t="shared" si="41"/>
        <v>-437171171.17119998</v>
      </c>
      <c r="G233" s="270">
        <f t="shared" si="42"/>
        <v>0.12565765765760001</v>
      </c>
      <c r="H233"/>
      <c r="I233"/>
      <c r="J233"/>
    </row>
    <row r="234" spans="2:10" x14ac:dyDescent="0.35">
      <c r="B234" s="257" t="s">
        <v>70</v>
      </c>
      <c r="C234" s="267">
        <v>500000000</v>
      </c>
      <c r="D234" s="269">
        <v>9</v>
      </c>
      <c r="E234" s="268">
        <v>280682162.16170007</v>
      </c>
      <c r="F234" s="171">
        <f t="shared" si="41"/>
        <v>-219317837.83829993</v>
      </c>
      <c r="G234" s="270">
        <f t="shared" si="42"/>
        <v>0.56136432432340011</v>
      </c>
      <c r="H234"/>
      <c r="I234"/>
      <c r="J234"/>
    </row>
    <row r="235" spans="2:10" x14ac:dyDescent="0.35">
      <c r="B235" s="257" t="s">
        <v>71</v>
      </c>
      <c r="C235" s="267">
        <v>100000000</v>
      </c>
      <c r="D235" s="269">
        <v>1</v>
      </c>
      <c r="E235" s="268">
        <v>7132477.4775</v>
      </c>
      <c r="F235" s="171">
        <f t="shared" si="41"/>
        <v>-92867522.522499993</v>
      </c>
      <c r="G235" s="270">
        <f t="shared" si="42"/>
        <v>7.1324774775000002E-2</v>
      </c>
      <c r="H235"/>
      <c r="I235"/>
      <c r="J235"/>
    </row>
    <row r="236" spans="2:10" x14ac:dyDescent="0.35">
      <c r="B236" s="257" t="s">
        <v>72</v>
      </c>
      <c r="C236" s="267">
        <v>100000000</v>
      </c>
      <c r="D236" s="269">
        <v>2</v>
      </c>
      <c r="E236" s="268">
        <v>21509009.009</v>
      </c>
      <c r="F236" s="171">
        <f t="shared" si="41"/>
        <v>-78490990.990999997</v>
      </c>
      <c r="G236" s="270">
        <f t="shared" si="42"/>
        <v>0.21509009008999999</v>
      </c>
      <c r="H236"/>
      <c r="I236"/>
      <c r="J236"/>
    </row>
    <row r="237" spans="2:10" x14ac:dyDescent="0.35">
      <c r="B237" s="257" t="s">
        <v>73</v>
      </c>
      <c r="C237" s="267">
        <v>200000000</v>
      </c>
      <c r="D237" s="269">
        <v>2</v>
      </c>
      <c r="E237" s="268">
        <v>16360360.360400001</v>
      </c>
      <c r="F237" s="171">
        <f t="shared" si="41"/>
        <v>-183639639.63960001</v>
      </c>
      <c r="G237" s="270">
        <f t="shared" si="42"/>
        <v>8.1801801802000002E-2</v>
      </c>
      <c r="H237"/>
      <c r="I237"/>
      <c r="J237"/>
    </row>
    <row r="238" spans="2:10" x14ac:dyDescent="0.35">
      <c r="B238" s="257" t="s">
        <v>74</v>
      </c>
      <c r="C238" s="267">
        <v>500000000</v>
      </c>
      <c r="D238" s="269">
        <v>6</v>
      </c>
      <c r="E238" s="268">
        <v>345836216.21620005</v>
      </c>
      <c r="F238" s="171">
        <f t="shared" si="41"/>
        <v>-154163783.78379995</v>
      </c>
      <c r="G238" s="270">
        <f t="shared" si="42"/>
        <v>0.69167243243240006</v>
      </c>
      <c r="H238"/>
      <c r="I238"/>
      <c r="J238"/>
    </row>
    <row r="239" spans="2:10" x14ac:dyDescent="0.35">
      <c r="B239" s="257" t="s">
        <v>75</v>
      </c>
      <c r="C239" s="267">
        <v>600000000</v>
      </c>
      <c r="D239" s="269">
        <v>1</v>
      </c>
      <c r="E239" s="323">
        <v>20315315.315400001</v>
      </c>
      <c r="F239" s="171">
        <f t="shared" si="41"/>
        <v>-579684684.6846</v>
      </c>
      <c r="G239" s="270">
        <f t="shared" si="42"/>
        <v>3.3858858859000002E-2</v>
      </c>
      <c r="H239"/>
      <c r="I239"/>
      <c r="J239"/>
    </row>
    <row r="240" spans="2:10" x14ac:dyDescent="0.35">
      <c r="B240" s="257" t="s">
        <v>76</v>
      </c>
      <c r="C240" s="267"/>
      <c r="D240" s="269"/>
      <c r="E240" s="323"/>
      <c r="F240" s="171"/>
      <c r="G240" s="270"/>
      <c r="H240"/>
      <c r="I240"/>
      <c r="J240"/>
    </row>
    <row r="241" spans="1:10" x14ac:dyDescent="0.35">
      <c r="B241" s="320" t="s">
        <v>77</v>
      </c>
      <c r="C241" s="321">
        <f t="shared" ref="C241" si="43">SUM(C231:C239)</f>
        <v>5500000000</v>
      </c>
      <c r="D241" s="321">
        <f>SUM(D231:D240)</f>
        <v>43</v>
      </c>
      <c r="E241" s="321">
        <f>SUM(E231:E240)</f>
        <v>2272810332.5349002</v>
      </c>
      <c r="F241" s="321">
        <f t="shared" si="41"/>
        <v>-3227189667.4650998</v>
      </c>
      <c r="G241" s="322">
        <f t="shared" si="42"/>
        <v>0.41323824227907274</v>
      </c>
      <c r="H241"/>
      <c r="I241" s="3"/>
      <c r="J241"/>
    </row>
    <row r="242" spans="1:10" ht="7.5" customHeight="1" x14ac:dyDescent="0.35">
      <c r="H242"/>
      <c r="I242"/>
      <c r="J242"/>
    </row>
    <row r="243" spans="1:10" x14ac:dyDescent="0.35">
      <c r="B243" s="351" t="s">
        <v>57</v>
      </c>
      <c r="C243" s="350" t="str">
        <f>C228</f>
        <v>STEVEN</v>
      </c>
      <c r="D243" s="469" t="s">
        <v>78</v>
      </c>
      <c r="E243" s="470"/>
      <c r="F243" s="471" t="e">
        <f>UPPER(TEXT('AGPn-Harian'!#REF!,"MMM-YY"))</f>
        <v>#REF!</v>
      </c>
      <c r="G243" s="457" t="str">
        <f>G228</f>
        <v>JUL-26</v>
      </c>
      <c r="H243"/>
      <c r="I243"/>
      <c r="J243"/>
    </row>
    <row r="244" spans="1:10" x14ac:dyDescent="0.35">
      <c r="B244" s="472" t="s">
        <v>60</v>
      </c>
      <c r="C244" s="474" t="s">
        <v>61</v>
      </c>
      <c r="D244" s="474" t="s">
        <v>62</v>
      </c>
      <c r="E244" s="476" t="str">
        <f>E229</f>
        <v>OMSET JUL
 (1-31)</v>
      </c>
      <c r="F244" s="472" t="s">
        <v>65</v>
      </c>
      <c r="G244" s="351" t="s">
        <v>66</v>
      </c>
      <c r="H244"/>
      <c r="I244"/>
      <c r="J244"/>
    </row>
    <row r="245" spans="1:10" x14ac:dyDescent="0.35">
      <c r="B245" s="473"/>
      <c r="C245" s="475"/>
      <c r="D245" s="475"/>
      <c r="E245" s="477"/>
      <c r="F245" s="473"/>
      <c r="G245" s="282">
        <f>G230</f>
        <v>1</v>
      </c>
      <c r="H245"/>
      <c r="I245"/>
      <c r="J245"/>
    </row>
    <row r="246" spans="1:10" x14ac:dyDescent="0.35">
      <c r="B246" s="261" t="s">
        <v>79</v>
      </c>
      <c r="C246" s="262">
        <v>2000000000</v>
      </c>
      <c r="D246" s="341">
        <v>27</v>
      </c>
      <c r="E246" s="281">
        <v>2020578833.1080005</v>
      </c>
      <c r="F246" s="265">
        <f t="shared" ref="F246" si="44">E246-C246</f>
        <v>20578833.108000517</v>
      </c>
      <c r="G246" s="266">
        <f t="shared" ref="G246" si="45">E246/C246</f>
        <v>1.0102894165540002</v>
      </c>
      <c r="H246"/>
      <c r="I246"/>
      <c r="J246"/>
    </row>
    <row r="247" spans="1:10" x14ac:dyDescent="0.35">
      <c r="B247" s="271"/>
      <c r="C247" s="272"/>
      <c r="D247" s="342"/>
      <c r="E247" s="273"/>
      <c r="F247" s="275"/>
      <c r="G247" s="276"/>
      <c r="H247"/>
      <c r="I247"/>
      <c r="J247"/>
    </row>
    <row r="248" spans="1:10" x14ac:dyDescent="0.35">
      <c r="B248" s="283" t="s">
        <v>77</v>
      </c>
      <c r="C248" s="284">
        <f t="shared" ref="C248" si="46">SUM(C246:C247)</f>
        <v>2000000000</v>
      </c>
      <c r="D248" s="284">
        <f>SUM(D246:D247)</f>
        <v>27</v>
      </c>
      <c r="E248" s="284">
        <f>SUM(E246:E247)</f>
        <v>2020578833.1080005</v>
      </c>
      <c r="F248" s="284">
        <f t="shared" ref="F248" si="47">E248-C248</f>
        <v>20578833.108000517</v>
      </c>
      <c r="G248" s="285">
        <f t="shared" ref="G248" si="48">E248/C248</f>
        <v>1.0102894165540002</v>
      </c>
      <c r="H248"/>
      <c r="I248"/>
      <c r="J248"/>
    </row>
    <row r="249" spans="1:10" ht="7.5" customHeight="1" x14ac:dyDescent="0.35">
      <c r="H249"/>
      <c r="I249"/>
      <c r="J249"/>
    </row>
    <row r="250" spans="1:10" x14ac:dyDescent="0.35">
      <c r="B250" s="351" t="s">
        <v>57</v>
      </c>
      <c r="C250" s="350" t="s">
        <v>36</v>
      </c>
      <c r="D250" s="469" t="s">
        <v>80</v>
      </c>
      <c r="E250" s="470"/>
      <c r="F250" s="471" t="e">
        <f>UPPER(TEXT('AGPn-Harian'!#REF!,"MMM-YY"))</f>
        <v>#REF!</v>
      </c>
      <c r="G250" s="457" t="str">
        <f>G228</f>
        <v>JUL-26</v>
      </c>
      <c r="H250"/>
      <c r="I250"/>
      <c r="J250"/>
    </row>
    <row r="251" spans="1:10" x14ac:dyDescent="0.35">
      <c r="B251" s="472" t="s">
        <v>60</v>
      </c>
      <c r="C251" s="474" t="s">
        <v>61</v>
      </c>
      <c r="D251" s="474" t="s">
        <v>62</v>
      </c>
      <c r="E251" s="476" t="str">
        <f>E229</f>
        <v>OMSET JUL
 (1-31)</v>
      </c>
      <c r="F251" s="472" t="s">
        <v>65</v>
      </c>
      <c r="G251" s="351" t="s">
        <v>66</v>
      </c>
      <c r="H251"/>
      <c r="I251"/>
      <c r="J251"/>
    </row>
    <row r="252" spans="1:10" x14ac:dyDescent="0.35">
      <c r="B252" s="473"/>
      <c r="C252" s="475"/>
      <c r="D252" s="475"/>
      <c r="E252" s="477"/>
      <c r="F252" s="473"/>
      <c r="G252" s="282">
        <f>G230</f>
        <v>1</v>
      </c>
      <c r="H252"/>
      <c r="I252"/>
      <c r="J252"/>
    </row>
    <row r="253" spans="1:10" x14ac:dyDescent="0.35">
      <c r="B253" s="261" t="s">
        <v>81</v>
      </c>
      <c r="C253" s="262">
        <v>1000000000</v>
      </c>
      <c r="D253" s="264">
        <v>59</v>
      </c>
      <c r="E253" s="263">
        <v>632986845.50679958</v>
      </c>
      <c r="F253" s="265">
        <f t="shared" ref="F253:F254" si="49">E253-C253</f>
        <v>-367013154.49320042</v>
      </c>
      <c r="G253" s="266">
        <f t="shared" ref="G253:G254" si="50">E253/C253</f>
        <v>0.63298684550679962</v>
      </c>
      <c r="H253"/>
      <c r="I253"/>
      <c r="J253"/>
    </row>
    <row r="254" spans="1:10" x14ac:dyDescent="0.35">
      <c r="B254" s="257" t="s">
        <v>82</v>
      </c>
      <c r="C254" s="267">
        <v>300000000</v>
      </c>
      <c r="D254" s="269"/>
      <c r="E254" s="268"/>
      <c r="F254" s="171">
        <f t="shared" si="49"/>
        <v>-300000000</v>
      </c>
      <c r="G254" s="270">
        <f t="shared" si="50"/>
        <v>0</v>
      </c>
      <c r="H254"/>
      <c r="I254"/>
      <c r="J254"/>
    </row>
    <row r="255" spans="1:10" x14ac:dyDescent="0.35">
      <c r="B255" s="286" t="s">
        <v>77</v>
      </c>
      <c r="C255" s="287">
        <f>SUM(C253:C254)</f>
        <v>1300000000</v>
      </c>
      <c r="D255" s="284">
        <f>SUM(D253:D254)</f>
        <v>59</v>
      </c>
      <c r="E255" s="284">
        <f>SUM(E253:E254)</f>
        <v>632986845.50679958</v>
      </c>
      <c r="F255" s="287">
        <f t="shared" ref="F255:F256" si="51">E255-C255</f>
        <v>-667013154.49320042</v>
      </c>
      <c r="G255" s="288">
        <f t="shared" ref="G255:G256" si="52">E255/C255</f>
        <v>0.48691295808215351</v>
      </c>
      <c r="H255"/>
      <c r="I255"/>
      <c r="J255"/>
    </row>
    <row r="256" spans="1:10" x14ac:dyDescent="0.35">
      <c r="A256" s="194">
        <f>C256/C255</f>
        <v>0.9</v>
      </c>
      <c r="B256" s="289" t="str">
        <f>JUL!B12</f>
        <v>TARGET Q3</v>
      </c>
      <c r="C256" s="182">
        <v>1170000000</v>
      </c>
      <c r="D256" s="182"/>
      <c r="E256" s="182">
        <f>E255</f>
        <v>632986845.50679958</v>
      </c>
      <c r="F256" s="182">
        <f t="shared" si="51"/>
        <v>-537013154.49320042</v>
      </c>
      <c r="G256" s="319">
        <f t="shared" si="52"/>
        <v>0.54101439786905947</v>
      </c>
      <c r="H256"/>
      <c r="I256"/>
      <c r="J256"/>
    </row>
    <row r="257" spans="2:12" customFormat="1" ht="7" customHeight="1" x14ac:dyDescent="0.35">
      <c r="L257" s="307"/>
    </row>
    <row r="258" spans="2:12" x14ac:dyDescent="0.35">
      <c r="B258" s="478" t="s">
        <v>85</v>
      </c>
      <c r="C258" s="480" t="s">
        <v>61</v>
      </c>
      <c r="D258" s="482" t="s">
        <v>62</v>
      </c>
      <c r="E258" s="484" t="str">
        <f>E229</f>
        <v>OMSET JUL
 (1-31)</v>
      </c>
      <c r="F258" s="480" t="s">
        <v>65</v>
      </c>
      <c r="G258" s="347" t="s">
        <v>66</v>
      </c>
      <c r="H258"/>
      <c r="I258"/>
      <c r="J258"/>
    </row>
    <row r="259" spans="2:12" x14ac:dyDescent="0.35">
      <c r="B259" s="478"/>
      <c r="C259" s="481"/>
      <c r="D259" s="483"/>
      <c r="E259" s="485"/>
      <c r="F259" s="481"/>
      <c r="G259" s="346">
        <f>G230</f>
        <v>1</v>
      </c>
      <c r="H259"/>
      <c r="I259"/>
      <c r="J259"/>
    </row>
    <row r="260" spans="2:12" ht="16" x14ac:dyDescent="0.4">
      <c r="B260" s="479"/>
      <c r="C260" s="343">
        <f>SUM(C255,C248,C241)</f>
        <v>8800000000</v>
      </c>
      <c r="D260" s="344">
        <f>SUM(D255,D248,D241)</f>
        <v>129</v>
      </c>
      <c r="E260" s="344">
        <f>SUM(E255,E248,E241)</f>
        <v>4926376011.1497002</v>
      </c>
      <c r="F260" s="344">
        <f>E260-C260</f>
        <v>-3873623988.8502998</v>
      </c>
      <c r="G260" s="345">
        <f>E260/C260</f>
        <v>0.55981545581246595</v>
      </c>
      <c r="H260"/>
      <c r="I260"/>
      <c r="J260"/>
    </row>
    <row r="261" spans="2:12" x14ac:dyDescent="0.35">
      <c r="H261"/>
      <c r="I261"/>
      <c r="J261"/>
    </row>
    <row r="262" spans="2:12" x14ac:dyDescent="0.35">
      <c r="H262"/>
      <c r="I262"/>
      <c r="J262"/>
    </row>
    <row r="263" spans="2:12" ht="28.5" x14ac:dyDescent="0.35">
      <c r="B263" s="486">
        <f>AGS!B1</f>
        <v>46265</v>
      </c>
      <c r="C263" s="486"/>
      <c r="D263" s="486"/>
      <c r="E263" s="486"/>
      <c r="F263" s="486"/>
      <c r="G263" s="486"/>
      <c r="H263"/>
      <c r="I263"/>
      <c r="J263"/>
    </row>
    <row r="264" spans="2:12" ht="7.5" customHeight="1" x14ac:dyDescent="0.35">
      <c r="H264"/>
      <c r="I264"/>
      <c r="J264"/>
    </row>
    <row r="265" spans="2:12" x14ac:dyDescent="0.35">
      <c r="B265" s="351" t="s">
        <v>57</v>
      </c>
      <c r="C265" s="350" t="s">
        <v>58</v>
      </c>
      <c r="D265" s="469" t="s">
        <v>59</v>
      </c>
      <c r="E265" s="470"/>
      <c r="F265" s="471"/>
      <c r="G265" s="457" t="str">
        <f>UPPER(TEXT(B263,"MMM-YY"))</f>
        <v>AGU-26</v>
      </c>
      <c r="H265"/>
      <c r="I265"/>
      <c r="J265"/>
    </row>
    <row r="266" spans="2:12" x14ac:dyDescent="0.35">
      <c r="B266" s="472" t="s">
        <v>60</v>
      </c>
      <c r="C266" s="474" t="s">
        <v>61</v>
      </c>
      <c r="D266" s="474" t="s">
        <v>62</v>
      </c>
      <c r="E266" s="476" t="str">
        <f>AGS!F4</f>
        <v>OMSET AGU
 (1-31)</v>
      </c>
      <c r="F266" s="472" t="s">
        <v>65</v>
      </c>
      <c r="G266" s="351" t="s">
        <v>66</v>
      </c>
      <c r="H266"/>
      <c r="I266"/>
      <c r="J266"/>
    </row>
    <row r="267" spans="2:12" x14ac:dyDescent="0.35">
      <c r="B267" s="473"/>
      <c r="C267" s="475"/>
      <c r="D267" s="475"/>
      <c r="E267" s="477"/>
      <c r="F267" s="473"/>
      <c r="G267" s="282">
        <f>AGS!H4</f>
        <v>1</v>
      </c>
      <c r="H267"/>
      <c r="I267"/>
      <c r="J267"/>
    </row>
    <row r="268" spans="2:12" x14ac:dyDescent="0.35">
      <c r="B268" s="261" t="s">
        <v>67</v>
      </c>
      <c r="C268" s="262">
        <v>2000000000</v>
      </c>
      <c r="D268" s="264">
        <v>13</v>
      </c>
      <c r="E268" s="263">
        <v>1129902734.7627006</v>
      </c>
      <c r="F268" s="265">
        <f t="shared" ref="F268:F276" si="53">E268-C268</f>
        <v>-870097265.23729944</v>
      </c>
      <c r="G268" s="266">
        <f t="shared" ref="G268:G276" si="54">E268/C268</f>
        <v>0.56495136738135032</v>
      </c>
      <c r="H268"/>
      <c r="I268"/>
      <c r="J268"/>
    </row>
    <row r="269" spans="2:12" x14ac:dyDescent="0.35">
      <c r="B269" s="257" t="s">
        <v>68</v>
      </c>
      <c r="C269" s="267">
        <v>1000000000</v>
      </c>
      <c r="D269" s="269">
        <v>7</v>
      </c>
      <c r="E269" s="268">
        <v>187813090.54079995</v>
      </c>
      <c r="F269" s="171">
        <f t="shared" si="53"/>
        <v>-812186909.45920002</v>
      </c>
      <c r="G269" s="270">
        <f t="shared" si="54"/>
        <v>0.18781309054079995</v>
      </c>
      <c r="H269"/>
      <c r="I269"/>
      <c r="J269"/>
    </row>
    <row r="270" spans="2:12" x14ac:dyDescent="0.35">
      <c r="B270" s="257" t="s">
        <v>69</v>
      </c>
      <c r="C270" s="267">
        <v>500000000</v>
      </c>
      <c r="D270" s="269">
        <v>3</v>
      </c>
      <c r="E270" s="268">
        <v>170260585.58560002</v>
      </c>
      <c r="F270" s="171">
        <f t="shared" si="53"/>
        <v>-329739414.41439998</v>
      </c>
      <c r="G270" s="270">
        <f t="shared" si="54"/>
        <v>0.34052117117120001</v>
      </c>
      <c r="H270"/>
      <c r="I270"/>
      <c r="J270"/>
    </row>
    <row r="271" spans="2:12" x14ac:dyDescent="0.35">
      <c r="B271" s="257" t="s">
        <v>70</v>
      </c>
      <c r="C271" s="267">
        <v>500000000</v>
      </c>
      <c r="D271" s="269">
        <v>7</v>
      </c>
      <c r="E271" s="268">
        <v>137253720.72050002</v>
      </c>
      <c r="F271" s="171">
        <f t="shared" si="53"/>
        <v>-362746279.27950001</v>
      </c>
      <c r="G271" s="270">
        <f t="shared" si="54"/>
        <v>0.27450744144100003</v>
      </c>
      <c r="H271"/>
      <c r="I271"/>
      <c r="J271"/>
    </row>
    <row r="272" spans="2:12" x14ac:dyDescent="0.35">
      <c r="B272" s="257" t="s">
        <v>71</v>
      </c>
      <c r="C272" s="267">
        <v>100000000</v>
      </c>
      <c r="D272" s="269"/>
      <c r="E272" s="268"/>
      <c r="F272" s="171">
        <f t="shared" si="53"/>
        <v>-100000000</v>
      </c>
      <c r="G272" s="270">
        <f t="shared" si="54"/>
        <v>0</v>
      </c>
      <c r="H272"/>
      <c r="I272"/>
      <c r="J272"/>
    </row>
    <row r="273" spans="2:10" x14ac:dyDescent="0.35">
      <c r="B273" s="257" t="s">
        <v>72</v>
      </c>
      <c r="C273" s="267">
        <v>100000000</v>
      </c>
      <c r="D273" s="269"/>
      <c r="E273" s="268"/>
      <c r="F273" s="171">
        <f t="shared" si="53"/>
        <v>-100000000</v>
      </c>
      <c r="G273" s="270">
        <f t="shared" si="54"/>
        <v>0</v>
      </c>
      <c r="H273"/>
      <c r="I273"/>
      <c r="J273"/>
    </row>
    <row r="274" spans="2:10" x14ac:dyDescent="0.35">
      <c r="B274" s="257" t="s">
        <v>73</v>
      </c>
      <c r="C274" s="267">
        <v>200000000</v>
      </c>
      <c r="D274" s="269"/>
      <c r="E274" s="268"/>
      <c r="F274" s="171">
        <f t="shared" si="53"/>
        <v>-200000000</v>
      </c>
      <c r="G274" s="270">
        <f t="shared" si="54"/>
        <v>0</v>
      </c>
      <c r="H274"/>
      <c r="I274"/>
      <c r="J274"/>
    </row>
    <row r="275" spans="2:10" x14ac:dyDescent="0.35">
      <c r="B275" s="257" t="s">
        <v>74</v>
      </c>
      <c r="C275" s="267">
        <v>500000000</v>
      </c>
      <c r="D275" s="269">
        <v>4</v>
      </c>
      <c r="E275" s="268">
        <v>110820000.0001</v>
      </c>
      <c r="F275" s="171">
        <f t="shared" si="53"/>
        <v>-389179999.99989998</v>
      </c>
      <c r="G275" s="270">
        <f t="shared" si="54"/>
        <v>0.22164000000020001</v>
      </c>
      <c r="H275"/>
      <c r="I275"/>
      <c r="J275"/>
    </row>
    <row r="276" spans="2:10" x14ac:dyDescent="0.35">
      <c r="B276" s="257" t="s">
        <v>75</v>
      </c>
      <c r="C276" s="267">
        <v>600000000</v>
      </c>
      <c r="D276" s="269"/>
      <c r="E276" s="323"/>
      <c r="F276" s="171">
        <f t="shared" si="53"/>
        <v>-600000000</v>
      </c>
      <c r="G276" s="270">
        <f t="shared" si="54"/>
        <v>0</v>
      </c>
      <c r="H276"/>
      <c r="I276"/>
      <c r="J276"/>
    </row>
    <row r="277" spans="2:10" x14ac:dyDescent="0.35">
      <c r="B277" s="257" t="s">
        <v>76</v>
      </c>
      <c r="C277" s="267"/>
      <c r="D277" s="269"/>
      <c r="E277" s="323"/>
      <c r="F277" s="171"/>
      <c r="G277" s="270"/>
      <c r="H277"/>
      <c r="I277"/>
      <c r="J277"/>
    </row>
    <row r="278" spans="2:10" x14ac:dyDescent="0.35">
      <c r="B278" s="320" t="s">
        <v>77</v>
      </c>
      <c r="C278" s="321">
        <f t="shared" ref="C278" si="55">SUM(C268:C276)</f>
        <v>5500000000</v>
      </c>
      <c r="D278" s="321">
        <f>SUM(D268:D277)</f>
        <v>34</v>
      </c>
      <c r="E278" s="321">
        <f>SUM(E268:E277)</f>
        <v>1736050131.6097004</v>
      </c>
      <c r="F278" s="321">
        <f t="shared" ref="F278" si="56">E278-C278</f>
        <v>-3763949868.3902998</v>
      </c>
      <c r="G278" s="322">
        <f t="shared" ref="G278" si="57">E278/C278</f>
        <v>0.31564547847449098</v>
      </c>
      <c r="H278"/>
      <c r="I278" s="3"/>
      <c r="J278"/>
    </row>
    <row r="279" spans="2:10" ht="7.5" customHeight="1" x14ac:dyDescent="0.35">
      <c r="H279"/>
      <c r="I279"/>
      <c r="J279"/>
    </row>
    <row r="280" spans="2:10" x14ac:dyDescent="0.35">
      <c r="B280" s="351" t="s">
        <v>57</v>
      </c>
      <c r="C280" s="350" t="str">
        <f>C265</f>
        <v>STEVEN</v>
      </c>
      <c r="D280" s="469" t="s">
        <v>78</v>
      </c>
      <c r="E280" s="470"/>
      <c r="F280" s="471" t="e">
        <f>UPPER(TEXT('AGPn-Harian'!#REF!,"MMM-YY"))</f>
        <v>#REF!</v>
      </c>
      <c r="G280" s="457" t="str">
        <f>G265</f>
        <v>AGU-26</v>
      </c>
      <c r="H280"/>
      <c r="I280"/>
      <c r="J280"/>
    </row>
    <row r="281" spans="2:10" x14ac:dyDescent="0.35">
      <c r="B281" s="472" t="s">
        <v>60</v>
      </c>
      <c r="C281" s="474" t="s">
        <v>61</v>
      </c>
      <c r="D281" s="474" t="s">
        <v>62</v>
      </c>
      <c r="E281" s="476" t="str">
        <f>E266</f>
        <v>OMSET AGU
 (1-31)</v>
      </c>
      <c r="F281" s="472" t="s">
        <v>65</v>
      </c>
      <c r="G281" s="351" t="s">
        <v>66</v>
      </c>
      <c r="H281"/>
      <c r="I281"/>
      <c r="J281"/>
    </row>
    <row r="282" spans="2:10" x14ac:dyDescent="0.35">
      <c r="B282" s="473"/>
      <c r="C282" s="475"/>
      <c r="D282" s="475"/>
      <c r="E282" s="477"/>
      <c r="F282" s="473"/>
      <c r="G282" s="282">
        <f>G267</f>
        <v>1</v>
      </c>
      <c r="H282"/>
      <c r="I282"/>
      <c r="J282"/>
    </row>
    <row r="283" spans="2:10" x14ac:dyDescent="0.35">
      <c r="B283" s="261" t="s">
        <v>79</v>
      </c>
      <c r="C283" s="262">
        <v>2000000000</v>
      </c>
      <c r="D283" s="341">
        <v>28</v>
      </c>
      <c r="E283" s="281">
        <v>1241152884.9558001</v>
      </c>
      <c r="F283" s="265">
        <f t="shared" ref="F283" si="58">E283-C283</f>
        <v>-758847115.04419994</v>
      </c>
      <c r="G283" s="266">
        <f t="shared" ref="G283" si="59">E283/C283</f>
        <v>0.6205764424779</v>
      </c>
      <c r="H283"/>
      <c r="I283"/>
      <c r="J283"/>
    </row>
    <row r="284" spans="2:10" x14ac:dyDescent="0.35">
      <c r="B284" s="271"/>
      <c r="C284" s="272"/>
      <c r="D284" s="342"/>
      <c r="E284" s="273"/>
      <c r="F284" s="275"/>
      <c r="G284" s="276"/>
      <c r="H284"/>
      <c r="I284"/>
      <c r="J284"/>
    </row>
    <row r="285" spans="2:10" x14ac:dyDescent="0.35">
      <c r="B285" s="283" t="s">
        <v>77</v>
      </c>
      <c r="C285" s="284">
        <f t="shared" ref="C285" si="60">SUM(C283:C284)</f>
        <v>2000000000</v>
      </c>
      <c r="D285" s="284">
        <f>SUM(D283:D284)</f>
        <v>28</v>
      </c>
      <c r="E285" s="284">
        <f>SUM(E283:E284)</f>
        <v>1241152884.9558001</v>
      </c>
      <c r="F285" s="284">
        <f t="shared" ref="F285" si="61">E285-C285</f>
        <v>-758847115.04419994</v>
      </c>
      <c r="G285" s="285">
        <f t="shared" ref="G285" si="62">E285/C285</f>
        <v>0.6205764424779</v>
      </c>
      <c r="H285"/>
      <c r="I285"/>
      <c r="J285"/>
    </row>
    <row r="286" spans="2:10" ht="7.5" customHeight="1" x14ac:dyDescent="0.35">
      <c r="H286"/>
      <c r="I286"/>
      <c r="J286"/>
    </row>
    <row r="287" spans="2:10" x14ac:dyDescent="0.35">
      <c r="B287" s="351" t="s">
        <v>57</v>
      </c>
      <c r="C287" s="350" t="s">
        <v>36</v>
      </c>
      <c r="D287" s="469" t="s">
        <v>80</v>
      </c>
      <c r="E287" s="470"/>
      <c r="F287" s="471" t="e">
        <f>UPPER(TEXT('AGPn-Harian'!#REF!,"MMM-YY"))</f>
        <v>#REF!</v>
      </c>
      <c r="G287" s="457" t="str">
        <f>G265</f>
        <v>AGU-26</v>
      </c>
      <c r="H287"/>
      <c r="I287"/>
      <c r="J287"/>
    </row>
    <row r="288" spans="2:10" x14ac:dyDescent="0.35">
      <c r="B288" s="472" t="s">
        <v>60</v>
      </c>
      <c r="C288" s="474" t="s">
        <v>61</v>
      </c>
      <c r="D288" s="474" t="s">
        <v>62</v>
      </c>
      <c r="E288" s="476" t="str">
        <f>E266</f>
        <v>OMSET AGU
 (1-31)</v>
      </c>
      <c r="F288" s="472" t="s">
        <v>65</v>
      </c>
      <c r="G288" s="351" t="s">
        <v>66</v>
      </c>
      <c r="H288"/>
      <c r="I288"/>
      <c r="J288"/>
    </row>
    <row r="289" spans="1:12" x14ac:dyDescent="0.35">
      <c r="B289" s="473"/>
      <c r="C289" s="475"/>
      <c r="D289" s="475"/>
      <c r="E289" s="477"/>
      <c r="F289" s="473"/>
      <c r="G289" s="282">
        <f>G267</f>
        <v>1</v>
      </c>
      <c r="H289"/>
      <c r="I289"/>
      <c r="J289"/>
    </row>
    <row r="290" spans="1:12" x14ac:dyDescent="0.35">
      <c r="B290" s="261" t="s">
        <v>81</v>
      </c>
      <c r="C290" s="262">
        <v>1000000000</v>
      </c>
      <c r="D290" s="264">
        <v>53</v>
      </c>
      <c r="E290" s="263">
        <v>682757940.53159952</v>
      </c>
      <c r="F290" s="265">
        <f t="shared" ref="F290:F293" si="63">E290-C290</f>
        <v>-317242059.46840048</v>
      </c>
      <c r="G290" s="266">
        <f t="shared" ref="G290:G293" si="64">E290/C290</f>
        <v>0.68275794053159955</v>
      </c>
      <c r="H290"/>
      <c r="I290"/>
      <c r="J290"/>
    </row>
    <row r="291" spans="1:12" x14ac:dyDescent="0.35">
      <c r="B291" s="257" t="s">
        <v>82</v>
      </c>
      <c r="C291" s="267">
        <v>300000000</v>
      </c>
      <c r="D291" s="269"/>
      <c r="E291" s="268"/>
      <c r="F291" s="171">
        <f t="shared" si="63"/>
        <v>-300000000</v>
      </c>
      <c r="G291" s="270">
        <f t="shared" si="64"/>
        <v>0</v>
      </c>
      <c r="H291"/>
      <c r="I291"/>
      <c r="J291"/>
    </row>
    <row r="292" spans="1:12" x14ac:dyDescent="0.35">
      <c r="B292" s="286" t="s">
        <v>77</v>
      </c>
      <c r="C292" s="287">
        <f>SUM(C290:C291)</f>
        <v>1300000000</v>
      </c>
      <c r="D292" s="284">
        <f>SUM(D290:D291)</f>
        <v>53</v>
      </c>
      <c r="E292" s="284">
        <f>SUM(E290:E291)</f>
        <v>682757940.53159952</v>
      </c>
      <c r="F292" s="287">
        <f t="shared" si="63"/>
        <v>-617242059.46840048</v>
      </c>
      <c r="G292" s="288">
        <f t="shared" si="64"/>
        <v>0.5251984157935381</v>
      </c>
      <c r="H292"/>
      <c r="I292"/>
      <c r="J292"/>
    </row>
    <row r="293" spans="1:12" x14ac:dyDescent="0.35">
      <c r="A293" s="194">
        <f>C293/C292</f>
        <v>0.9</v>
      </c>
      <c r="B293" s="289" t="str">
        <f>B256</f>
        <v>TARGET Q3</v>
      </c>
      <c r="C293" s="182">
        <v>1170000000</v>
      </c>
      <c r="D293" s="182"/>
      <c r="E293" s="182">
        <f>E292</f>
        <v>682757940.53159952</v>
      </c>
      <c r="F293" s="182">
        <f t="shared" si="63"/>
        <v>-487242059.46840048</v>
      </c>
      <c r="G293" s="319">
        <f t="shared" si="64"/>
        <v>0.58355379532615348</v>
      </c>
      <c r="H293"/>
      <c r="I293"/>
      <c r="J293"/>
    </row>
    <row r="294" spans="1:12" customFormat="1" ht="7" customHeight="1" x14ac:dyDescent="0.35">
      <c r="L294" s="307"/>
    </row>
    <row r="295" spans="1:12" x14ac:dyDescent="0.35">
      <c r="B295" s="478" t="s">
        <v>85</v>
      </c>
      <c r="C295" s="480" t="s">
        <v>61</v>
      </c>
      <c r="D295" s="482" t="s">
        <v>62</v>
      </c>
      <c r="E295" s="484" t="str">
        <f>E266</f>
        <v>OMSET AGU
 (1-31)</v>
      </c>
      <c r="F295" s="480" t="s">
        <v>65</v>
      </c>
      <c r="G295" s="347" t="s">
        <v>66</v>
      </c>
      <c r="H295"/>
      <c r="I295"/>
      <c r="J295"/>
    </row>
    <row r="296" spans="1:12" x14ac:dyDescent="0.35">
      <c r="B296" s="478"/>
      <c r="C296" s="481"/>
      <c r="D296" s="483"/>
      <c r="E296" s="485"/>
      <c r="F296" s="481"/>
      <c r="G296" s="346">
        <f>G267</f>
        <v>1</v>
      </c>
      <c r="H296"/>
      <c r="I296"/>
      <c r="J296"/>
    </row>
    <row r="297" spans="1:12" ht="16" x14ac:dyDescent="0.4">
      <c r="B297" s="479"/>
      <c r="C297" s="343">
        <f>SUM(C292,C285,C278)</f>
        <v>8800000000</v>
      </c>
      <c r="D297" s="344">
        <f>SUM(D292,D285,D278)</f>
        <v>115</v>
      </c>
      <c r="E297" s="344">
        <f>SUM(E292,E285,E278)</f>
        <v>3659960957.0971003</v>
      </c>
      <c r="F297" s="344">
        <f>E297-C297</f>
        <v>-5140039042.9028997</v>
      </c>
      <c r="G297" s="345">
        <f>E297/C297</f>
        <v>0.41590465421557959</v>
      </c>
      <c r="H297"/>
      <c r="I297"/>
      <c r="J297"/>
    </row>
    <row r="298" spans="1:12" x14ac:dyDescent="0.35">
      <c r="H298"/>
      <c r="I298"/>
      <c r="J298"/>
    </row>
    <row r="299" spans="1:12" x14ac:dyDescent="0.35">
      <c r="H299"/>
      <c r="I299"/>
      <c r="J299"/>
    </row>
    <row r="300" spans="1:12" ht="28.5" x14ac:dyDescent="0.35">
      <c r="B300" s="486">
        <f>SEP!B1</f>
        <v>46286</v>
      </c>
      <c r="C300" s="486"/>
      <c r="D300" s="486"/>
      <c r="E300" s="486"/>
      <c r="F300" s="486"/>
      <c r="G300" s="486"/>
      <c r="H300"/>
      <c r="I300"/>
      <c r="J300"/>
    </row>
    <row r="301" spans="1:12" ht="7.5" customHeight="1" x14ac:dyDescent="0.35">
      <c r="H301"/>
      <c r="I301"/>
      <c r="J301"/>
    </row>
    <row r="302" spans="1:12" x14ac:dyDescent="0.35">
      <c r="B302" s="351" t="s">
        <v>57</v>
      </c>
      <c r="C302" s="350" t="s">
        <v>58</v>
      </c>
      <c r="D302" s="469" t="s">
        <v>59</v>
      </c>
      <c r="E302" s="470"/>
      <c r="F302" s="471"/>
      <c r="G302" s="457" t="str">
        <f>UPPER(TEXT(B300,"MMM-YY"))</f>
        <v>SEP-26</v>
      </c>
      <c r="H302"/>
      <c r="I302"/>
      <c r="J302"/>
    </row>
    <row r="303" spans="1:12" x14ac:dyDescent="0.35">
      <c r="B303" s="472" t="s">
        <v>60</v>
      </c>
      <c r="C303" s="474" t="s">
        <v>61</v>
      </c>
      <c r="D303" s="474" t="s">
        <v>62</v>
      </c>
      <c r="E303" s="476" t="str">
        <f>SEP!Q4</f>
        <v>OMSET SEP
 (1-21)</v>
      </c>
      <c r="F303" s="472" t="s">
        <v>65</v>
      </c>
      <c r="G303" s="351" t="s">
        <v>66</v>
      </c>
      <c r="H303"/>
      <c r="I303"/>
      <c r="J303"/>
    </row>
    <row r="304" spans="1:12" x14ac:dyDescent="0.35">
      <c r="B304" s="473"/>
      <c r="C304" s="475"/>
      <c r="D304" s="475"/>
      <c r="E304" s="477"/>
      <c r="F304" s="473"/>
      <c r="G304" s="282">
        <f>SEP!H4</f>
        <v>0.7</v>
      </c>
      <c r="H304"/>
      <c r="I304"/>
      <c r="J304"/>
    </row>
    <row r="305" spans="2:10" x14ac:dyDescent="0.35">
      <c r="B305" s="261" t="s">
        <v>67</v>
      </c>
      <c r="C305" s="262">
        <v>2000000000</v>
      </c>
      <c r="D305" s="264">
        <v>12</v>
      </c>
      <c r="E305" s="263">
        <v>564816705.76530015</v>
      </c>
      <c r="F305" s="265">
        <f t="shared" ref="F305:F313" si="65">E305-C305</f>
        <v>-1435183294.2346997</v>
      </c>
      <c r="G305" s="266">
        <f t="shared" ref="G305:G313" si="66">E305/C305</f>
        <v>0.28240835288265009</v>
      </c>
      <c r="H305"/>
      <c r="I305"/>
      <c r="J305"/>
    </row>
    <row r="306" spans="2:10" x14ac:dyDescent="0.35">
      <c r="B306" s="257" t="s">
        <v>68</v>
      </c>
      <c r="C306" s="267">
        <v>1000000000</v>
      </c>
      <c r="D306" s="269">
        <v>7</v>
      </c>
      <c r="E306" s="268">
        <v>200050360.3603</v>
      </c>
      <c r="F306" s="171">
        <f t="shared" si="65"/>
        <v>-799949639.63969994</v>
      </c>
      <c r="G306" s="270">
        <f t="shared" si="66"/>
        <v>0.20005036036029999</v>
      </c>
      <c r="H306"/>
      <c r="I306"/>
      <c r="J306"/>
    </row>
    <row r="307" spans="2:10" x14ac:dyDescent="0.35">
      <c r="B307" s="257" t="s">
        <v>69</v>
      </c>
      <c r="C307" s="267">
        <v>500000000</v>
      </c>
      <c r="D307" s="269">
        <v>2</v>
      </c>
      <c r="E307" s="268">
        <v>167440990.99109998</v>
      </c>
      <c r="F307" s="171">
        <f t="shared" si="65"/>
        <v>-332559009.00890005</v>
      </c>
      <c r="G307" s="270">
        <f t="shared" si="66"/>
        <v>0.33488198198219998</v>
      </c>
      <c r="H307"/>
      <c r="I307"/>
      <c r="J307"/>
    </row>
    <row r="308" spans="2:10" x14ac:dyDescent="0.35">
      <c r="B308" s="257" t="s">
        <v>70</v>
      </c>
      <c r="C308" s="267">
        <v>500000000</v>
      </c>
      <c r="D308" s="269">
        <v>7</v>
      </c>
      <c r="E308" s="268">
        <v>168703310.81030002</v>
      </c>
      <c r="F308" s="171">
        <f t="shared" si="65"/>
        <v>-331296689.18970001</v>
      </c>
      <c r="G308" s="270">
        <f t="shared" si="66"/>
        <v>0.33740662162060003</v>
      </c>
      <c r="H308"/>
      <c r="I308"/>
      <c r="J308"/>
    </row>
    <row r="309" spans="2:10" x14ac:dyDescent="0.35">
      <c r="B309" s="257" t="s">
        <v>71</v>
      </c>
      <c r="C309" s="267">
        <v>100000000</v>
      </c>
      <c r="D309" s="269">
        <v>1</v>
      </c>
      <c r="E309" s="268">
        <v>11173873.873699998</v>
      </c>
      <c r="F309" s="171">
        <f t="shared" si="65"/>
        <v>-88826126.126300007</v>
      </c>
      <c r="G309" s="270">
        <f t="shared" si="66"/>
        <v>0.11173873873699998</v>
      </c>
      <c r="H309"/>
      <c r="I309"/>
      <c r="J309"/>
    </row>
    <row r="310" spans="2:10" x14ac:dyDescent="0.35">
      <c r="B310" s="257" t="s">
        <v>72</v>
      </c>
      <c r="C310" s="267">
        <v>100000000</v>
      </c>
      <c r="D310" s="269"/>
      <c r="E310" s="268"/>
      <c r="F310" s="171">
        <f t="shared" si="65"/>
        <v>-100000000</v>
      </c>
      <c r="G310" s="270">
        <f t="shared" si="66"/>
        <v>0</v>
      </c>
      <c r="H310"/>
      <c r="I310"/>
      <c r="J310"/>
    </row>
    <row r="311" spans="2:10" x14ac:dyDescent="0.35">
      <c r="B311" s="257" t="s">
        <v>73</v>
      </c>
      <c r="C311" s="267">
        <v>200000000</v>
      </c>
      <c r="D311" s="269">
        <v>1</v>
      </c>
      <c r="E311" s="268">
        <v>6954954.9549000002</v>
      </c>
      <c r="F311" s="171">
        <f t="shared" si="65"/>
        <v>-193045045.0451</v>
      </c>
      <c r="G311" s="270">
        <f t="shared" si="66"/>
        <v>3.47747747745E-2</v>
      </c>
      <c r="H311"/>
      <c r="I311"/>
      <c r="J311"/>
    </row>
    <row r="312" spans="2:10" x14ac:dyDescent="0.35">
      <c r="B312" s="257" t="s">
        <v>74</v>
      </c>
      <c r="C312" s="267">
        <v>500000000</v>
      </c>
      <c r="D312" s="269">
        <v>2</v>
      </c>
      <c r="E312" s="268">
        <v>114307207.20729996</v>
      </c>
      <c r="F312" s="171">
        <f t="shared" si="65"/>
        <v>-385692792.79270005</v>
      </c>
      <c r="G312" s="270">
        <f t="shared" si="66"/>
        <v>0.22861441441459993</v>
      </c>
      <c r="H312"/>
      <c r="I312"/>
      <c r="J312"/>
    </row>
    <row r="313" spans="2:10" x14ac:dyDescent="0.35">
      <c r="B313" s="257" t="s">
        <v>75</v>
      </c>
      <c r="C313" s="267">
        <v>600000000</v>
      </c>
      <c r="D313" s="269">
        <v>1</v>
      </c>
      <c r="E313" s="323">
        <v>35948581.081100002</v>
      </c>
      <c r="F313" s="171">
        <f t="shared" si="65"/>
        <v>-564051418.91890001</v>
      </c>
      <c r="G313" s="270">
        <f t="shared" si="66"/>
        <v>5.9914301801833339E-2</v>
      </c>
      <c r="H313"/>
      <c r="I313"/>
      <c r="J313"/>
    </row>
    <row r="314" spans="2:10" x14ac:dyDescent="0.35">
      <c r="B314" s="257" t="s">
        <v>76</v>
      </c>
      <c r="C314" s="267"/>
      <c r="D314" s="269"/>
      <c r="E314" s="323"/>
      <c r="F314" s="171"/>
      <c r="G314" s="270"/>
      <c r="H314"/>
      <c r="I314"/>
      <c r="J314"/>
    </row>
    <row r="315" spans="2:10" x14ac:dyDescent="0.35">
      <c r="B315" s="320" t="s">
        <v>77</v>
      </c>
      <c r="C315" s="321">
        <f t="shared" ref="C315" si="67">SUM(C305:C313)</f>
        <v>5500000000</v>
      </c>
      <c r="D315" s="321">
        <f>SUM(D305:D314)</f>
        <v>33</v>
      </c>
      <c r="E315" s="321">
        <f>SUM(E305:E314)</f>
        <v>1269395985.0439999</v>
      </c>
      <c r="F315" s="321">
        <f t="shared" ref="F315" si="68">E315-C315</f>
        <v>-4230604014.9560003</v>
      </c>
      <c r="G315" s="322">
        <f t="shared" ref="G315" si="69">E315/C315</f>
        <v>0.23079927000799999</v>
      </c>
      <c r="H315"/>
      <c r="I315" s="3"/>
      <c r="J315"/>
    </row>
    <row r="316" spans="2:10" ht="7.5" customHeight="1" x14ac:dyDescent="0.35">
      <c r="H316"/>
      <c r="I316"/>
      <c r="J316"/>
    </row>
    <row r="317" spans="2:10" x14ac:dyDescent="0.35">
      <c r="B317" s="351" t="s">
        <v>57</v>
      </c>
      <c r="C317" s="350" t="str">
        <f>C302</f>
        <v>STEVEN</v>
      </c>
      <c r="D317" s="469" t="s">
        <v>78</v>
      </c>
      <c r="E317" s="470"/>
      <c r="F317" s="471" t="e">
        <f>UPPER(TEXT('AGPn-Harian'!#REF!,"MMM-YY"))</f>
        <v>#REF!</v>
      </c>
      <c r="G317" s="457" t="str">
        <f>G302</f>
        <v>SEP-26</v>
      </c>
      <c r="H317"/>
      <c r="I317"/>
      <c r="J317"/>
    </row>
    <row r="318" spans="2:10" x14ac:dyDescent="0.35">
      <c r="B318" s="472" t="s">
        <v>60</v>
      </c>
      <c r="C318" s="474" t="s">
        <v>61</v>
      </c>
      <c r="D318" s="474" t="s">
        <v>62</v>
      </c>
      <c r="E318" s="476" t="str">
        <f>E303</f>
        <v>OMSET SEP
 (1-21)</v>
      </c>
      <c r="F318" s="472" t="s">
        <v>65</v>
      </c>
      <c r="G318" s="351" t="s">
        <v>66</v>
      </c>
      <c r="H318"/>
      <c r="I318"/>
      <c r="J318"/>
    </row>
    <row r="319" spans="2:10" x14ac:dyDescent="0.35">
      <c r="B319" s="473"/>
      <c r="C319" s="475"/>
      <c r="D319" s="475"/>
      <c r="E319" s="477"/>
      <c r="F319" s="473"/>
      <c r="G319" s="282">
        <f>G304</f>
        <v>0.7</v>
      </c>
      <c r="H319"/>
      <c r="I319"/>
      <c r="J319"/>
    </row>
    <row r="320" spans="2:10" x14ac:dyDescent="0.35">
      <c r="B320" s="261" t="s">
        <v>79</v>
      </c>
      <c r="C320" s="262">
        <v>2000000000</v>
      </c>
      <c r="D320" s="341">
        <v>23</v>
      </c>
      <c r="E320" s="281">
        <v>1450004183.3323989</v>
      </c>
      <c r="F320" s="265">
        <f t="shared" ref="F320" si="70">E320-C320</f>
        <v>-549995816.66760111</v>
      </c>
      <c r="G320" s="266">
        <f t="shared" ref="G320" si="71">E320/C320</f>
        <v>0.72500209166619944</v>
      </c>
      <c r="H320"/>
      <c r="I320"/>
      <c r="J320"/>
    </row>
    <row r="321" spans="1:12" x14ac:dyDescent="0.35">
      <c r="B321" s="271"/>
      <c r="C321" s="272"/>
      <c r="D321" s="342"/>
      <c r="E321" s="273"/>
      <c r="F321" s="275"/>
      <c r="G321" s="276"/>
      <c r="H321"/>
      <c r="I321"/>
      <c r="J321"/>
    </row>
    <row r="322" spans="1:12" x14ac:dyDescent="0.35">
      <c r="B322" s="283" t="s">
        <v>77</v>
      </c>
      <c r="C322" s="284">
        <f t="shared" ref="C322" si="72">SUM(C320:C321)</f>
        <v>2000000000</v>
      </c>
      <c r="D322" s="284">
        <f>SUM(D320:D321)</f>
        <v>23</v>
      </c>
      <c r="E322" s="284">
        <f>SUM(E320:E321)</f>
        <v>1450004183.3323989</v>
      </c>
      <c r="F322" s="284">
        <f t="shared" ref="F322" si="73">E322-C322</f>
        <v>-549995816.66760111</v>
      </c>
      <c r="G322" s="285">
        <f t="shared" ref="G322" si="74">E322/C322</f>
        <v>0.72500209166619944</v>
      </c>
      <c r="H322"/>
      <c r="I322"/>
      <c r="J322"/>
    </row>
    <row r="323" spans="1:12" ht="7.5" customHeight="1" x14ac:dyDescent="0.35">
      <c r="H323"/>
      <c r="I323"/>
      <c r="J323"/>
    </row>
    <row r="324" spans="1:12" x14ac:dyDescent="0.35">
      <c r="B324" s="351" t="s">
        <v>57</v>
      </c>
      <c r="C324" s="350" t="s">
        <v>36</v>
      </c>
      <c r="D324" s="469" t="s">
        <v>80</v>
      </c>
      <c r="E324" s="470"/>
      <c r="F324" s="471" t="e">
        <f>UPPER(TEXT('AGPn-Harian'!#REF!,"MMM-YY"))</f>
        <v>#REF!</v>
      </c>
      <c r="G324" s="457" t="str">
        <f>G302</f>
        <v>SEP-26</v>
      </c>
      <c r="H324"/>
      <c r="I324"/>
      <c r="J324"/>
    </row>
    <row r="325" spans="1:12" x14ac:dyDescent="0.35">
      <c r="B325" s="472" t="s">
        <v>60</v>
      </c>
      <c r="C325" s="474" t="s">
        <v>61</v>
      </c>
      <c r="D325" s="474" t="s">
        <v>62</v>
      </c>
      <c r="E325" s="476" t="str">
        <f>E303</f>
        <v>OMSET SEP
 (1-21)</v>
      </c>
      <c r="F325" s="472" t="s">
        <v>65</v>
      </c>
      <c r="G325" s="351" t="s">
        <v>66</v>
      </c>
      <c r="H325"/>
      <c r="I325"/>
      <c r="J325"/>
    </row>
    <row r="326" spans="1:12" x14ac:dyDescent="0.35">
      <c r="B326" s="473"/>
      <c r="C326" s="475"/>
      <c r="D326" s="475"/>
      <c r="E326" s="477"/>
      <c r="F326" s="473"/>
      <c r="G326" s="282">
        <f>G304</f>
        <v>0.7</v>
      </c>
      <c r="H326"/>
      <c r="I326"/>
      <c r="J326"/>
    </row>
    <row r="327" spans="1:12" x14ac:dyDescent="0.35">
      <c r="B327" s="261" t="s">
        <v>81</v>
      </c>
      <c r="C327" s="262">
        <v>1000000000</v>
      </c>
      <c r="D327" s="264">
        <v>35</v>
      </c>
      <c r="E327" s="263">
        <v>360678925.2244997</v>
      </c>
      <c r="F327" s="265">
        <f t="shared" ref="F327:F330" si="75">E327-C327</f>
        <v>-639321074.7755003</v>
      </c>
      <c r="G327" s="266">
        <f t="shared" ref="G327:G330" si="76">E327/C327</f>
        <v>0.36067892522449968</v>
      </c>
      <c r="H327"/>
      <c r="I327"/>
      <c r="J327"/>
    </row>
    <row r="328" spans="1:12" x14ac:dyDescent="0.35">
      <c r="B328" s="257" t="s">
        <v>82</v>
      </c>
      <c r="C328" s="267">
        <v>300000000</v>
      </c>
      <c r="D328" s="269"/>
      <c r="E328" s="268"/>
      <c r="F328" s="171">
        <f t="shared" si="75"/>
        <v>-300000000</v>
      </c>
      <c r="G328" s="270">
        <f t="shared" si="76"/>
        <v>0</v>
      </c>
      <c r="H328"/>
      <c r="I328"/>
      <c r="J328"/>
    </row>
    <row r="329" spans="1:12" x14ac:dyDescent="0.35">
      <c r="B329" s="286" t="s">
        <v>77</v>
      </c>
      <c r="C329" s="287">
        <f>SUM(C327:C328)</f>
        <v>1300000000</v>
      </c>
      <c r="D329" s="284">
        <f>SUM(D327:D328)</f>
        <v>35</v>
      </c>
      <c r="E329" s="284">
        <f>SUM(E327:E328)</f>
        <v>360678925.2244997</v>
      </c>
      <c r="F329" s="287">
        <f t="shared" si="75"/>
        <v>-939321074.7755003</v>
      </c>
      <c r="G329" s="288">
        <f t="shared" si="76"/>
        <v>0.27744532709576902</v>
      </c>
      <c r="H329"/>
      <c r="I329"/>
      <c r="J329"/>
    </row>
    <row r="330" spans="1:12" x14ac:dyDescent="0.35">
      <c r="A330" s="194">
        <f>C330/C329</f>
        <v>0.9</v>
      </c>
      <c r="B330" s="289" t="str">
        <f>B293</f>
        <v>TARGET Q3</v>
      </c>
      <c r="C330" s="182">
        <v>1170000000</v>
      </c>
      <c r="D330" s="182"/>
      <c r="E330" s="182">
        <f>E329</f>
        <v>360678925.2244997</v>
      </c>
      <c r="F330" s="182">
        <f t="shared" si="75"/>
        <v>-809321074.7755003</v>
      </c>
      <c r="G330" s="319">
        <f t="shared" si="76"/>
        <v>0.30827258566196558</v>
      </c>
      <c r="H330"/>
      <c r="I330"/>
      <c r="J330"/>
    </row>
    <row r="331" spans="1:12" customFormat="1" ht="7" customHeight="1" x14ac:dyDescent="0.35">
      <c r="L331" s="307"/>
    </row>
    <row r="332" spans="1:12" x14ac:dyDescent="0.35">
      <c r="B332" s="478" t="s">
        <v>85</v>
      </c>
      <c r="C332" s="480" t="s">
        <v>61</v>
      </c>
      <c r="D332" s="482" t="s">
        <v>62</v>
      </c>
      <c r="E332" s="484" t="str">
        <f>E303</f>
        <v>OMSET SEP
 (1-21)</v>
      </c>
      <c r="F332" s="480" t="s">
        <v>65</v>
      </c>
      <c r="G332" s="347" t="s">
        <v>66</v>
      </c>
      <c r="H332"/>
      <c r="I332"/>
      <c r="J332"/>
    </row>
    <row r="333" spans="1:12" x14ac:dyDescent="0.35">
      <c r="B333" s="478"/>
      <c r="C333" s="481"/>
      <c r="D333" s="483"/>
      <c r="E333" s="485"/>
      <c r="F333" s="481"/>
      <c r="G333" s="346">
        <f>G304</f>
        <v>0.7</v>
      </c>
      <c r="H333"/>
      <c r="I333"/>
      <c r="J333"/>
    </row>
    <row r="334" spans="1:12" ht="16" x14ac:dyDescent="0.4">
      <c r="B334" s="479"/>
      <c r="C334" s="343">
        <f>SUM(C329,C322,C315)</f>
        <v>8800000000</v>
      </c>
      <c r="D334" s="344">
        <f>SUM(D329,D322,D315)</f>
        <v>91</v>
      </c>
      <c r="E334" s="344">
        <f>SUM(E329,E322,E315)</f>
        <v>3080079093.6008987</v>
      </c>
      <c r="F334" s="344">
        <f>E334-C334</f>
        <v>-5719920906.3991013</v>
      </c>
      <c r="G334" s="345">
        <f>E334/C334</f>
        <v>0.35000898790919305</v>
      </c>
      <c r="H334"/>
      <c r="I334"/>
      <c r="J334"/>
    </row>
  </sheetData>
  <mergeCells count="283">
    <mergeCell ref="H206:I206"/>
    <mergeCell ref="B207:B208"/>
    <mergeCell ref="C207:C208"/>
    <mergeCell ref="D207:D208"/>
    <mergeCell ref="E207:E208"/>
    <mergeCell ref="F207:F208"/>
    <mergeCell ref="G207:G208"/>
    <mergeCell ref="H207:H208"/>
    <mergeCell ref="B221:B223"/>
    <mergeCell ref="C221:C222"/>
    <mergeCell ref="D221:D222"/>
    <mergeCell ref="E221:E222"/>
    <mergeCell ref="F221:F222"/>
    <mergeCell ref="G221:G222"/>
    <mergeCell ref="H221:H222"/>
    <mergeCell ref="D213:G213"/>
    <mergeCell ref="H213:I213"/>
    <mergeCell ref="B214:B215"/>
    <mergeCell ref="C214:C215"/>
    <mergeCell ref="D214:D215"/>
    <mergeCell ref="E214:E215"/>
    <mergeCell ref="F214:F215"/>
    <mergeCell ref="G214:G215"/>
    <mergeCell ref="H214:H215"/>
    <mergeCell ref="G110:G111"/>
    <mergeCell ref="H110:H111"/>
    <mergeCell ref="B110:B112"/>
    <mergeCell ref="C110:C111"/>
    <mergeCell ref="D110:D111"/>
    <mergeCell ref="E110:E111"/>
    <mergeCell ref="F110:F111"/>
    <mergeCell ref="D102:G102"/>
    <mergeCell ref="H102:I102"/>
    <mergeCell ref="B103:B104"/>
    <mergeCell ref="C103:C104"/>
    <mergeCell ref="D103:D104"/>
    <mergeCell ref="E103:E104"/>
    <mergeCell ref="F103:F104"/>
    <mergeCell ref="G103:G104"/>
    <mergeCell ref="H103:H104"/>
    <mergeCell ref="D95:G95"/>
    <mergeCell ref="H95:I95"/>
    <mergeCell ref="B96:B97"/>
    <mergeCell ref="C96:C97"/>
    <mergeCell ref="D96:D97"/>
    <mergeCell ref="E96:E97"/>
    <mergeCell ref="F96:F97"/>
    <mergeCell ref="G96:G97"/>
    <mergeCell ref="H96:H97"/>
    <mergeCell ref="B78:I78"/>
    <mergeCell ref="D80:G80"/>
    <mergeCell ref="H80:I80"/>
    <mergeCell ref="B81:B82"/>
    <mergeCell ref="C81:C82"/>
    <mergeCell ref="D81:D82"/>
    <mergeCell ref="E81:E82"/>
    <mergeCell ref="F81:F82"/>
    <mergeCell ref="G81:G82"/>
    <mergeCell ref="H81:H82"/>
    <mergeCell ref="G22:G23"/>
    <mergeCell ref="H22:H23"/>
    <mergeCell ref="E7:E8"/>
    <mergeCell ref="H28:I28"/>
    <mergeCell ref="B4:I4"/>
    <mergeCell ref="H6:I6"/>
    <mergeCell ref="H21:I21"/>
    <mergeCell ref="B2:I2"/>
    <mergeCell ref="D29:D30"/>
    <mergeCell ref="D28:G28"/>
    <mergeCell ref="D21:G21"/>
    <mergeCell ref="D6:G6"/>
    <mergeCell ref="D7:D8"/>
    <mergeCell ref="D22:D23"/>
    <mergeCell ref="B7:B8"/>
    <mergeCell ref="C7:C8"/>
    <mergeCell ref="F7:F8"/>
    <mergeCell ref="G7:G8"/>
    <mergeCell ref="H7:H8"/>
    <mergeCell ref="B22:B23"/>
    <mergeCell ref="C22:C23"/>
    <mergeCell ref="E22:E23"/>
    <mergeCell ref="F22:F23"/>
    <mergeCell ref="H36:H37"/>
    <mergeCell ref="B36:B38"/>
    <mergeCell ref="B29:B30"/>
    <mergeCell ref="C29:C30"/>
    <mergeCell ref="E29:E30"/>
    <mergeCell ref="F29:F30"/>
    <mergeCell ref="G29:G30"/>
    <mergeCell ref="H29:H30"/>
    <mergeCell ref="C36:C37"/>
    <mergeCell ref="D36:D37"/>
    <mergeCell ref="E36:E37"/>
    <mergeCell ref="F36:F37"/>
    <mergeCell ref="G36:G37"/>
    <mergeCell ref="B41:I41"/>
    <mergeCell ref="D43:G43"/>
    <mergeCell ref="H43:I43"/>
    <mergeCell ref="B44:B45"/>
    <mergeCell ref="C44:C45"/>
    <mergeCell ref="D44:D45"/>
    <mergeCell ref="E44:E45"/>
    <mergeCell ref="F44:F45"/>
    <mergeCell ref="G44:G45"/>
    <mergeCell ref="H44:H45"/>
    <mergeCell ref="D58:G58"/>
    <mergeCell ref="H58:I58"/>
    <mergeCell ref="B59:B60"/>
    <mergeCell ref="C59:C60"/>
    <mergeCell ref="D59:D60"/>
    <mergeCell ref="E59:E60"/>
    <mergeCell ref="F59:F60"/>
    <mergeCell ref="G59:G60"/>
    <mergeCell ref="H59:H60"/>
    <mergeCell ref="G73:G74"/>
    <mergeCell ref="H73:H74"/>
    <mergeCell ref="D65:G65"/>
    <mergeCell ref="H65:I65"/>
    <mergeCell ref="B66:B67"/>
    <mergeCell ref="C66:C67"/>
    <mergeCell ref="D66:D67"/>
    <mergeCell ref="E66:E67"/>
    <mergeCell ref="F66:F67"/>
    <mergeCell ref="G66:G67"/>
    <mergeCell ref="H66:H67"/>
    <mergeCell ref="B73:B75"/>
    <mergeCell ref="C73:C74"/>
    <mergeCell ref="D73:D74"/>
    <mergeCell ref="E73:E74"/>
    <mergeCell ref="F73:F74"/>
    <mergeCell ref="B115:I115"/>
    <mergeCell ref="D117:G117"/>
    <mergeCell ref="H117:I117"/>
    <mergeCell ref="B118:B119"/>
    <mergeCell ref="C118:C119"/>
    <mergeCell ref="D118:D119"/>
    <mergeCell ref="E118:E119"/>
    <mergeCell ref="F118:F119"/>
    <mergeCell ref="G118:G119"/>
    <mergeCell ref="H118:H119"/>
    <mergeCell ref="D132:G132"/>
    <mergeCell ref="H132:I132"/>
    <mergeCell ref="B133:B134"/>
    <mergeCell ref="C133:C134"/>
    <mergeCell ref="D133:D134"/>
    <mergeCell ref="E133:E134"/>
    <mergeCell ref="F133:F134"/>
    <mergeCell ref="G133:G134"/>
    <mergeCell ref="H133:H134"/>
    <mergeCell ref="B147:B149"/>
    <mergeCell ref="C147:C148"/>
    <mergeCell ref="D147:D148"/>
    <mergeCell ref="E147:E148"/>
    <mergeCell ref="F147:F148"/>
    <mergeCell ref="G147:G148"/>
    <mergeCell ref="H147:H148"/>
    <mergeCell ref="D139:G139"/>
    <mergeCell ref="H139:I139"/>
    <mergeCell ref="B140:B141"/>
    <mergeCell ref="C140:C141"/>
    <mergeCell ref="D140:D141"/>
    <mergeCell ref="E140:E141"/>
    <mergeCell ref="F140:F141"/>
    <mergeCell ref="G140:G141"/>
    <mergeCell ref="H140:H141"/>
    <mergeCell ref="B152:I152"/>
    <mergeCell ref="D154:G154"/>
    <mergeCell ref="H154:I154"/>
    <mergeCell ref="B155:B156"/>
    <mergeCell ref="C155:C156"/>
    <mergeCell ref="D155:D156"/>
    <mergeCell ref="E155:E156"/>
    <mergeCell ref="F155:F156"/>
    <mergeCell ref="G155:G156"/>
    <mergeCell ref="H155:H156"/>
    <mergeCell ref="D169:G169"/>
    <mergeCell ref="H169:I169"/>
    <mergeCell ref="B170:B171"/>
    <mergeCell ref="C170:C171"/>
    <mergeCell ref="D170:D171"/>
    <mergeCell ref="E170:E171"/>
    <mergeCell ref="F170:F171"/>
    <mergeCell ref="G170:G171"/>
    <mergeCell ref="H170:H171"/>
    <mergeCell ref="H184:H185"/>
    <mergeCell ref="D176:G176"/>
    <mergeCell ref="H176:I176"/>
    <mergeCell ref="B177:B178"/>
    <mergeCell ref="C177:C178"/>
    <mergeCell ref="D177:D178"/>
    <mergeCell ref="E177:E178"/>
    <mergeCell ref="F177:F178"/>
    <mergeCell ref="G177:G178"/>
    <mergeCell ref="H177:H178"/>
    <mergeCell ref="B229:B230"/>
    <mergeCell ref="C229:C230"/>
    <mergeCell ref="D229:D230"/>
    <mergeCell ref="E229:E230"/>
    <mergeCell ref="F229:F230"/>
    <mergeCell ref="B226:G226"/>
    <mergeCell ref="D228:F228"/>
    <mergeCell ref="B184:B186"/>
    <mergeCell ref="C184:C185"/>
    <mergeCell ref="D184:D185"/>
    <mergeCell ref="E184:E185"/>
    <mergeCell ref="F184:F185"/>
    <mergeCell ref="G184:G185"/>
    <mergeCell ref="B189:I189"/>
    <mergeCell ref="D191:G191"/>
    <mergeCell ref="H191:I191"/>
    <mergeCell ref="B192:B193"/>
    <mergeCell ref="C192:C193"/>
    <mergeCell ref="D192:D193"/>
    <mergeCell ref="E192:E193"/>
    <mergeCell ref="F192:F193"/>
    <mergeCell ref="G192:G193"/>
    <mergeCell ref="H192:H193"/>
    <mergeCell ref="D206:G206"/>
    <mergeCell ref="B258:B260"/>
    <mergeCell ref="C258:C259"/>
    <mergeCell ref="D258:D259"/>
    <mergeCell ref="E258:E259"/>
    <mergeCell ref="F258:F259"/>
    <mergeCell ref="D243:F243"/>
    <mergeCell ref="D250:F250"/>
    <mergeCell ref="B251:B252"/>
    <mergeCell ref="C251:C252"/>
    <mergeCell ref="D251:D252"/>
    <mergeCell ref="E251:E252"/>
    <mergeCell ref="F251:F252"/>
    <mergeCell ref="B244:B245"/>
    <mergeCell ref="C244:C245"/>
    <mergeCell ref="D244:D245"/>
    <mergeCell ref="E244:E245"/>
    <mergeCell ref="F244:F245"/>
    <mergeCell ref="B263:G263"/>
    <mergeCell ref="D265:F265"/>
    <mergeCell ref="B266:B267"/>
    <mergeCell ref="C266:C267"/>
    <mergeCell ref="D266:D267"/>
    <mergeCell ref="E266:E267"/>
    <mergeCell ref="F266:F267"/>
    <mergeCell ref="D280:F280"/>
    <mergeCell ref="B281:B282"/>
    <mergeCell ref="C281:C282"/>
    <mergeCell ref="D281:D282"/>
    <mergeCell ref="E281:E282"/>
    <mergeCell ref="F281:F282"/>
    <mergeCell ref="D287:F287"/>
    <mergeCell ref="B288:B289"/>
    <mergeCell ref="C288:C289"/>
    <mergeCell ref="D288:D289"/>
    <mergeCell ref="E288:E289"/>
    <mergeCell ref="F288:F289"/>
    <mergeCell ref="B295:B297"/>
    <mergeCell ref="C295:C296"/>
    <mergeCell ref="D295:D296"/>
    <mergeCell ref="E295:E296"/>
    <mergeCell ref="F295:F296"/>
    <mergeCell ref="B300:G300"/>
    <mergeCell ref="D302:F302"/>
    <mergeCell ref="B303:B304"/>
    <mergeCell ref="C303:C304"/>
    <mergeCell ref="D303:D304"/>
    <mergeCell ref="E303:E304"/>
    <mergeCell ref="F303:F304"/>
    <mergeCell ref="D317:F317"/>
    <mergeCell ref="B318:B319"/>
    <mergeCell ref="C318:C319"/>
    <mergeCell ref="D318:D319"/>
    <mergeCell ref="E318:E319"/>
    <mergeCell ref="F318:F319"/>
    <mergeCell ref="D324:F324"/>
    <mergeCell ref="B325:B326"/>
    <mergeCell ref="C325:C326"/>
    <mergeCell ref="D325:D326"/>
    <mergeCell ref="E325:E326"/>
    <mergeCell ref="F325:F326"/>
    <mergeCell ref="B332:B334"/>
    <mergeCell ref="C332:C333"/>
    <mergeCell ref="D332:D333"/>
    <mergeCell ref="E332:E333"/>
    <mergeCell ref="F332:F333"/>
  </mergeCells>
  <printOptions horizontalCentered="1"/>
  <pageMargins left="0.27559055118110198" right="0.196850393700787" top="0.35433070866141703" bottom="0.74803149606299202" header="0.31496062992126" footer="0.31496062992126"/>
  <pageSetup paperSize="9" orientation="landscape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159AC-F74D-413C-A3B6-0B49437CF1B8}">
  <sheetPr>
    <tabColor rgb="FFFF0000"/>
  </sheetPr>
  <dimension ref="B2:O48"/>
  <sheetViews>
    <sheetView showGridLines="0" topLeftCell="A25" zoomScale="70" zoomScaleNormal="70" workbookViewId="0">
      <selection activeCell="B41" sqref="B41:G48"/>
    </sheetView>
  </sheetViews>
  <sheetFormatPr defaultColWidth="8.7265625" defaultRowHeight="14.5" x14ac:dyDescent="0.35"/>
  <cols>
    <col min="1" max="1" width="8.7265625" style="194"/>
    <col min="2" max="2" width="31.7265625" style="194" bestFit="1" customWidth="1"/>
    <col min="3" max="3" width="15.81640625" style="192" customWidth="1"/>
    <col min="4" max="4" width="6.54296875" style="192" customWidth="1"/>
    <col min="5" max="5" width="15.54296875" style="192" customWidth="1"/>
    <col min="6" max="7" width="15.54296875" style="194" customWidth="1"/>
    <col min="8" max="8" width="13" style="194" bestFit="1" customWidth="1"/>
    <col min="9" max="9" width="5.7265625" style="194" customWidth="1"/>
    <col min="10" max="10" width="5.453125" style="307" customWidth="1"/>
    <col min="11" max="11" width="6.54296875" style="194" customWidth="1"/>
    <col min="12" max="12" width="11.81640625" style="191" bestFit="1" customWidth="1"/>
    <col min="13" max="13" width="8.7265625" style="194"/>
    <col min="14" max="14" width="12.7265625" style="462" bestFit="1" customWidth="1"/>
    <col min="15" max="15" width="10.1796875" style="194" bestFit="1" customWidth="1"/>
    <col min="16" max="16384" width="8.7265625" style="194"/>
  </cols>
  <sheetData>
    <row r="2" spans="2:15" ht="31" x14ac:dyDescent="0.7">
      <c r="B2" s="496" t="s">
        <v>56</v>
      </c>
      <c r="C2" s="496"/>
      <c r="D2" s="496"/>
      <c r="E2" s="496"/>
      <c r="F2" s="496"/>
      <c r="G2" s="496"/>
    </row>
    <row r="6" spans="2:15" s="188" customFormat="1" ht="28.5" x14ac:dyDescent="0.35">
      <c r="B6" s="563">
        <f>JUN!B1</f>
        <v>46203</v>
      </c>
      <c r="C6" s="564"/>
      <c r="D6" s="564"/>
      <c r="E6" s="564"/>
      <c r="F6" s="564"/>
      <c r="G6" s="564"/>
      <c r="J6" s="386"/>
      <c r="L6" s="192"/>
      <c r="N6" s="463"/>
    </row>
    <row r="7" spans="2:15" s="188" customFormat="1" ht="7.5" customHeight="1" x14ac:dyDescent="0.35">
      <c r="C7" s="192"/>
      <c r="D7" s="192"/>
      <c r="E7" s="192"/>
      <c r="J7" s="386"/>
      <c r="L7" s="192"/>
      <c r="N7" s="463"/>
    </row>
    <row r="8" spans="2:15" s="188" customFormat="1" x14ac:dyDescent="0.35">
      <c r="B8" s="378" t="s">
        <v>57</v>
      </c>
      <c r="C8" s="565" t="s">
        <v>26</v>
      </c>
      <c r="D8" s="566"/>
      <c r="E8" s="566"/>
      <c r="F8" s="567" t="str">
        <f>UPPER(TEXT('AGPn-Harian'!B189,"MMM-YY"))</f>
        <v>JUN-26</v>
      </c>
      <c r="G8" s="567"/>
      <c r="J8" s="386"/>
      <c r="L8" s="192"/>
      <c r="N8" s="463"/>
    </row>
    <row r="9" spans="2:15" s="188" customFormat="1" x14ac:dyDescent="0.35">
      <c r="B9" s="568" t="s">
        <v>60</v>
      </c>
      <c r="C9" s="570" t="s">
        <v>61</v>
      </c>
      <c r="D9" s="570" t="s">
        <v>62</v>
      </c>
      <c r="E9" s="572" t="str">
        <f>JUN!F4</f>
        <v>OMSET JUN
 (1-30)</v>
      </c>
      <c r="F9" s="568" t="s">
        <v>65</v>
      </c>
      <c r="G9" s="378" t="s">
        <v>66</v>
      </c>
      <c r="J9" s="386"/>
      <c r="L9" s="192"/>
      <c r="N9" s="463"/>
    </row>
    <row r="10" spans="2:15" s="188" customFormat="1" x14ac:dyDescent="0.35">
      <c r="B10" s="569"/>
      <c r="C10" s="571"/>
      <c r="D10" s="571"/>
      <c r="E10" s="573"/>
      <c r="F10" s="569"/>
      <c r="G10" s="379">
        <f>JUN!K4</f>
        <v>1</v>
      </c>
      <c r="J10" s="386"/>
      <c r="L10" s="192"/>
      <c r="N10" s="463"/>
    </row>
    <row r="11" spans="2:15" s="188" customFormat="1" x14ac:dyDescent="0.35">
      <c r="B11" s="387" t="s">
        <v>170</v>
      </c>
      <c r="C11" s="262"/>
      <c r="D11" s="262">
        <v>70</v>
      </c>
      <c r="E11" s="263">
        <v>507702009.18929994</v>
      </c>
      <c r="F11" s="381"/>
      <c r="G11" s="382"/>
      <c r="J11" s="386"/>
      <c r="L11" s="192"/>
      <c r="M11" s="461"/>
      <c r="N11" s="463"/>
      <c r="O11" s="465"/>
    </row>
    <row r="12" spans="2:15" s="188" customFormat="1" x14ac:dyDescent="0.35">
      <c r="B12" s="388" t="s">
        <v>171</v>
      </c>
      <c r="C12" s="267"/>
      <c r="D12" s="267">
        <v>13</v>
      </c>
      <c r="E12" s="268">
        <v>82487500.180499986</v>
      </c>
      <c r="F12" s="226"/>
      <c r="G12" s="383"/>
      <c r="J12" s="386"/>
      <c r="L12" s="192"/>
      <c r="M12" s="461"/>
      <c r="N12" s="463"/>
      <c r="O12" s="465"/>
    </row>
    <row r="13" spans="2:15" s="188" customFormat="1" x14ac:dyDescent="0.35">
      <c r="B13" s="388" t="s">
        <v>172</v>
      </c>
      <c r="C13" s="267"/>
      <c r="D13" s="267">
        <v>4</v>
      </c>
      <c r="E13" s="268">
        <v>8427020</v>
      </c>
      <c r="F13" s="226"/>
      <c r="G13" s="383"/>
      <c r="J13" s="386"/>
      <c r="L13" s="192"/>
      <c r="M13" s="461"/>
      <c r="N13" s="463"/>
      <c r="O13" s="465"/>
    </row>
    <row r="14" spans="2:15" s="188" customFormat="1" ht="19" customHeight="1" x14ac:dyDescent="0.35">
      <c r="B14" s="384" t="s">
        <v>77</v>
      </c>
      <c r="C14" s="380">
        <v>500000000</v>
      </c>
      <c r="D14" s="380">
        <f>SUM(D11:D13)</f>
        <v>87</v>
      </c>
      <c r="E14" s="380">
        <f>SUM(E11:E13)</f>
        <v>598616529.36979997</v>
      </c>
      <c r="F14" s="380">
        <f>E14-C14</f>
        <v>98616529.369799972</v>
      </c>
      <c r="G14" s="385">
        <f>E14/C14</f>
        <v>1.1972330587395998</v>
      </c>
      <c r="J14" s="386"/>
      <c r="L14" s="192"/>
      <c r="N14" s="463"/>
    </row>
    <row r="15" spans="2:15" ht="7.5" customHeight="1" x14ac:dyDescent="0.35"/>
    <row r="16" spans="2:15" customFormat="1" ht="7" customHeight="1" x14ac:dyDescent="0.35">
      <c r="J16" s="357"/>
      <c r="L16" s="3"/>
      <c r="N16" s="464"/>
    </row>
    <row r="18" spans="2:15" s="188" customFormat="1" ht="28.5" x14ac:dyDescent="0.35">
      <c r="B18" s="563">
        <f>JUL!B1</f>
        <v>46234</v>
      </c>
      <c r="C18" s="564"/>
      <c r="D18" s="564"/>
      <c r="E18" s="564"/>
      <c r="F18" s="564"/>
      <c r="G18" s="564"/>
      <c r="J18" s="386"/>
      <c r="L18" s="192"/>
      <c r="N18" s="463"/>
    </row>
    <row r="19" spans="2:15" s="188" customFormat="1" ht="7.5" customHeight="1" x14ac:dyDescent="0.35">
      <c r="C19" s="192"/>
      <c r="D19" s="192"/>
      <c r="E19" s="192"/>
      <c r="J19" s="386"/>
      <c r="L19" s="192"/>
      <c r="N19" s="463"/>
    </row>
    <row r="20" spans="2:15" s="188" customFormat="1" x14ac:dyDescent="0.35">
      <c r="B20" s="378" t="s">
        <v>57</v>
      </c>
      <c r="C20" s="565" t="s">
        <v>26</v>
      </c>
      <c r="D20" s="566"/>
      <c r="E20" s="566"/>
      <c r="F20" s="567" t="str">
        <f>'AGPn-Harian'!G228</f>
        <v>JUL-26</v>
      </c>
      <c r="G20" s="567"/>
      <c r="J20" s="386"/>
      <c r="L20" s="192"/>
      <c r="N20" s="463"/>
    </row>
    <row r="21" spans="2:15" s="188" customFormat="1" x14ac:dyDescent="0.35">
      <c r="B21" s="568" t="s">
        <v>60</v>
      </c>
      <c r="C21" s="570" t="s">
        <v>61</v>
      </c>
      <c r="D21" s="570" t="s">
        <v>62</v>
      </c>
      <c r="E21" s="572" t="str">
        <f>JUL!F4</f>
        <v>OMSET JUL
 (1-31)</v>
      </c>
      <c r="F21" s="568" t="s">
        <v>65</v>
      </c>
      <c r="G21" s="378" t="s">
        <v>66</v>
      </c>
      <c r="J21" s="386"/>
      <c r="L21" s="192"/>
      <c r="N21" s="463"/>
    </row>
    <row r="22" spans="2:15" s="188" customFormat="1" x14ac:dyDescent="0.35">
      <c r="B22" s="569"/>
      <c r="C22" s="571"/>
      <c r="D22" s="571"/>
      <c r="E22" s="573"/>
      <c r="F22" s="569"/>
      <c r="G22" s="379">
        <f>JUL!H4</f>
        <v>1</v>
      </c>
      <c r="J22" s="386"/>
      <c r="L22" s="192"/>
      <c r="N22" s="463"/>
    </row>
    <row r="23" spans="2:15" s="188" customFormat="1" x14ac:dyDescent="0.35">
      <c r="B23" s="387" t="s">
        <v>170</v>
      </c>
      <c r="C23" s="262"/>
      <c r="D23" s="262">
        <v>73</v>
      </c>
      <c r="E23" s="263">
        <v>473818866.11790013</v>
      </c>
      <c r="F23" s="381"/>
      <c r="G23" s="382"/>
      <c r="J23" s="386"/>
      <c r="L23" s="192"/>
      <c r="M23" s="461"/>
      <c r="N23" s="463"/>
      <c r="O23" s="465"/>
    </row>
    <row r="24" spans="2:15" s="188" customFormat="1" x14ac:dyDescent="0.35">
      <c r="B24" s="388" t="s">
        <v>171</v>
      </c>
      <c r="C24" s="267"/>
      <c r="D24" s="267">
        <v>16</v>
      </c>
      <c r="E24" s="268">
        <v>76590818.693300024</v>
      </c>
      <c r="F24" s="226"/>
      <c r="G24" s="383"/>
      <c r="J24" s="386"/>
      <c r="L24" s="192"/>
      <c r="M24" s="461"/>
      <c r="N24" s="463"/>
      <c r="O24" s="465"/>
    </row>
    <row r="25" spans="2:15" s="188" customFormat="1" x14ac:dyDescent="0.35">
      <c r="B25" s="388" t="s">
        <v>172</v>
      </c>
      <c r="C25" s="267"/>
      <c r="D25" s="267">
        <v>6</v>
      </c>
      <c r="E25" s="268">
        <v>21790972.972900003</v>
      </c>
      <c r="F25" s="226"/>
      <c r="G25" s="383"/>
      <c r="J25" s="386"/>
      <c r="L25" s="192"/>
      <c r="M25" s="461"/>
      <c r="N25" s="463"/>
      <c r="O25" s="465"/>
    </row>
    <row r="26" spans="2:15" s="188" customFormat="1" ht="19" customHeight="1" x14ac:dyDescent="0.35">
      <c r="B26" s="384" t="s">
        <v>77</v>
      </c>
      <c r="C26" s="380">
        <v>500000000</v>
      </c>
      <c r="D26" s="380">
        <f>SUM(D23:D25)</f>
        <v>95</v>
      </c>
      <c r="E26" s="380">
        <f>SUM(E23:E25)</f>
        <v>572200657.78410017</v>
      </c>
      <c r="F26" s="380">
        <f>E26-C26</f>
        <v>72200657.784100175</v>
      </c>
      <c r="G26" s="385">
        <f>E26/C26</f>
        <v>1.1444013155682002</v>
      </c>
      <c r="J26" s="386"/>
      <c r="L26" s="192"/>
      <c r="N26" s="463"/>
    </row>
    <row r="27" spans="2:15" ht="7.5" customHeight="1" x14ac:dyDescent="0.35"/>
    <row r="28" spans="2:15" customFormat="1" ht="7" customHeight="1" x14ac:dyDescent="0.35">
      <c r="J28" s="357"/>
      <c r="L28" s="3"/>
      <c r="N28" s="464"/>
    </row>
    <row r="30" spans="2:15" s="188" customFormat="1" ht="28.5" x14ac:dyDescent="0.35">
      <c r="B30" s="563">
        <f>AGS!B1</f>
        <v>46265</v>
      </c>
      <c r="C30" s="564"/>
      <c r="D30" s="564"/>
      <c r="E30" s="564"/>
      <c r="F30" s="564"/>
      <c r="G30" s="564"/>
      <c r="J30" s="386"/>
      <c r="L30" s="192"/>
      <c r="N30" s="463"/>
    </row>
    <row r="31" spans="2:15" s="188" customFormat="1" ht="7.5" customHeight="1" x14ac:dyDescent="0.35">
      <c r="C31" s="192"/>
      <c r="D31" s="192"/>
      <c r="E31" s="192"/>
      <c r="J31" s="386"/>
      <c r="L31" s="192"/>
      <c r="N31" s="463"/>
    </row>
    <row r="32" spans="2:15" s="188" customFormat="1" x14ac:dyDescent="0.35">
      <c r="B32" s="378" t="s">
        <v>57</v>
      </c>
      <c r="C32" s="565" t="s">
        <v>26</v>
      </c>
      <c r="D32" s="566"/>
      <c r="E32" s="566"/>
      <c r="F32" s="567" t="str">
        <f>'AGPn-Harian'!G265</f>
        <v>AGU-26</v>
      </c>
      <c r="G32" s="567"/>
      <c r="J32" s="386"/>
      <c r="L32" s="192"/>
      <c r="N32" s="463"/>
    </row>
    <row r="33" spans="2:15" s="188" customFormat="1" x14ac:dyDescent="0.35">
      <c r="B33" s="568" t="s">
        <v>60</v>
      </c>
      <c r="C33" s="570" t="s">
        <v>61</v>
      </c>
      <c r="D33" s="570" t="s">
        <v>62</v>
      </c>
      <c r="E33" s="572" t="str">
        <f>AGS!F15</f>
        <v>OMSET AGU
 (1-31)</v>
      </c>
      <c r="F33" s="568" t="s">
        <v>65</v>
      </c>
      <c r="G33" s="378" t="s">
        <v>66</v>
      </c>
      <c r="J33" s="386"/>
      <c r="L33" s="192"/>
      <c r="N33" s="463"/>
    </row>
    <row r="34" spans="2:15" s="188" customFormat="1" x14ac:dyDescent="0.35">
      <c r="B34" s="569"/>
      <c r="C34" s="571"/>
      <c r="D34" s="571"/>
      <c r="E34" s="573"/>
      <c r="F34" s="569"/>
      <c r="G34" s="379">
        <f>AGS!H4</f>
        <v>1</v>
      </c>
      <c r="J34" s="386"/>
      <c r="L34" s="192"/>
      <c r="N34" s="463"/>
    </row>
    <row r="35" spans="2:15" s="188" customFormat="1" x14ac:dyDescent="0.35">
      <c r="B35" s="387" t="s">
        <v>170</v>
      </c>
      <c r="C35" s="262"/>
      <c r="D35" s="262">
        <v>77</v>
      </c>
      <c r="E35" s="263">
        <v>518219567.55040008</v>
      </c>
      <c r="F35" s="381"/>
      <c r="G35" s="382"/>
      <c r="J35" s="386"/>
      <c r="L35" s="192"/>
      <c r="M35" s="461"/>
      <c r="N35" s="463"/>
      <c r="O35" s="465"/>
    </row>
    <row r="36" spans="2:15" s="188" customFormat="1" x14ac:dyDescent="0.35">
      <c r="B36" s="388" t="s">
        <v>171</v>
      </c>
      <c r="C36" s="267"/>
      <c r="D36" s="267">
        <v>27</v>
      </c>
      <c r="E36" s="268">
        <v>141779788.0623</v>
      </c>
      <c r="F36" s="226"/>
      <c r="G36" s="383"/>
      <c r="J36" s="386"/>
      <c r="L36" s="192"/>
      <c r="M36" s="461"/>
      <c r="N36" s="463"/>
      <c r="O36" s="465"/>
    </row>
    <row r="37" spans="2:15" s="188" customFormat="1" ht="19" customHeight="1" x14ac:dyDescent="0.35">
      <c r="B37" s="384" t="s">
        <v>77</v>
      </c>
      <c r="C37" s="380">
        <v>500000000</v>
      </c>
      <c r="D37" s="380">
        <f>SUM(D35:D36)</f>
        <v>104</v>
      </c>
      <c r="E37" s="380">
        <f>SUM(E35:E36)</f>
        <v>659999355.6127001</v>
      </c>
      <c r="F37" s="380">
        <f>E37-C37</f>
        <v>159999355.6127001</v>
      </c>
      <c r="G37" s="385">
        <f>E37/C37</f>
        <v>1.3199987112254001</v>
      </c>
      <c r="J37" s="386"/>
      <c r="L37" s="192"/>
      <c r="N37" s="463"/>
    </row>
    <row r="38" spans="2:15" ht="7.5" customHeight="1" x14ac:dyDescent="0.35"/>
    <row r="39" spans="2:15" customFormat="1" ht="7" customHeight="1" x14ac:dyDescent="0.35">
      <c r="J39" s="357"/>
      <c r="L39" s="3"/>
      <c r="N39" s="464"/>
    </row>
    <row r="41" spans="2:15" s="188" customFormat="1" ht="28.5" x14ac:dyDescent="0.35">
      <c r="B41" s="563">
        <f>SEP!B1</f>
        <v>46286</v>
      </c>
      <c r="C41" s="564"/>
      <c r="D41" s="564"/>
      <c r="E41" s="564"/>
      <c r="F41" s="564"/>
      <c r="G41" s="564"/>
      <c r="J41" s="386"/>
      <c r="L41" s="192"/>
      <c r="N41" s="463"/>
    </row>
    <row r="42" spans="2:15" s="188" customFormat="1" ht="7.5" customHeight="1" x14ac:dyDescent="0.35">
      <c r="C42" s="192"/>
      <c r="D42" s="192"/>
      <c r="E42" s="192"/>
      <c r="J42" s="386"/>
      <c r="L42" s="192"/>
      <c r="N42" s="463"/>
    </row>
    <row r="43" spans="2:15" s="188" customFormat="1" x14ac:dyDescent="0.35">
      <c r="B43" s="378" t="s">
        <v>57</v>
      </c>
      <c r="C43" s="565" t="s">
        <v>26</v>
      </c>
      <c r="D43" s="566"/>
      <c r="E43" s="566"/>
      <c r="F43" s="567"/>
      <c r="G43" s="567"/>
      <c r="J43" s="386"/>
      <c r="L43" s="192"/>
      <c r="N43" s="463"/>
    </row>
    <row r="44" spans="2:15" s="188" customFormat="1" x14ac:dyDescent="0.35">
      <c r="B44" s="568" t="s">
        <v>60</v>
      </c>
      <c r="C44" s="570" t="s">
        <v>61</v>
      </c>
      <c r="D44" s="570" t="s">
        <v>62</v>
      </c>
      <c r="E44" s="572" t="str">
        <f>SEP!Q4</f>
        <v>OMSET SEP
 (1-21)</v>
      </c>
      <c r="F44" s="568" t="s">
        <v>65</v>
      </c>
      <c r="G44" s="378" t="s">
        <v>66</v>
      </c>
      <c r="J44" s="386"/>
      <c r="L44" s="192"/>
      <c r="N44" s="463"/>
    </row>
    <row r="45" spans="2:15" s="188" customFormat="1" x14ac:dyDescent="0.35">
      <c r="B45" s="569"/>
      <c r="C45" s="571"/>
      <c r="D45" s="571"/>
      <c r="E45" s="573"/>
      <c r="F45" s="569"/>
      <c r="G45" s="379">
        <f>SEP!S4</f>
        <v>0.7</v>
      </c>
      <c r="J45" s="386"/>
      <c r="L45" s="192"/>
      <c r="N45" s="463"/>
    </row>
    <row r="46" spans="2:15" s="188" customFormat="1" x14ac:dyDescent="0.35">
      <c r="B46" s="387" t="s">
        <v>170</v>
      </c>
      <c r="C46" s="262"/>
      <c r="D46" s="262">
        <v>62</v>
      </c>
      <c r="E46" s="263">
        <v>398222040.6220001</v>
      </c>
      <c r="F46" s="381"/>
      <c r="G46" s="382"/>
      <c r="J46" s="386"/>
      <c r="L46" s="192"/>
      <c r="M46" s="461"/>
      <c r="N46" s="463"/>
      <c r="O46" s="465"/>
    </row>
    <row r="47" spans="2:15" s="188" customFormat="1" x14ac:dyDescent="0.35">
      <c r="B47" s="388" t="s">
        <v>171</v>
      </c>
      <c r="C47" s="267"/>
      <c r="D47" s="267">
        <v>29</v>
      </c>
      <c r="E47" s="268">
        <v>166631675.94550002</v>
      </c>
      <c r="F47" s="226"/>
      <c r="G47" s="383"/>
      <c r="J47" s="386"/>
      <c r="L47" s="192"/>
      <c r="M47" s="461"/>
      <c r="N47" s="463"/>
      <c r="O47" s="465"/>
    </row>
    <row r="48" spans="2:15" s="188" customFormat="1" ht="19" customHeight="1" x14ac:dyDescent="0.35">
      <c r="B48" s="384" t="s">
        <v>77</v>
      </c>
      <c r="C48" s="380">
        <v>500000000</v>
      </c>
      <c r="D48" s="380">
        <f>SUM(D46:D47)</f>
        <v>91</v>
      </c>
      <c r="E48" s="380">
        <f>SUM(E46:E47)</f>
        <v>564853716.56750011</v>
      </c>
      <c r="F48" s="380">
        <f>E48-C48</f>
        <v>64853716.567500114</v>
      </c>
      <c r="G48" s="385">
        <f>E48/C48</f>
        <v>1.1297074331350003</v>
      </c>
      <c r="J48" s="386"/>
      <c r="L48" s="192"/>
      <c r="N48" s="463"/>
    </row>
  </sheetData>
  <mergeCells count="33">
    <mergeCell ref="B2:G2"/>
    <mergeCell ref="C8:E8"/>
    <mergeCell ref="F9:F10"/>
    <mergeCell ref="B6:G6"/>
    <mergeCell ref="F8:G8"/>
    <mergeCell ref="B9:B10"/>
    <mergeCell ref="C9:C10"/>
    <mergeCell ref="D9:D10"/>
    <mergeCell ref="E9:E10"/>
    <mergeCell ref="B18:G18"/>
    <mergeCell ref="C20:E20"/>
    <mergeCell ref="F20:G20"/>
    <mergeCell ref="B21:B22"/>
    <mergeCell ref="C21:C22"/>
    <mergeCell ref="D21:D22"/>
    <mergeCell ref="E21:E22"/>
    <mergeCell ref="F21:F22"/>
    <mergeCell ref="B30:G30"/>
    <mergeCell ref="C32:E32"/>
    <mergeCell ref="F32:G32"/>
    <mergeCell ref="B33:B34"/>
    <mergeCell ref="C33:C34"/>
    <mergeCell ref="D33:D34"/>
    <mergeCell ref="E33:E34"/>
    <mergeCell ref="F33:F34"/>
    <mergeCell ref="B41:G41"/>
    <mergeCell ref="C43:E43"/>
    <mergeCell ref="F43:G43"/>
    <mergeCell ref="B44:B45"/>
    <mergeCell ref="C44:C45"/>
    <mergeCell ref="D44:D45"/>
    <mergeCell ref="E44:E45"/>
    <mergeCell ref="F44:F4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I146"/>
  <sheetViews>
    <sheetView showGridLines="0" topLeftCell="A17" zoomScale="74" zoomScaleNormal="85" workbookViewId="0">
      <selection activeCell="F29" sqref="F29"/>
    </sheetView>
  </sheetViews>
  <sheetFormatPr defaultColWidth="8.7265625" defaultRowHeight="14.5" x14ac:dyDescent="0.35"/>
  <cols>
    <col min="1" max="1" width="8.7265625" style="194"/>
    <col min="2" max="2" width="17" style="194" customWidth="1"/>
    <col min="3" max="3" width="14.81640625" style="186" bestFit="1" customWidth="1"/>
    <col min="4" max="4" width="8.1796875" style="187" customWidth="1"/>
    <col min="5" max="5" width="8" style="188" customWidth="1"/>
    <col min="6" max="6" width="16.1796875" style="189" customWidth="1"/>
    <col min="7" max="7" width="16.1796875" style="190" customWidth="1"/>
    <col min="8" max="9" width="16.1796875" style="186" customWidth="1"/>
    <col min="10" max="10" width="15.1796875" style="191" customWidth="1"/>
    <col min="11" max="11" width="16.1796875" style="187" customWidth="1"/>
    <col min="12" max="12" width="16.453125" style="192" customWidth="1"/>
    <col min="13" max="13" width="18.7265625" style="193" bestFit="1" customWidth="1"/>
    <col min="14" max="14" width="18.54296875" style="194" customWidth="1"/>
    <col min="15" max="15" width="11.81640625" style="194" bestFit="1" customWidth="1"/>
    <col min="16" max="16" width="17.1796875" style="194" customWidth="1"/>
    <col min="17" max="17" width="15.1796875" style="187" customWidth="1"/>
    <col min="18" max="18" width="8.1796875" style="195" customWidth="1"/>
    <col min="19" max="19" width="8.1796875" style="187" customWidth="1"/>
    <col min="20" max="20" width="15.1796875" style="189" customWidth="1"/>
    <col min="21" max="21" width="15.1796875" style="190" customWidth="1"/>
    <col min="22" max="24" width="15.1796875" style="186" customWidth="1"/>
    <col min="25" max="25" width="16.1796875" style="187" customWidth="1"/>
    <col min="26" max="26" width="15.7265625" style="186" customWidth="1"/>
    <col min="27" max="27" width="18.54296875" style="196" customWidth="1"/>
    <col min="28" max="28" width="14" style="194" bestFit="1" customWidth="1"/>
    <col min="29" max="29" width="12.54296875" style="194" customWidth="1"/>
    <col min="30" max="30" width="13" style="194" bestFit="1" customWidth="1"/>
    <col min="31" max="33" width="9.1796875" style="194" hidden="1" customWidth="1"/>
    <col min="34" max="34" width="7.7265625" style="194" hidden="1" customWidth="1"/>
    <col min="35" max="35" width="22.1796875" style="194" hidden="1" customWidth="1"/>
    <col min="36" max="36" width="24.1796875" style="194" customWidth="1"/>
    <col min="37" max="37" width="16" style="194" customWidth="1"/>
    <col min="38" max="38" width="12.54296875" style="194" bestFit="1" customWidth="1"/>
    <col min="39" max="40" width="18.26953125" style="194" customWidth="1"/>
    <col min="41" max="41" width="12.54296875" style="194" bestFit="1" customWidth="1"/>
    <col min="42" max="42" width="13.81640625" style="194" bestFit="1" customWidth="1"/>
    <col min="43" max="43" width="14.54296875" style="194" customWidth="1"/>
    <col min="44" max="16384" width="8.7265625" style="194"/>
  </cols>
  <sheetData>
    <row r="1" spans="1:28" ht="15" thickBot="1" x14ac:dyDescent="0.4">
      <c r="A1" s="184" t="s">
        <v>88</v>
      </c>
      <c r="B1" s="185">
        <v>46053</v>
      </c>
    </row>
    <row r="2" spans="1:28" ht="15" thickBot="1" x14ac:dyDescent="0.4">
      <c r="G2" s="190" t="s">
        <v>89</v>
      </c>
      <c r="W2" s="194"/>
    </row>
    <row r="3" spans="1:28" ht="19.5" customHeight="1" x14ac:dyDescent="0.35">
      <c r="A3" s="627">
        <v>1</v>
      </c>
      <c r="B3" s="352" t="s">
        <v>57</v>
      </c>
      <c r="C3" s="353" t="s">
        <v>90</v>
      </c>
      <c r="D3" s="616" t="s">
        <v>91</v>
      </c>
      <c r="E3" s="616" t="s">
        <v>62</v>
      </c>
      <c r="F3" s="604" t="s">
        <v>92</v>
      </c>
      <c r="G3" s="605"/>
      <c r="H3" s="605"/>
      <c r="I3" s="606"/>
      <c r="J3" s="587" t="s">
        <v>65</v>
      </c>
      <c r="K3" s="352" t="s">
        <v>66</v>
      </c>
      <c r="O3" s="613">
        <v>1</v>
      </c>
      <c r="P3" s="354" t="s">
        <v>57</v>
      </c>
      <c r="Q3" s="355" t="s">
        <v>49</v>
      </c>
      <c r="R3" s="591" t="s">
        <v>91</v>
      </c>
      <c r="S3" s="591" t="s">
        <v>62</v>
      </c>
      <c r="T3" s="610" t="s">
        <v>92</v>
      </c>
      <c r="U3" s="611"/>
      <c r="V3" s="611"/>
      <c r="W3" s="612"/>
      <c r="X3" s="595" t="s">
        <v>65</v>
      </c>
      <c r="Y3" s="354" t="s">
        <v>66</v>
      </c>
    </row>
    <row r="4" spans="1:28" s="199" customFormat="1" ht="36" customHeight="1" x14ac:dyDescent="0.35">
      <c r="A4" s="628"/>
      <c r="B4" s="352" t="s">
        <v>93</v>
      </c>
      <c r="C4" s="353" t="s">
        <v>94</v>
      </c>
      <c r="D4" s="617"/>
      <c r="E4" s="617"/>
      <c r="F4" s="163" t="str">
        <f>"OMSET "&amp;UPPER(TEXT($B$1,"MMM"))&amp;CHAR(10)&amp;" (1-"&amp;DAY($B$1)&amp;")"</f>
        <v>OMSET JAN
 (1-31)</v>
      </c>
      <c r="G4" s="163" t="s">
        <v>95</v>
      </c>
      <c r="H4" s="353" t="s">
        <v>63</v>
      </c>
      <c r="I4" s="353" t="s">
        <v>64</v>
      </c>
      <c r="J4" s="587"/>
      <c r="K4" s="164">
        <f>100/DAY(EOMONTH($B$1,0))*DAY($B$1)/100</f>
        <v>1</v>
      </c>
      <c r="L4" s="197"/>
      <c r="M4" s="198"/>
      <c r="O4" s="614"/>
      <c r="P4" s="354" t="s">
        <v>93</v>
      </c>
      <c r="Q4" s="355" t="s">
        <v>94</v>
      </c>
      <c r="R4" s="592"/>
      <c r="S4" s="592"/>
      <c r="T4" s="200" t="str">
        <f>F4</f>
        <v>OMSET JAN
 (1-31)</v>
      </c>
      <c r="U4" s="200" t="str">
        <f>G4</f>
        <v>OMSET PRODUK</v>
      </c>
      <c r="V4" s="355" t="s">
        <v>63</v>
      </c>
      <c r="W4" s="355" t="s">
        <v>64</v>
      </c>
      <c r="X4" s="596"/>
      <c r="Y4" s="201">
        <f>K4</f>
        <v>1</v>
      </c>
      <c r="Z4" s="202"/>
      <c r="AA4" s="203"/>
    </row>
    <row r="5" spans="1:28" x14ac:dyDescent="0.35">
      <c r="A5" s="628"/>
      <c r="B5" s="325" t="s">
        <v>96</v>
      </c>
      <c r="C5" s="326">
        <v>184991040</v>
      </c>
      <c r="D5" s="222">
        <v>17</v>
      </c>
      <c r="E5" s="308">
        <v>14</v>
      </c>
      <c r="F5" s="169">
        <v>89702987.928699985</v>
      </c>
      <c r="G5" s="169">
        <v>1505000.0000999998</v>
      </c>
      <c r="H5" s="326"/>
      <c r="I5" s="326">
        <f t="shared" ref="I5:I11" si="0">F5-G5</f>
        <v>88197987.928599983</v>
      </c>
      <c r="J5" s="226">
        <f t="shared" ref="J5:J10" si="1">I5-C5</f>
        <v>-96793052.071400017</v>
      </c>
      <c r="K5" s="172">
        <f t="shared" ref="K5:K12" si="2">I5/C5</f>
        <v>0.47676897177614647</v>
      </c>
      <c r="L5" s="192">
        <f t="shared" ref="L5:L10" si="3">IF(K5&gt;120%, I5*0.55%, IF(K5&gt;100%, I5*0.45%, IF(K5&gt;80%, I5*0.35%, IF(K5&gt;60%, I5*0.2%, 0))))</f>
        <v>0</v>
      </c>
      <c r="O5" s="614"/>
      <c r="P5" s="165" t="s">
        <v>96</v>
      </c>
      <c r="Q5" s="166">
        <v>227448000</v>
      </c>
      <c r="R5" s="167">
        <v>15</v>
      </c>
      <c r="S5" s="308">
        <v>11</v>
      </c>
      <c r="T5" s="169">
        <v>113624256.75649999</v>
      </c>
      <c r="U5" s="170"/>
      <c r="V5" s="166"/>
      <c r="W5" s="166">
        <f t="shared" ref="W5:W11" si="4">T5-U5</f>
        <v>113624256.75649999</v>
      </c>
      <c r="X5" s="171">
        <f>W5-Q5</f>
        <v>-113823743.24350001</v>
      </c>
      <c r="Y5" s="172">
        <f>W5/Q5</f>
        <v>0.49956146792453654</v>
      </c>
      <c r="Z5" s="192">
        <f t="shared" ref="Z5:Z10" si="5">IF(Y5&gt;120%, W5*0.55%, IF(Y5&gt;100%, W5*0.45%, IF(Y5&gt;80%, W5*0.35%, IF(Y5&gt;60%, W5*0.2%, 0))))</f>
        <v>0</v>
      </c>
    </row>
    <row r="6" spans="1:28" x14ac:dyDescent="0.35">
      <c r="A6" s="628"/>
      <c r="B6" s="325" t="s">
        <v>97</v>
      </c>
      <c r="C6" s="327">
        <v>308318400</v>
      </c>
      <c r="D6" s="222">
        <v>19</v>
      </c>
      <c r="E6" s="308">
        <v>17</v>
      </c>
      <c r="F6" s="169">
        <v>256676869.80960009</v>
      </c>
      <c r="G6" s="328">
        <v>6500000</v>
      </c>
      <c r="H6" s="327"/>
      <c r="I6" s="326">
        <f t="shared" si="0"/>
        <v>250176869.80960009</v>
      </c>
      <c r="J6" s="226">
        <f t="shared" si="1"/>
        <v>-58141530.190399915</v>
      </c>
      <c r="K6" s="172">
        <f t="shared" si="2"/>
        <v>0.8114237418512813</v>
      </c>
      <c r="L6" s="192">
        <f t="shared" si="3"/>
        <v>875619.04433360021</v>
      </c>
      <c r="O6" s="614"/>
      <c r="P6" s="165" t="s">
        <v>97</v>
      </c>
      <c r="Q6" s="173">
        <v>176904000.00000003</v>
      </c>
      <c r="R6" s="167">
        <v>10</v>
      </c>
      <c r="S6" s="308">
        <v>8</v>
      </c>
      <c r="T6" s="169">
        <v>79787333.333400011</v>
      </c>
      <c r="U6" s="174"/>
      <c r="V6" s="173"/>
      <c r="W6" s="166">
        <f t="shared" si="4"/>
        <v>79787333.333400011</v>
      </c>
      <c r="X6" s="171">
        <f>W6-Q6</f>
        <v>-97116666.666600019</v>
      </c>
      <c r="Y6" s="172">
        <f>W6/Q6</f>
        <v>0.45102051583570751</v>
      </c>
      <c r="Z6" s="192">
        <f t="shared" si="5"/>
        <v>0</v>
      </c>
    </row>
    <row r="7" spans="1:28" x14ac:dyDescent="0.35">
      <c r="A7" s="628"/>
      <c r="B7" s="325" t="s">
        <v>98</v>
      </c>
      <c r="C7" s="327">
        <v>123327360</v>
      </c>
      <c r="D7" s="222">
        <v>20</v>
      </c>
      <c r="E7" s="308">
        <v>16</v>
      </c>
      <c r="F7" s="169">
        <v>85572539.008000016</v>
      </c>
      <c r="G7" s="169">
        <v>1496144.1442</v>
      </c>
      <c r="H7" s="327"/>
      <c r="I7" s="326">
        <f t="shared" si="0"/>
        <v>84076394.863800019</v>
      </c>
      <c r="J7" s="226">
        <f t="shared" si="1"/>
        <v>-39250965.136199981</v>
      </c>
      <c r="K7" s="172">
        <f t="shared" si="2"/>
        <v>0.68173351690817041</v>
      </c>
      <c r="L7" s="192">
        <f t="shared" si="3"/>
        <v>168152.78972760003</v>
      </c>
      <c r="O7" s="614"/>
      <c r="P7" s="165" t="s">
        <v>98</v>
      </c>
      <c r="Q7" s="173">
        <v>202176000</v>
      </c>
      <c r="R7" s="167">
        <v>17</v>
      </c>
      <c r="S7" s="308">
        <v>14</v>
      </c>
      <c r="T7" s="169">
        <v>136280261.25939998</v>
      </c>
      <c r="U7" s="170"/>
      <c r="V7" s="173"/>
      <c r="W7" s="166">
        <f t="shared" si="4"/>
        <v>136280261.25939998</v>
      </c>
      <c r="X7" s="171">
        <f t="shared" ref="X7:X11" si="6">W7-Q7</f>
        <v>-65895738.74060002</v>
      </c>
      <c r="Y7" s="172">
        <f t="shared" ref="Y7:Y11" si="7">W7/Q7</f>
        <v>0.67406745241472765</v>
      </c>
      <c r="Z7" s="192">
        <f t="shared" si="5"/>
        <v>272560.52251879999</v>
      </c>
    </row>
    <row r="8" spans="1:28" x14ac:dyDescent="0.35">
      <c r="A8" s="628"/>
      <c r="B8" s="325" t="s">
        <v>99</v>
      </c>
      <c r="C8" s="327">
        <v>169575120</v>
      </c>
      <c r="D8" s="222">
        <v>19</v>
      </c>
      <c r="E8" s="308">
        <v>15</v>
      </c>
      <c r="F8" s="169">
        <v>179313258.17120007</v>
      </c>
      <c r="G8" s="169">
        <v>2657500.0000999998</v>
      </c>
      <c r="H8" s="327"/>
      <c r="I8" s="326">
        <f>F8-G8</f>
        <v>176655758.17110008</v>
      </c>
      <c r="J8" s="226">
        <f t="shared" si="1"/>
        <v>7080638.17110008</v>
      </c>
      <c r="K8" s="172">
        <f t="shared" si="2"/>
        <v>1.0417551712250008</v>
      </c>
      <c r="L8" s="192">
        <f t="shared" si="3"/>
        <v>794950.91176995041</v>
      </c>
      <c r="O8" s="614"/>
      <c r="P8" s="165" t="s">
        <v>99</v>
      </c>
      <c r="Q8" s="173">
        <v>391716000</v>
      </c>
      <c r="R8" s="167">
        <v>24</v>
      </c>
      <c r="S8" s="308">
        <v>21</v>
      </c>
      <c r="T8" s="169">
        <v>316610265.76520008</v>
      </c>
      <c r="U8" s="170"/>
      <c r="V8" s="173"/>
      <c r="W8" s="166">
        <f t="shared" si="4"/>
        <v>316610265.76520008</v>
      </c>
      <c r="X8" s="171">
        <f t="shared" si="6"/>
        <v>-75105734.234799922</v>
      </c>
      <c r="Y8" s="172">
        <f t="shared" si="7"/>
        <v>0.80826482902204677</v>
      </c>
      <c r="Z8" s="192">
        <f t="shared" si="5"/>
        <v>1108135.9301782001</v>
      </c>
    </row>
    <row r="9" spans="1:28" x14ac:dyDescent="0.35">
      <c r="A9" s="628"/>
      <c r="B9" s="325" t="s">
        <v>100</v>
      </c>
      <c r="C9" s="327">
        <v>231238800</v>
      </c>
      <c r="D9" s="222">
        <v>14</v>
      </c>
      <c r="E9" s="308">
        <v>10</v>
      </c>
      <c r="F9" s="169">
        <v>178649937.38729993</v>
      </c>
      <c r="G9" s="169">
        <v>666666.66669999994</v>
      </c>
      <c r="H9" s="327"/>
      <c r="I9" s="326">
        <f>F9-G9</f>
        <v>177983270.72059992</v>
      </c>
      <c r="J9" s="226">
        <f t="shared" si="1"/>
        <v>-53255529.27940008</v>
      </c>
      <c r="K9" s="172">
        <f t="shared" si="2"/>
        <v>0.76969466508475182</v>
      </c>
      <c r="L9" s="192">
        <f t="shared" si="3"/>
        <v>355966.54144119984</v>
      </c>
      <c r="O9" s="614"/>
      <c r="P9" s="165" t="s">
        <v>100</v>
      </c>
      <c r="Q9" s="173">
        <v>138996000</v>
      </c>
      <c r="R9" s="167">
        <v>14</v>
      </c>
      <c r="S9" s="308">
        <v>8</v>
      </c>
      <c r="T9" s="169">
        <v>41875653.153100006</v>
      </c>
      <c r="U9" s="170"/>
      <c r="V9" s="173"/>
      <c r="W9" s="166">
        <f t="shared" si="4"/>
        <v>41875653.153100006</v>
      </c>
      <c r="X9" s="171">
        <f t="shared" si="6"/>
        <v>-97120346.846899986</v>
      </c>
      <c r="Y9" s="172">
        <f t="shared" si="7"/>
        <v>0.30127236145716429</v>
      </c>
      <c r="Z9" s="192">
        <f t="shared" si="5"/>
        <v>0</v>
      </c>
    </row>
    <row r="10" spans="1:28" x14ac:dyDescent="0.35">
      <c r="A10" s="628"/>
      <c r="B10" s="325" t="s">
        <v>101</v>
      </c>
      <c r="C10" s="327">
        <v>524141280.00000006</v>
      </c>
      <c r="D10" s="222">
        <v>22</v>
      </c>
      <c r="E10" s="308">
        <v>19</v>
      </c>
      <c r="F10" s="169">
        <v>296266673.60389996</v>
      </c>
      <c r="G10" s="169">
        <v>1200000</v>
      </c>
      <c r="H10" s="327"/>
      <c r="I10" s="326">
        <f t="shared" si="0"/>
        <v>295066673.60389996</v>
      </c>
      <c r="J10" s="226">
        <f t="shared" si="1"/>
        <v>-229074606.3961001</v>
      </c>
      <c r="K10" s="172">
        <f t="shared" si="2"/>
        <v>0.56295255661584209</v>
      </c>
      <c r="L10" s="192">
        <f t="shared" si="3"/>
        <v>0</v>
      </c>
      <c r="O10" s="614"/>
      <c r="P10" s="165" t="s">
        <v>101</v>
      </c>
      <c r="Q10" s="173">
        <v>126360000</v>
      </c>
      <c r="R10" s="167">
        <v>13</v>
      </c>
      <c r="S10" s="308">
        <v>10</v>
      </c>
      <c r="T10" s="169">
        <v>45104936.936600022</v>
      </c>
      <c r="U10" s="170"/>
      <c r="V10" s="173"/>
      <c r="W10" s="166">
        <f t="shared" si="4"/>
        <v>45104936.936600022</v>
      </c>
      <c r="X10" s="171">
        <f t="shared" si="6"/>
        <v>-81255063.063399971</v>
      </c>
      <c r="Y10" s="172">
        <f t="shared" si="7"/>
        <v>0.35695581621240918</v>
      </c>
      <c r="Z10" s="192">
        <f t="shared" si="5"/>
        <v>0</v>
      </c>
    </row>
    <row r="11" spans="1:28" s="199" customFormat="1" ht="14.5" customHeight="1" thickBot="1" x14ac:dyDescent="0.4">
      <c r="A11" s="628"/>
      <c r="B11" s="352" t="s">
        <v>77</v>
      </c>
      <c r="C11" s="329">
        <f t="shared" ref="C11:H11" si="8">SUM(C5:C10)</f>
        <v>1541592000</v>
      </c>
      <c r="D11" s="178">
        <f>SUM(D5:D10)</f>
        <v>111</v>
      </c>
      <c r="E11" s="178">
        <f t="shared" si="8"/>
        <v>91</v>
      </c>
      <c r="F11" s="329">
        <f>SUM(F5:F10)</f>
        <v>1086182265.9087</v>
      </c>
      <c r="G11" s="330">
        <f t="shared" si="8"/>
        <v>14025310.811099999</v>
      </c>
      <c r="H11" s="329">
        <f t="shared" si="8"/>
        <v>0</v>
      </c>
      <c r="I11" s="329">
        <f t="shared" si="0"/>
        <v>1072156955.0976</v>
      </c>
      <c r="J11" s="329">
        <f>I11-C11</f>
        <v>-469435044.90240002</v>
      </c>
      <c r="K11" s="305">
        <f>I11/C11</f>
        <v>0.69548684418289664</v>
      </c>
      <c r="L11" s="197">
        <f>SUM(L5:L10)</f>
        <v>2194689.2872723504</v>
      </c>
      <c r="M11" s="198"/>
      <c r="O11" s="615"/>
      <c r="P11" s="204" t="s">
        <v>77</v>
      </c>
      <c r="Q11" s="205">
        <f>SUM(Q5:Q10)</f>
        <v>1263600000</v>
      </c>
      <c r="R11" s="206">
        <f t="shared" ref="R11:V11" si="9">SUM(R5:R10)</f>
        <v>93</v>
      </c>
      <c r="S11" s="207">
        <f t="shared" si="9"/>
        <v>72</v>
      </c>
      <c r="T11" s="205">
        <f t="shared" si="9"/>
        <v>733282707.20420003</v>
      </c>
      <c r="U11" s="208">
        <f t="shared" si="9"/>
        <v>0</v>
      </c>
      <c r="V11" s="205">
        <f t="shared" si="9"/>
        <v>0</v>
      </c>
      <c r="W11" s="205">
        <f t="shared" si="4"/>
        <v>733282707.20420003</v>
      </c>
      <c r="X11" s="205">
        <f t="shared" si="6"/>
        <v>-530317292.79579997</v>
      </c>
      <c r="Y11" s="209">
        <f t="shared" si="7"/>
        <v>0.5803123672081355</v>
      </c>
      <c r="Z11" s="197">
        <f>SUM(Z5:Z10)</f>
        <v>1380696.452697</v>
      </c>
      <c r="AA11" s="203"/>
      <c r="AB11" s="194"/>
    </row>
    <row r="12" spans="1:28" ht="14.5" customHeight="1" x14ac:dyDescent="0.55000000000000004">
      <c r="B12" s="324" t="s">
        <v>83</v>
      </c>
      <c r="C12" s="243">
        <v>1387432800</v>
      </c>
      <c r="D12" s="597"/>
      <c r="E12" s="598"/>
      <c r="F12" s="598"/>
      <c r="G12" s="598"/>
      <c r="H12" s="599"/>
      <c r="I12" s="243">
        <f>I11</f>
        <v>1072156955.0976</v>
      </c>
      <c r="J12" s="243">
        <f>I12-C12</f>
        <v>-315275844.90240002</v>
      </c>
      <c r="K12" s="183">
        <f t="shared" si="2"/>
        <v>0.77276316020321845</v>
      </c>
      <c r="L12" s="192">
        <f>IF(K12&gt;=1,2500000,IF(K11&gt;=1,3500000,0))</f>
        <v>0</v>
      </c>
      <c r="O12" s="309"/>
      <c r="P12" s="324" t="str">
        <f>$B$12</f>
        <v>TARGET Q1</v>
      </c>
      <c r="Q12" s="243">
        <v>1137240000</v>
      </c>
      <c r="R12" s="597"/>
      <c r="S12" s="598"/>
      <c r="T12" s="598"/>
      <c r="U12" s="598"/>
      <c r="V12" s="599"/>
      <c r="W12" s="243">
        <f>W11</f>
        <v>733282707.20420003</v>
      </c>
      <c r="X12" s="243">
        <f>W12-Q12</f>
        <v>-403957292.79579997</v>
      </c>
      <c r="Y12" s="183">
        <f>W12/Q12</f>
        <v>0.64479151912015054</v>
      </c>
      <c r="Z12" s="192">
        <f>IF(Y12&gt;=1,2500000,IF(Y11&gt;=1,3500000,0))</f>
        <v>0</v>
      </c>
    </row>
    <row r="13" spans="1:28" ht="24" thickBot="1" x14ac:dyDescent="0.6">
      <c r="C13" s="210">
        <f>C12/C11</f>
        <v>0.9</v>
      </c>
      <c r="O13" s="309"/>
      <c r="Q13" s="210">
        <f>Q12/Q11</f>
        <v>0.9</v>
      </c>
    </row>
    <row r="14" spans="1:28" ht="19.5" customHeight="1" x14ac:dyDescent="0.35">
      <c r="A14" s="623">
        <v>2</v>
      </c>
      <c r="B14" s="352" t="s">
        <v>57</v>
      </c>
      <c r="C14" s="353" t="s">
        <v>102</v>
      </c>
      <c r="D14" s="616" t="s">
        <v>91</v>
      </c>
      <c r="E14" s="616" t="s">
        <v>62</v>
      </c>
      <c r="F14" s="604" t="s">
        <v>103</v>
      </c>
      <c r="G14" s="605"/>
      <c r="H14" s="605"/>
      <c r="I14" s="606"/>
      <c r="J14" s="587" t="s">
        <v>65</v>
      </c>
      <c r="K14" s="352" t="s">
        <v>66</v>
      </c>
      <c r="O14" s="607">
        <v>2</v>
      </c>
      <c r="P14" s="354" t="s">
        <v>57</v>
      </c>
      <c r="Q14" s="355" t="s">
        <v>104</v>
      </c>
      <c r="R14" s="591" t="s">
        <v>91</v>
      </c>
      <c r="S14" s="591" t="s">
        <v>62</v>
      </c>
      <c r="T14" s="610" t="s">
        <v>103</v>
      </c>
      <c r="U14" s="611"/>
      <c r="V14" s="611"/>
      <c r="W14" s="612"/>
      <c r="X14" s="595" t="s">
        <v>65</v>
      </c>
      <c r="Y14" s="354" t="s">
        <v>66</v>
      </c>
    </row>
    <row r="15" spans="1:28" ht="36" customHeight="1" x14ac:dyDescent="0.35">
      <c r="A15" s="623"/>
      <c r="B15" s="352" t="s">
        <v>93</v>
      </c>
      <c r="C15" s="353" t="str">
        <f>C4</f>
        <v>TARGET 100%</v>
      </c>
      <c r="D15" s="617"/>
      <c r="E15" s="617"/>
      <c r="F15" s="163" t="str">
        <f>F4</f>
        <v>OMSET JAN
 (1-31)</v>
      </c>
      <c r="G15" s="163" t="str">
        <f>G4</f>
        <v>OMSET PRODUK</v>
      </c>
      <c r="H15" s="353" t="s">
        <v>63</v>
      </c>
      <c r="I15" s="353" t="s">
        <v>64</v>
      </c>
      <c r="J15" s="587"/>
      <c r="K15" s="164">
        <f>K4</f>
        <v>1</v>
      </c>
      <c r="L15" s="211"/>
      <c r="M15" s="212"/>
      <c r="O15" s="608"/>
      <c r="P15" s="354" t="s">
        <v>93</v>
      </c>
      <c r="Q15" s="355" t="str">
        <f>Q4</f>
        <v>TARGET 100%</v>
      </c>
      <c r="R15" s="592"/>
      <c r="S15" s="592"/>
      <c r="T15" s="200" t="str">
        <f>T4</f>
        <v>OMSET JAN
 (1-31)</v>
      </c>
      <c r="U15" s="200" t="str">
        <f>G4</f>
        <v>OMSET PRODUK</v>
      </c>
      <c r="V15" s="355" t="s">
        <v>63</v>
      </c>
      <c r="W15" s="355" t="s">
        <v>64</v>
      </c>
      <c r="X15" s="596"/>
      <c r="Y15" s="201">
        <f>K15</f>
        <v>1</v>
      </c>
    </row>
    <row r="16" spans="1:28" ht="14.5" customHeight="1" x14ac:dyDescent="0.35">
      <c r="A16" s="623"/>
      <c r="B16" s="325" t="s">
        <v>96</v>
      </c>
      <c r="C16" s="326">
        <v>445348800</v>
      </c>
      <c r="D16" s="222">
        <v>22</v>
      </c>
      <c r="E16" s="308">
        <v>14</v>
      </c>
      <c r="F16" s="169">
        <v>293919173.82940012</v>
      </c>
      <c r="G16" s="169">
        <v>4144144.1441000002</v>
      </c>
      <c r="H16" s="326"/>
      <c r="I16" s="326">
        <f t="shared" ref="I16:I22" si="10">F16-G16</f>
        <v>289775029.68530011</v>
      </c>
      <c r="J16" s="226">
        <f t="shared" ref="J16:J22" si="11">I16-C16</f>
        <v>-155573770.31469989</v>
      </c>
      <c r="K16" s="172">
        <f t="shared" ref="K16:K23" si="12">I16/C16</f>
        <v>0.65066983381408039</v>
      </c>
      <c r="L16" s="192">
        <f t="shared" ref="L16:L21" si="13">IF(K16&gt;120%, I16*0.55%, IF(K16&gt;100%, I16*0.45%, IF(K16&gt;80%, I16*0.35%, IF(K16&gt;60%, I16*0.2%, 0))))</f>
        <v>579550.05937060027</v>
      </c>
      <c r="O16" s="608"/>
      <c r="P16" s="325" t="s">
        <v>96</v>
      </c>
      <c r="Q16" s="326">
        <v>256089600</v>
      </c>
      <c r="R16" s="222">
        <v>11</v>
      </c>
      <c r="S16" s="308">
        <v>9</v>
      </c>
      <c r="T16" s="169">
        <v>37740644.14419999</v>
      </c>
      <c r="U16" s="169">
        <v>304000</v>
      </c>
      <c r="V16" s="326"/>
      <c r="W16" s="326">
        <f t="shared" ref="W16:W22" si="14">T16-U16</f>
        <v>37436644.14419999</v>
      </c>
      <c r="X16" s="226">
        <f t="shared" ref="X16:X22" si="15">W16-Q16</f>
        <v>-218652955.8558</v>
      </c>
      <c r="Y16" s="172">
        <f t="shared" ref="Y16:Y21" si="16">W16/Q16</f>
        <v>0.14618572618411677</v>
      </c>
      <c r="Z16" s="192">
        <f t="shared" ref="Z16:Z21" si="17">IF(Y16&gt;120%, W16*0.55%, IF(Y16&gt;100%, W16*0.45%, IF(Y16&gt;80%, W16*0.35%, IF(Y16&gt;60%, W16*0.2%, 0))))</f>
        <v>0</v>
      </c>
    </row>
    <row r="17" spans="1:26" ht="14.5" customHeight="1" x14ac:dyDescent="0.35">
      <c r="A17" s="623"/>
      <c r="B17" s="325" t="s">
        <v>97</v>
      </c>
      <c r="C17" s="327">
        <v>291189600</v>
      </c>
      <c r="D17" s="222">
        <v>16</v>
      </c>
      <c r="E17" s="308">
        <v>13</v>
      </c>
      <c r="F17" s="169">
        <v>102602476.12610003</v>
      </c>
      <c r="G17" s="328">
        <v>421621.62150000001</v>
      </c>
      <c r="H17" s="327"/>
      <c r="I17" s="326">
        <f t="shared" si="10"/>
        <v>102180854.50460003</v>
      </c>
      <c r="J17" s="226">
        <f t="shared" si="11"/>
        <v>-189008745.49539995</v>
      </c>
      <c r="K17" s="172">
        <f t="shared" si="12"/>
        <v>0.35090832400813776</v>
      </c>
      <c r="L17" s="192">
        <f t="shared" si="13"/>
        <v>0</v>
      </c>
      <c r="O17" s="608"/>
      <c r="P17" s="325" t="s">
        <v>97</v>
      </c>
      <c r="Q17" s="327">
        <v>224078400.00000003</v>
      </c>
      <c r="R17" s="222">
        <v>15</v>
      </c>
      <c r="S17" s="308">
        <v>14</v>
      </c>
      <c r="T17" s="169">
        <v>120307558.55870007</v>
      </c>
      <c r="U17" s="328">
        <v>304000</v>
      </c>
      <c r="V17" s="327"/>
      <c r="W17" s="326">
        <f t="shared" si="14"/>
        <v>120003558.55870007</v>
      </c>
      <c r="X17" s="226">
        <f t="shared" si="15"/>
        <v>-104074841.44129996</v>
      </c>
      <c r="Y17" s="172">
        <f t="shared" si="16"/>
        <v>0.53554273218079051</v>
      </c>
      <c r="Z17" s="192">
        <f t="shared" si="17"/>
        <v>0</v>
      </c>
    </row>
    <row r="18" spans="1:26" ht="14.5" customHeight="1" x14ac:dyDescent="0.35">
      <c r="A18" s="623"/>
      <c r="B18" s="325" t="s">
        <v>98</v>
      </c>
      <c r="C18" s="327">
        <v>256932000</v>
      </c>
      <c r="D18" s="222">
        <v>21</v>
      </c>
      <c r="E18" s="308">
        <v>19</v>
      </c>
      <c r="F18" s="169">
        <v>90302054.324499995</v>
      </c>
      <c r="G18" s="169">
        <v>599144.14410000003</v>
      </c>
      <c r="H18" s="327"/>
      <c r="I18" s="326">
        <f t="shared" si="10"/>
        <v>89702910.180399999</v>
      </c>
      <c r="J18" s="226">
        <f t="shared" si="11"/>
        <v>-167229089.81959999</v>
      </c>
      <c r="K18" s="172">
        <f t="shared" si="12"/>
        <v>0.34913093807077361</v>
      </c>
      <c r="L18" s="192">
        <f t="shared" si="13"/>
        <v>0</v>
      </c>
      <c r="M18" s="213"/>
      <c r="O18" s="608"/>
      <c r="P18" s="325" t="s">
        <v>98</v>
      </c>
      <c r="Q18" s="327">
        <v>368128800</v>
      </c>
      <c r="R18" s="222">
        <v>19</v>
      </c>
      <c r="S18" s="308">
        <v>17</v>
      </c>
      <c r="T18" s="169">
        <v>250976671.17139989</v>
      </c>
      <c r="U18" s="169"/>
      <c r="V18" s="327"/>
      <c r="W18" s="326">
        <f t="shared" si="14"/>
        <v>250976671.17139989</v>
      </c>
      <c r="X18" s="226">
        <f t="shared" si="15"/>
        <v>-117152128.82860011</v>
      </c>
      <c r="Y18" s="172">
        <f t="shared" si="16"/>
        <v>0.6817632067129763</v>
      </c>
      <c r="Z18" s="192">
        <f t="shared" si="17"/>
        <v>501953.34234279982</v>
      </c>
    </row>
    <row r="19" spans="1:26" ht="14.5" customHeight="1" x14ac:dyDescent="0.35">
      <c r="A19" s="623"/>
      <c r="B19" s="325" t="s">
        <v>99</v>
      </c>
      <c r="C19" s="327">
        <v>274060800</v>
      </c>
      <c r="D19" s="222">
        <v>10</v>
      </c>
      <c r="E19" s="308">
        <v>10</v>
      </c>
      <c r="F19" s="169">
        <v>186741089.6575</v>
      </c>
      <c r="G19" s="169">
        <v>5416666.6666999999</v>
      </c>
      <c r="H19" s="327"/>
      <c r="I19" s="326">
        <f t="shared" si="10"/>
        <v>181324422.99079999</v>
      </c>
      <c r="J19" s="226">
        <f t="shared" si="11"/>
        <v>-92736377.009200007</v>
      </c>
      <c r="K19" s="172">
        <f t="shared" si="12"/>
        <v>0.66162115483425576</v>
      </c>
      <c r="L19" s="192">
        <f t="shared" si="13"/>
        <v>362648.8459816</v>
      </c>
      <c r="O19" s="608"/>
      <c r="P19" s="325" t="s">
        <v>99</v>
      </c>
      <c r="Q19" s="327">
        <v>256089600</v>
      </c>
      <c r="R19" s="222">
        <v>16</v>
      </c>
      <c r="S19" s="308">
        <v>13</v>
      </c>
      <c r="T19" s="169">
        <v>114584157.65779999</v>
      </c>
      <c r="U19" s="169"/>
      <c r="V19" s="327"/>
      <c r="W19" s="326">
        <f t="shared" si="14"/>
        <v>114584157.65779999</v>
      </c>
      <c r="X19" s="226">
        <f t="shared" si="15"/>
        <v>-141505442.34220001</v>
      </c>
      <c r="Y19" s="172">
        <f t="shared" si="16"/>
        <v>0.44743776263385937</v>
      </c>
      <c r="Z19" s="192">
        <f t="shared" si="17"/>
        <v>0</v>
      </c>
    </row>
    <row r="20" spans="1:26" ht="14.5" customHeight="1" x14ac:dyDescent="0.35">
      <c r="A20" s="623"/>
      <c r="B20" s="325" t="s">
        <v>100</v>
      </c>
      <c r="C20" s="327">
        <v>205545600</v>
      </c>
      <c r="D20" s="222">
        <v>15</v>
      </c>
      <c r="E20" s="308">
        <v>9</v>
      </c>
      <c r="F20" s="169">
        <v>172006401.00869998</v>
      </c>
      <c r="G20" s="169">
        <v>2976666.6666999999</v>
      </c>
      <c r="H20" s="327"/>
      <c r="I20" s="326">
        <f t="shared" si="10"/>
        <v>169029734.34199998</v>
      </c>
      <c r="J20" s="226">
        <f t="shared" si="11"/>
        <v>-36515865.658000022</v>
      </c>
      <c r="K20" s="172">
        <f t="shared" si="12"/>
        <v>0.82234664396610768</v>
      </c>
      <c r="L20" s="192">
        <f t="shared" si="13"/>
        <v>591604.07019699982</v>
      </c>
      <c r="O20" s="608"/>
      <c r="P20" s="325" t="s">
        <v>100</v>
      </c>
      <c r="Q20" s="327">
        <v>240084000</v>
      </c>
      <c r="R20" s="222">
        <v>10</v>
      </c>
      <c r="S20" s="308">
        <v>7</v>
      </c>
      <c r="T20" s="169">
        <v>39167355.855999991</v>
      </c>
      <c r="U20" s="169"/>
      <c r="V20" s="327"/>
      <c r="W20" s="326">
        <f>T20-U20</f>
        <v>39167355.855999991</v>
      </c>
      <c r="X20" s="226">
        <f t="shared" si="15"/>
        <v>-200916644.14399999</v>
      </c>
      <c r="Y20" s="172">
        <f t="shared" si="16"/>
        <v>0.16314021699071987</v>
      </c>
      <c r="Z20" s="192">
        <f t="shared" si="17"/>
        <v>0</v>
      </c>
    </row>
    <row r="21" spans="1:26" ht="14.5" customHeight="1" x14ac:dyDescent="0.35">
      <c r="A21" s="623"/>
      <c r="B21" s="325" t="s">
        <v>101</v>
      </c>
      <c r="C21" s="327">
        <v>239803200.00000003</v>
      </c>
      <c r="D21" s="222">
        <v>16</v>
      </c>
      <c r="E21" s="308">
        <v>15</v>
      </c>
      <c r="F21" s="169">
        <v>158368609.45989999</v>
      </c>
      <c r="G21" s="169">
        <v>2933333.3333000001</v>
      </c>
      <c r="H21" s="327"/>
      <c r="I21" s="326">
        <f t="shared" si="10"/>
        <v>155435276.1266</v>
      </c>
      <c r="J21" s="226">
        <f t="shared" si="11"/>
        <v>-84367923.873400033</v>
      </c>
      <c r="K21" s="172">
        <f t="shared" si="12"/>
        <v>0.64817849022281593</v>
      </c>
      <c r="L21" s="192">
        <f t="shared" si="13"/>
        <v>310870.55225319997</v>
      </c>
      <c r="O21" s="608"/>
      <c r="P21" s="325" t="s">
        <v>101</v>
      </c>
      <c r="Q21" s="327">
        <v>256089600</v>
      </c>
      <c r="R21" s="222">
        <v>13</v>
      </c>
      <c r="S21" s="308">
        <v>13</v>
      </c>
      <c r="T21" s="169">
        <v>124364418.91820005</v>
      </c>
      <c r="U21" s="169"/>
      <c r="V21" s="327"/>
      <c r="W21" s="326">
        <f t="shared" si="14"/>
        <v>124364418.91820005</v>
      </c>
      <c r="X21" s="226">
        <f t="shared" si="15"/>
        <v>-131725181.08179995</v>
      </c>
      <c r="Y21" s="172">
        <f t="shared" si="16"/>
        <v>0.4856285414097255</v>
      </c>
      <c r="Z21" s="192">
        <f t="shared" si="17"/>
        <v>0</v>
      </c>
    </row>
    <row r="22" spans="1:26" ht="14.5" customHeight="1" thickBot="1" x14ac:dyDescent="0.4">
      <c r="A22" s="623"/>
      <c r="B22" s="352" t="s">
        <v>77</v>
      </c>
      <c r="C22" s="329">
        <f t="shared" ref="C22:H22" si="18">SUM(C16:C21)</f>
        <v>1712880000</v>
      </c>
      <c r="D22" s="178">
        <f>SUM(D16:D21)</f>
        <v>100</v>
      </c>
      <c r="E22" s="178">
        <f t="shared" si="18"/>
        <v>80</v>
      </c>
      <c r="F22" s="329">
        <f>SUM(F16:F21)</f>
        <v>1003939804.4061002</v>
      </c>
      <c r="G22" s="330">
        <f t="shared" si="18"/>
        <v>16491576.576400001</v>
      </c>
      <c r="H22" s="329">
        <f t="shared" si="18"/>
        <v>0</v>
      </c>
      <c r="I22" s="329">
        <f t="shared" si="10"/>
        <v>987448227.82970011</v>
      </c>
      <c r="J22" s="329">
        <f t="shared" si="11"/>
        <v>-725431772.17029989</v>
      </c>
      <c r="K22" s="305">
        <f t="shared" si="12"/>
        <v>0.57648418326426842</v>
      </c>
      <c r="L22" s="197">
        <f>SUM(L16:L21)</f>
        <v>1844673.5278024001</v>
      </c>
      <c r="O22" s="609"/>
      <c r="P22" s="354" t="s">
        <v>77</v>
      </c>
      <c r="Q22" s="336">
        <f t="shared" ref="Q22:V22" si="19">SUM(Q16:Q21)</f>
        <v>1600560000</v>
      </c>
      <c r="R22" s="207">
        <f>SUM(R16:R21)</f>
        <v>84</v>
      </c>
      <c r="S22" s="207">
        <f t="shared" si="19"/>
        <v>73</v>
      </c>
      <c r="T22" s="336">
        <f t="shared" si="19"/>
        <v>687140806.30629992</v>
      </c>
      <c r="U22" s="337">
        <f t="shared" si="19"/>
        <v>608000</v>
      </c>
      <c r="V22" s="336">
        <f t="shared" si="19"/>
        <v>0</v>
      </c>
      <c r="W22" s="336">
        <f t="shared" si="14"/>
        <v>686532806.30629992</v>
      </c>
      <c r="X22" s="336">
        <f t="shared" si="15"/>
        <v>-914027193.69370008</v>
      </c>
      <c r="Y22" s="313">
        <f>W22/Q22</f>
        <v>0.42893287743433545</v>
      </c>
      <c r="Z22" s="197">
        <f>SUM(Z16:Z21)</f>
        <v>501953.34234279982</v>
      </c>
    </row>
    <row r="23" spans="1:26" ht="14.5" customHeight="1" x14ac:dyDescent="0.55000000000000004">
      <c r="B23" s="324" t="str">
        <f>$B$12</f>
        <v>TARGET Q1</v>
      </c>
      <c r="C23" s="243">
        <v>1541592000</v>
      </c>
      <c r="D23" s="597"/>
      <c r="E23" s="598"/>
      <c r="F23" s="598"/>
      <c r="G23" s="598"/>
      <c r="H23" s="599"/>
      <c r="I23" s="243">
        <f>I22</f>
        <v>987448227.82970011</v>
      </c>
      <c r="J23" s="243">
        <f>I23-C23</f>
        <v>-554143772.17029989</v>
      </c>
      <c r="K23" s="183">
        <f t="shared" si="12"/>
        <v>0.64053798140474272</v>
      </c>
      <c r="L23" s="192">
        <f>IF(K23&gt;=1,2500000,IF(K22&gt;=1,3500000,0))</f>
        <v>0</v>
      </c>
      <c r="O23" s="309"/>
      <c r="P23" s="324" t="str">
        <f>$B$12</f>
        <v>TARGET Q1</v>
      </c>
      <c r="Q23" s="243">
        <v>1440504000</v>
      </c>
      <c r="R23" s="597"/>
      <c r="S23" s="598"/>
      <c r="T23" s="598"/>
      <c r="U23" s="598"/>
      <c r="V23" s="599"/>
      <c r="W23" s="243">
        <f>W22</f>
        <v>686532806.30629992</v>
      </c>
      <c r="X23" s="243">
        <f>W23-Q23</f>
        <v>-753971193.69370008</v>
      </c>
      <c r="Y23" s="183">
        <f>W23/Q23</f>
        <v>0.47659208603815051</v>
      </c>
      <c r="Z23" s="192">
        <f>IF(Y23&gt;=1,2500000,IF(Y22&gt;=1,3500000,0))</f>
        <v>0</v>
      </c>
    </row>
    <row r="24" spans="1:26" ht="24" thickBot="1" x14ac:dyDescent="0.6">
      <c r="C24" s="210">
        <f>C23/C22</f>
        <v>0.9</v>
      </c>
      <c r="O24" s="309"/>
      <c r="Q24" s="210">
        <f>Q23/Q22</f>
        <v>0.9</v>
      </c>
    </row>
    <row r="25" spans="1:26" ht="19.5" customHeight="1" x14ac:dyDescent="0.35">
      <c r="A25" s="623">
        <v>3</v>
      </c>
      <c r="B25" s="352" t="s">
        <v>57</v>
      </c>
      <c r="C25" s="353" t="s">
        <v>105</v>
      </c>
      <c r="D25" s="616" t="s">
        <v>91</v>
      </c>
      <c r="E25" s="616" t="s">
        <v>62</v>
      </c>
      <c r="F25" s="604" t="s">
        <v>106</v>
      </c>
      <c r="G25" s="605"/>
      <c r="H25" s="605"/>
      <c r="I25" s="606"/>
      <c r="J25" s="587" t="s">
        <v>65</v>
      </c>
      <c r="K25" s="352" t="s">
        <v>66</v>
      </c>
      <c r="O25" s="613">
        <v>3</v>
      </c>
      <c r="P25" s="354" t="s">
        <v>57</v>
      </c>
      <c r="Q25" s="355" t="s">
        <v>54</v>
      </c>
      <c r="R25" s="591" t="s">
        <v>91</v>
      </c>
      <c r="S25" s="591" t="s">
        <v>62</v>
      </c>
      <c r="T25" s="610" t="s">
        <v>107</v>
      </c>
      <c r="U25" s="611"/>
      <c r="V25" s="611"/>
      <c r="W25" s="612"/>
      <c r="X25" s="603" t="s">
        <v>65</v>
      </c>
      <c r="Y25" s="354" t="s">
        <v>66</v>
      </c>
    </row>
    <row r="26" spans="1:26" ht="36" customHeight="1" x14ac:dyDescent="0.35">
      <c r="A26" s="623"/>
      <c r="B26" s="352" t="s">
        <v>93</v>
      </c>
      <c r="C26" s="353" t="str">
        <f>C15</f>
        <v>TARGET 100%</v>
      </c>
      <c r="D26" s="617"/>
      <c r="E26" s="617"/>
      <c r="F26" s="163" t="str">
        <f>F4</f>
        <v>OMSET JAN
 (1-31)</v>
      </c>
      <c r="G26" s="163" t="str">
        <f>G4</f>
        <v>OMSET PRODUK</v>
      </c>
      <c r="H26" s="353" t="s">
        <v>63</v>
      </c>
      <c r="I26" s="353" t="s">
        <v>64</v>
      </c>
      <c r="J26" s="587"/>
      <c r="K26" s="164">
        <f>K15</f>
        <v>1</v>
      </c>
      <c r="O26" s="614"/>
      <c r="P26" s="354" t="s">
        <v>93</v>
      </c>
      <c r="Q26" s="355" t="str">
        <f>Q15</f>
        <v>TARGET 100%</v>
      </c>
      <c r="R26" s="592"/>
      <c r="S26" s="592"/>
      <c r="T26" s="200" t="str">
        <f>T4</f>
        <v>OMSET JAN
 (1-31)</v>
      </c>
      <c r="U26" s="200" t="str">
        <f>G4</f>
        <v>OMSET PRODUK</v>
      </c>
      <c r="V26" s="355" t="s">
        <v>63</v>
      </c>
      <c r="W26" s="355" t="s">
        <v>64</v>
      </c>
      <c r="X26" s="603"/>
      <c r="Y26" s="201">
        <f>K26</f>
        <v>1</v>
      </c>
    </row>
    <row r="27" spans="1:26" ht="14.5" customHeight="1" x14ac:dyDescent="0.35">
      <c r="A27" s="623"/>
      <c r="B27" s="325" t="s">
        <v>96</v>
      </c>
      <c r="C27" s="326">
        <v>406809000</v>
      </c>
      <c r="D27" s="222">
        <v>16</v>
      </c>
      <c r="E27" s="308">
        <v>15</v>
      </c>
      <c r="F27" s="169">
        <v>400759794.59440005</v>
      </c>
      <c r="G27" s="169">
        <v>10400000.0001</v>
      </c>
      <c r="H27" s="326"/>
      <c r="I27" s="326">
        <f t="shared" ref="I27:I33" si="20">F27-G27</f>
        <v>390359794.59430003</v>
      </c>
      <c r="J27" s="226">
        <f t="shared" ref="J27:J33" si="21">I27-C27</f>
        <v>-16449205.405699968</v>
      </c>
      <c r="K27" s="172">
        <f t="shared" ref="K27:K34" si="22">I27/C27</f>
        <v>0.95956528639803951</v>
      </c>
      <c r="L27" s="192">
        <f t="shared" ref="L27:L32" si="23">IF(K27&gt;120%, I27*0.55%, IF(K27&gt;100%, I27*0.45%, IF(K27&gt;80%, I27*0.35%, IF(K27&gt;60%, I27*0.2%, 0))))</f>
        <v>1366259.2810800499</v>
      </c>
      <c r="O27" s="614"/>
      <c r="P27" s="325" t="s">
        <v>96</v>
      </c>
      <c r="Q27" s="326">
        <v>257774400.00000003</v>
      </c>
      <c r="R27" s="222">
        <v>15</v>
      </c>
      <c r="S27" s="308">
        <v>13</v>
      </c>
      <c r="T27" s="169">
        <v>164428822.52209988</v>
      </c>
      <c r="U27" s="169">
        <v>1601600</v>
      </c>
      <c r="V27" s="326"/>
      <c r="W27" s="326">
        <f t="shared" ref="W27:W33" si="24">T27-U27</f>
        <v>162827222.52209988</v>
      </c>
      <c r="X27" s="226">
        <f t="shared" ref="X27:X33" si="25">W27-Q27</f>
        <v>-94947177.477900147</v>
      </c>
      <c r="Y27" s="172">
        <f t="shared" ref="Y27:Y33" si="26">W27/Q27</f>
        <v>0.63166560574711783</v>
      </c>
      <c r="Z27" s="192">
        <f t="shared" ref="Z27:Z32" si="27">IF(Y27&gt;120%, W27*0.55%, IF(Y27&gt;100%, W27*0.45%, IF(Y27&gt;80%, W27*0.35%, IF(Y27&gt;60%, W27*0.2%, 0))))</f>
        <v>325654.44504419976</v>
      </c>
    </row>
    <row r="28" spans="1:26" ht="14.5" customHeight="1" x14ac:dyDescent="0.35">
      <c r="A28" s="623"/>
      <c r="B28" s="325" t="s">
        <v>97</v>
      </c>
      <c r="C28" s="327">
        <v>276630120</v>
      </c>
      <c r="D28" s="222">
        <v>19</v>
      </c>
      <c r="E28" s="308">
        <v>19</v>
      </c>
      <c r="F28" s="169">
        <v>270488296.84740007</v>
      </c>
      <c r="G28" s="328">
        <v>11338288.2883</v>
      </c>
      <c r="H28" s="327"/>
      <c r="I28" s="326">
        <f t="shared" si="20"/>
        <v>259150008.55910006</v>
      </c>
      <c r="J28" s="226">
        <f t="shared" si="21"/>
        <v>-17480111.440899938</v>
      </c>
      <c r="K28" s="172">
        <f t="shared" si="22"/>
        <v>0.93681052720904023</v>
      </c>
      <c r="L28" s="192">
        <f t="shared" si="23"/>
        <v>907025.02995685011</v>
      </c>
      <c r="O28" s="614"/>
      <c r="P28" s="325" t="s">
        <v>97</v>
      </c>
      <c r="Q28" s="327">
        <v>454896000</v>
      </c>
      <c r="R28" s="222">
        <v>16</v>
      </c>
      <c r="S28" s="308">
        <v>13</v>
      </c>
      <c r="T28" s="169">
        <v>401506563.06289971</v>
      </c>
      <c r="U28" s="328"/>
      <c r="V28" s="327"/>
      <c r="W28" s="326">
        <f t="shared" si="24"/>
        <v>401506563.06289971</v>
      </c>
      <c r="X28" s="226">
        <f t="shared" si="25"/>
        <v>-53389436.937100291</v>
      </c>
      <c r="Y28" s="172">
        <f t="shared" si="26"/>
        <v>0.8826337515891538</v>
      </c>
      <c r="Z28" s="192">
        <f t="shared" si="27"/>
        <v>1405272.9707201489</v>
      </c>
    </row>
    <row r="29" spans="1:26" ht="14.5" customHeight="1" x14ac:dyDescent="0.35">
      <c r="A29" s="623"/>
      <c r="B29" s="325" t="s">
        <v>98</v>
      </c>
      <c r="C29" s="327">
        <v>195268320</v>
      </c>
      <c r="D29" s="222">
        <v>24</v>
      </c>
      <c r="E29" s="308">
        <v>23</v>
      </c>
      <c r="F29" s="169">
        <v>294302571.17059982</v>
      </c>
      <c r="G29" s="169">
        <v>3429279.2792000007</v>
      </c>
      <c r="H29" s="327"/>
      <c r="I29" s="326">
        <f t="shared" si="20"/>
        <v>290873291.8913998</v>
      </c>
      <c r="J29" s="226">
        <f t="shared" si="21"/>
        <v>95604971.891399801</v>
      </c>
      <c r="K29" s="172">
        <f t="shared" si="22"/>
        <v>1.4896082062435925</v>
      </c>
      <c r="L29" s="192">
        <f t="shared" si="23"/>
        <v>1599803.105402699</v>
      </c>
      <c r="O29" s="614"/>
      <c r="P29" s="325" t="s">
        <v>98</v>
      </c>
      <c r="Q29" s="327">
        <v>227448000</v>
      </c>
      <c r="R29" s="222">
        <v>13</v>
      </c>
      <c r="S29" s="308">
        <v>11</v>
      </c>
      <c r="T29" s="169">
        <v>105781682.43150002</v>
      </c>
      <c r="U29" s="169"/>
      <c r="V29" s="327"/>
      <c r="W29" s="326">
        <f t="shared" si="24"/>
        <v>105781682.43150002</v>
      </c>
      <c r="X29" s="226">
        <f t="shared" si="25"/>
        <v>-121666317.56849998</v>
      </c>
      <c r="Y29" s="172">
        <f t="shared" si="26"/>
        <v>0.46508073243774412</v>
      </c>
      <c r="Z29" s="192">
        <f t="shared" si="27"/>
        <v>0</v>
      </c>
    </row>
    <row r="30" spans="1:26" ht="14.5" customHeight="1" x14ac:dyDescent="0.35">
      <c r="A30" s="623"/>
      <c r="B30" s="325" t="s">
        <v>99</v>
      </c>
      <c r="C30" s="327">
        <v>211540680</v>
      </c>
      <c r="D30" s="222">
        <v>8</v>
      </c>
      <c r="E30" s="308">
        <v>7</v>
      </c>
      <c r="F30" s="169">
        <v>229610799.09910005</v>
      </c>
      <c r="G30" s="169">
        <v>10366666.6667</v>
      </c>
      <c r="H30" s="327"/>
      <c r="I30" s="326">
        <f t="shared" si="20"/>
        <v>219244132.43240005</v>
      </c>
      <c r="J30" s="226">
        <f t="shared" si="21"/>
        <v>7703452.4324000478</v>
      </c>
      <c r="K30" s="172">
        <f t="shared" si="22"/>
        <v>1.0364159386856469</v>
      </c>
      <c r="L30" s="192">
        <f t="shared" si="23"/>
        <v>986598.59594580031</v>
      </c>
      <c r="M30" s="191">
        <v>20738153</v>
      </c>
      <c r="N30" s="370">
        <v>208872645.94590002</v>
      </c>
      <c r="O30" s="614"/>
      <c r="P30" s="325" t="s">
        <v>99</v>
      </c>
      <c r="Q30" s="327">
        <v>166795200</v>
      </c>
      <c r="R30" s="222">
        <v>14</v>
      </c>
      <c r="S30" s="308">
        <v>10</v>
      </c>
      <c r="T30" s="169">
        <v>45494852.252099991</v>
      </c>
      <c r="U30" s="169">
        <v>145600</v>
      </c>
      <c r="V30" s="327"/>
      <c r="W30" s="326">
        <f t="shared" si="24"/>
        <v>45349252.252099991</v>
      </c>
      <c r="X30" s="226">
        <f t="shared" si="25"/>
        <v>-121445947.74790001</v>
      </c>
      <c r="Y30" s="172">
        <f t="shared" si="26"/>
        <v>0.27188583515652726</v>
      </c>
      <c r="Z30" s="192">
        <f t="shared" si="27"/>
        <v>0</v>
      </c>
    </row>
    <row r="31" spans="1:26" ht="14.5" customHeight="1" x14ac:dyDescent="0.35">
      <c r="A31" s="623"/>
      <c r="B31" s="325" t="s">
        <v>100</v>
      </c>
      <c r="C31" s="327">
        <v>178995960</v>
      </c>
      <c r="D31" s="222">
        <v>16</v>
      </c>
      <c r="E31" s="308">
        <v>13</v>
      </c>
      <c r="F31" s="169">
        <v>64955541.892099984</v>
      </c>
      <c r="G31" s="169">
        <v>266666.6666</v>
      </c>
      <c r="H31" s="327"/>
      <c r="I31" s="326">
        <f t="shared" si="20"/>
        <v>64688875.225499988</v>
      </c>
      <c r="J31" s="226">
        <f t="shared" si="21"/>
        <v>-114307084.77450001</v>
      </c>
      <c r="K31" s="172">
        <f t="shared" si="22"/>
        <v>0.36139852109231957</v>
      </c>
      <c r="L31" s="192">
        <f t="shared" si="23"/>
        <v>0</v>
      </c>
      <c r="M31" s="370">
        <f>N30+M30</f>
        <v>229610798.94590002</v>
      </c>
      <c r="O31" s="614"/>
      <c r="P31" s="325" t="s">
        <v>100</v>
      </c>
      <c r="Q31" s="327">
        <v>227448000</v>
      </c>
      <c r="R31" s="222">
        <v>15</v>
      </c>
      <c r="S31" s="308">
        <v>15</v>
      </c>
      <c r="T31" s="169">
        <v>153002789.18850002</v>
      </c>
      <c r="U31" s="169">
        <v>873600</v>
      </c>
      <c r="V31" s="327"/>
      <c r="W31" s="326">
        <f t="shared" si="24"/>
        <v>152129189.18850002</v>
      </c>
      <c r="X31" s="226">
        <f t="shared" si="25"/>
        <v>-75318810.811499983</v>
      </c>
      <c r="Y31" s="172">
        <f>W31/Q31</f>
        <v>0.66885261329402768</v>
      </c>
      <c r="Z31" s="192">
        <f t="shared" si="27"/>
        <v>304258.37837700004</v>
      </c>
    </row>
    <row r="32" spans="1:26" ht="14.5" customHeight="1" x14ac:dyDescent="0.35">
      <c r="A32" s="623"/>
      <c r="B32" s="325" t="s">
        <v>101</v>
      </c>
      <c r="C32" s="327">
        <v>357991920</v>
      </c>
      <c r="D32" s="222">
        <v>21</v>
      </c>
      <c r="E32" s="308">
        <v>18</v>
      </c>
      <c r="F32" s="169">
        <v>426700539.63930011</v>
      </c>
      <c r="G32" s="169">
        <v>7483333.3333000001</v>
      </c>
      <c r="H32" s="327"/>
      <c r="I32" s="326">
        <f t="shared" si="20"/>
        <v>419217206.30600011</v>
      </c>
      <c r="J32" s="226">
        <f t="shared" si="21"/>
        <v>61225286.306000113</v>
      </c>
      <c r="K32" s="172">
        <f t="shared" si="22"/>
        <v>1.1710242127978758</v>
      </c>
      <c r="L32" s="192">
        <f t="shared" si="23"/>
        <v>1886477.4283770008</v>
      </c>
      <c r="O32" s="614"/>
      <c r="P32" s="325" t="s">
        <v>101</v>
      </c>
      <c r="Q32" s="327">
        <v>181958400</v>
      </c>
      <c r="R32" s="222">
        <v>12</v>
      </c>
      <c r="S32" s="308">
        <v>12</v>
      </c>
      <c r="T32" s="169">
        <v>50047486.48619999</v>
      </c>
      <c r="U32" s="169">
        <v>304000</v>
      </c>
      <c r="V32" s="327"/>
      <c r="W32" s="326">
        <f t="shared" si="24"/>
        <v>49743486.48619999</v>
      </c>
      <c r="X32" s="226">
        <f t="shared" si="25"/>
        <v>-132214913.51380001</v>
      </c>
      <c r="Y32" s="172">
        <f t="shared" si="26"/>
        <v>0.27337834629343843</v>
      </c>
      <c r="Z32" s="192">
        <f t="shared" si="27"/>
        <v>0</v>
      </c>
    </row>
    <row r="33" spans="1:26" ht="14.5" customHeight="1" thickBot="1" x14ac:dyDescent="0.4">
      <c r="A33" s="623"/>
      <c r="B33" s="352" t="s">
        <v>77</v>
      </c>
      <c r="C33" s="329">
        <f t="shared" ref="C33:H33" si="28">SUM(C27:C32)</f>
        <v>1627236000</v>
      </c>
      <c r="D33" s="178">
        <f>SUM(D27:D32)</f>
        <v>104</v>
      </c>
      <c r="E33" s="178">
        <f>SUM(E27:E32)</f>
        <v>95</v>
      </c>
      <c r="F33" s="329">
        <f t="shared" si="28"/>
        <v>1686817543.2429001</v>
      </c>
      <c r="G33" s="330">
        <f t="shared" si="28"/>
        <v>43284234.234200001</v>
      </c>
      <c r="H33" s="329">
        <f t="shared" si="28"/>
        <v>0</v>
      </c>
      <c r="I33" s="329">
        <f t="shared" si="20"/>
        <v>1643533309.0087001</v>
      </c>
      <c r="J33" s="329">
        <f t="shared" si="21"/>
        <v>16297309.008700132</v>
      </c>
      <c r="K33" s="305">
        <f t="shared" si="22"/>
        <v>1.0100153321390997</v>
      </c>
      <c r="L33" s="197">
        <f>SUM(L27:L32)</f>
        <v>6746163.4407624006</v>
      </c>
      <c r="O33" s="615"/>
      <c r="P33" s="354" t="s">
        <v>77</v>
      </c>
      <c r="Q33" s="336">
        <f t="shared" ref="Q33:V33" si="29">SUM(Q27:Q32)</f>
        <v>1516320000</v>
      </c>
      <c r="R33" s="207">
        <f>SUM(R27:R32)</f>
        <v>85</v>
      </c>
      <c r="S33" s="207">
        <f t="shared" si="29"/>
        <v>74</v>
      </c>
      <c r="T33" s="336">
        <f>SUM(T27:T32)</f>
        <v>920262195.94329953</v>
      </c>
      <c r="U33" s="337">
        <f t="shared" si="29"/>
        <v>2924800</v>
      </c>
      <c r="V33" s="336">
        <f t="shared" si="29"/>
        <v>0</v>
      </c>
      <c r="W33" s="336">
        <f t="shared" si="24"/>
        <v>917337395.94329953</v>
      </c>
      <c r="X33" s="336">
        <f t="shared" si="25"/>
        <v>-598982604.05670047</v>
      </c>
      <c r="Y33" s="313">
        <f t="shared" si="26"/>
        <v>0.60497612373595255</v>
      </c>
      <c r="Z33" s="197">
        <f>SUM(Z27:Z32)</f>
        <v>2035185.7941413487</v>
      </c>
    </row>
    <row r="34" spans="1:26" ht="14.5" customHeight="1" x14ac:dyDescent="0.55000000000000004">
      <c r="B34" s="324" t="str">
        <f>$B$12</f>
        <v>TARGET Q1</v>
      </c>
      <c r="C34" s="243">
        <v>1464512400</v>
      </c>
      <c r="D34" s="597"/>
      <c r="E34" s="598"/>
      <c r="F34" s="598"/>
      <c r="G34" s="598"/>
      <c r="H34" s="599"/>
      <c r="I34" s="243">
        <f>I33</f>
        <v>1643533309.0087001</v>
      </c>
      <c r="J34" s="243">
        <f>I34-C34</f>
        <v>179020909.00870013</v>
      </c>
      <c r="K34" s="183">
        <f t="shared" si="22"/>
        <v>1.122239257932333</v>
      </c>
      <c r="L34" s="192">
        <f>IF(K34&gt;=0.9,2500000,IF(K33&gt;=1,3500000,0))</f>
        <v>2500000</v>
      </c>
      <c r="M34" s="193">
        <f>0.25%*C33</f>
        <v>4068090</v>
      </c>
      <c r="O34" s="309"/>
      <c r="P34" s="324" t="str">
        <f>$B$12</f>
        <v>TARGET Q1</v>
      </c>
      <c r="Q34" s="243">
        <v>1364688000</v>
      </c>
      <c r="R34" s="597"/>
      <c r="S34" s="598"/>
      <c r="T34" s="598"/>
      <c r="U34" s="598"/>
      <c r="V34" s="599"/>
      <c r="W34" s="243">
        <f>W33</f>
        <v>917337395.94329953</v>
      </c>
      <c r="X34" s="243">
        <f>W34-Q34</f>
        <v>-447350604.05670047</v>
      </c>
      <c r="Y34" s="183">
        <f>W34/Q34</f>
        <v>0.6721956930399472</v>
      </c>
      <c r="Z34" s="192">
        <f>IF(Y34&gt;=1,2500000,IF(Y33&gt;=1,3500000,0))</f>
        <v>0</v>
      </c>
    </row>
    <row r="35" spans="1:26" ht="24" thickBot="1" x14ac:dyDescent="0.6">
      <c r="C35" s="210">
        <f>C34/C33</f>
        <v>0.9</v>
      </c>
      <c r="G35" s="190" t="s">
        <v>158</v>
      </c>
      <c r="L35" s="192">
        <f>0.25%*C33</f>
        <v>4068090</v>
      </c>
      <c r="O35" s="309"/>
      <c r="Q35" s="210">
        <f>Q34/Q33</f>
        <v>0.9</v>
      </c>
    </row>
    <row r="36" spans="1:26" ht="19.5" customHeight="1" x14ac:dyDescent="0.35">
      <c r="A36" s="623">
        <v>4</v>
      </c>
      <c r="B36" s="352" t="s">
        <v>57</v>
      </c>
      <c r="C36" s="353" t="s">
        <v>108</v>
      </c>
      <c r="D36" s="616" t="s">
        <v>91</v>
      </c>
      <c r="E36" s="616" t="s">
        <v>62</v>
      </c>
      <c r="F36" s="604" t="s">
        <v>109</v>
      </c>
      <c r="G36" s="605"/>
      <c r="H36" s="605"/>
      <c r="I36" s="606"/>
      <c r="J36" s="621" t="s">
        <v>65</v>
      </c>
      <c r="K36" s="352" t="s">
        <v>66</v>
      </c>
      <c r="O36" s="607">
        <v>4</v>
      </c>
      <c r="P36" s="354" t="s">
        <v>57</v>
      </c>
      <c r="Q36" s="355" t="s">
        <v>53</v>
      </c>
      <c r="R36" s="591" t="s">
        <v>91</v>
      </c>
      <c r="S36" s="591" t="s">
        <v>62</v>
      </c>
      <c r="T36" s="610" t="s">
        <v>109</v>
      </c>
      <c r="U36" s="611"/>
      <c r="V36" s="611"/>
      <c r="W36" s="612"/>
      <c r="X36" s="603" t="s">
        <v>65</v>
      </c>
      <c r="Y36" s="354" t="s">
        <v>66</v>
      </c>
    </row>
    <row r="37" spans="1:26" ht="36" customHeight="1" x14ac:dyDescent="0.35">
      <c r="A37" s="623"/>
      <c r="B37" s="352" t="s">
        <v>93</v>
      </c>
      <c r="C37" s="353" t="str">
        <f>C26</f>
        <v>TARGET 100%</v>
      </c>
      <c r="D37" s="617"/>
      <c r="E37" s="617"/>
      <c r="F37" s="163" t="str">
        <f>F4</f>
        <v>OMSET JAN
 (1-31)</v>
      </c>
      <c r="G37" s="163" t="str">
        <f>G4</f>
        <v>OMSET PRODUK</v>
      </c>
      <c r="H37" s="353" t="s">
        <v>63</v>
      </c>
      <c r="I37" s="353" t="s">
        <v>64</v>
      </c>
      <c r="J37" s="622"/>
      <c r="K37" s="164">
        <f>K26</f>
        <v>1</v>
      </c>
      <c r="L37" s="214"/>
      <c r="M37" s="212"/>
      <c r="O37" s="608"/>
      <c r="P37" s="354" t="s">
        <v>93</v>
      </c>
      <c r="Q37" s="355" t="str">
        <f>Q26</f>
        <v>TARGET 100%</v>
      </c>
      <c r="R37" s="592"/>
      <c r="S37" s="592"/>
      <c r="T37" s="200" t="str">
        <f>T4</f>
        <v>OMSET JAN
 (1-31)</v>
      </c>
      <c r="U37" s="200" t="str">
        <f>G4</f>
        <v>OMSET PRODUK</v>
      </c>
      <c r="V37" s="355" t="s">
        <v>63</v>
      </c>
      <c r="W37" s="355" t="s">
        <v>64</v>
      </c>
      <c r="X37" s="603"/>
      <c r="Y37" s="201">
        <f>K37</f>
        <v>1</v>
      </c>
    </row>
    <row r="38" spans="1:26" x14ac:dyDescent="0.35">
      <c r="A38" s="623"/>
      <c r="B38" s="325" t="s">
        <v>96</v>
      </c>
      <c r="C38" s="326">
        <v>131891760.00000001</v>
      </c>
      <c r="D38" s="222">
        <v>19</v>
      </c>
      <c r="E38" s="308">
        <v>18</v>
      </c>
      <c r="F38" s="169">
        <v>102395068.91859999</v>
      </c>
      <c r="G38" s="169">
        <v>436936.93680000002</v>
      </c>
      <c r="H38" s="326"/>
      <c r="I38" s="326">
        <f t="shared" ref="I38:I44" si="30">F38-G38</f>
        <v>101958131.98179999</v>
      </c>
      <c r="J38" s="226">
        <f t="shared" ref="J38:J44" si="31">I38-C38</f>
        <v>-29933628.018200025</v>
      </c>
      <c r="K38" s="172">
        <f t="shared" ref="K38:K45" si="32">I38/C38</f>
        <v>0.77304398684042108</v>
      </c>
      <c r="L38" s="192">
        <f t="shared" ref="L38:L43" si="33">IF(K38&gt;120%, I38*0.55%, IF(K38&gt;100%, I38*0.45%, IF(K38&gt;80%, I38*0.35%, IF(K38&gt;60%, I38*0.2%, 0))))</f>
        <v>203916.26396359998</v>
      </c>
      <c r="M38" s="215"/>
      <c r="N38" s="216"/>
      <c r="O38" s="608"/>
      <c r="P38" s="325" t="s">
        <v>96</v>
      </c>
      <c r="Q38" s="326">
        <v>358020000</v>
      </c>
      <c r="R38" s="222">
        <v>12</v>
      </c>
      <c r="S38" s="308">
        <v>9</v>
      </c>
      <c r="T38" s="169">
        <v>318259203.60399997</v>
      </c>
      <c r="U38" s="169"/>
      <c r="V38" s="326"/>
      <c r="W38" s="326">
        <f>T38-U38</f>
        <v>318259203.60399997</v>
      </c>
      <c r="X38" s="226">
        <f t="shared" ref="X38:X44" si="34">W38-Q38</f>
        <v>-39760796.396000028</v>
      </c>
      <c r="Y38" s="172">
        <f t="shared" ref="Y38:Y44" si="35">W38/Q38</f>
        <v>0.88894252724428791</v>
      </c>
      <c r="Z38" s="192">
        <f t="shared" ref="Z38:Z43" si="36">IF(Y38&gt;120%, W38*0.55%, IF(Y38&gt;100%, W38*0.45%, IF(Y38&gt;80%, W38*0.35%, IF(Y38&gt;60%, W38*0.2%, 0))))</f>
        <v>1113907.2126139998</v>
      </c>
    </row>
    <row r="39" spans="1:26" x14ac:dyDescent="0.35">
      <c r="A39" s="623"/>
      <c r="B39" s="325" t="s">
        <v>97</v>
      </c>
      <c r="C39" s="327">
        <v>565250400</v>
      </c>
      <c r="D39" s="222">
        <v>13</v>
      </c>
      <c r="E39" s="308">
        <v>13</v>
      </c>
      <c r="F39" s="169">
        <v>453640663.06260002</v>
      </c>
      <c r="G39" s="328">
        <v>3333333.3333000001</v>
      </c>
      <c r="H39" s="327"/>
      <c r="I39" s="326">
        <f t="shared" si="30"/>
        <v>450307329.72930002</v>
      </c>
      <c r="J39" s="226">
        <f t="shared" si="31"/>
        <v>-114943070.27069998</v>
      </c>
      <c r="K39" s="172">
        <f t="shared" si="32"/>
        <v>0.79665105894538069</v>
      </c>
      <c r="L39" s="192">
        <f t="shared" si="33"/>
        <v>900614.6594586001</v>
      </c>
      <c r="M39" s="215"/>
      <c r="N39" s="216"/>
      <c r="O39" s="608"/>
      <c r="P39" s="325" t="s">
        <v>97</v>
      </c>
      <c r="Q39" s="327">
        <v>210600000</v>
      </c>
      <c r="R39" s="222">
        <v>8</v>
      </c>
      <c r="S39" s="308">
        <v>7</v>
      </c>
      <c r="T39" s="169">
        <v>31288837.837700002</v>
      </c>
      <c r="U39" s="328"/>
      <c r="V39" s="327"/>
      <c r="W39" s="326">
        <f>T39-U39</f>
        <v>31288837.837700002</v>
      </c>
      <c r="X39" s="226">
        <f t="shared" si="34"/>
        <v>-179311162.16229999</v>
      </c>
      <c r="Y39" s="172">
        <f t="shared" si="35"/>
        <v>0.14856998023599241</v>
      </c>
      <c r="Z39" s="192">
        <f t="shared" si="36"/>
        <v>0</v>
      </c>
    </row>
    <row r="40" spans="1:26" x14ac:dyDescent="0.35">
      <c r="A40" s="623"/>
      <c r="B40" s="325" t="s">
        <v>98</v>
      </c>
      <c r="C40" s="327">
        <v>546408720</v>
      </c>
      <c r="D40" s="222">
        <v>15</v>
      </c>
      <c r="E40" s="308">
        <v>14</v>
      </c>
      <c r="F40" s="169">
        <v>427118861.74280006</v>
      </c>
      <c r="G40" s="169">
        <v>4990990.9910000004</v>
      </c>
      <c r="H40" s="327"/>
      <c r="I40" s="326">
        <f t="shared" si="30"/>
        <v>422127870.75180006</v>
      </c>
      <c r="J40" s="226">
        <f t="shared" si="31"/>
        <v>-124280849.24819994</v>
      </c>
      <c r="K40" s="172">
        <f t="shared" si="32"/>
        <v>0.77254965980740586</v>
      </c>
      <c r="L40" s="192">
        <f t="shared" si="33"/>
        <v>844255.74150360015</v>
      </c>
      <c r="M40" s="215"/>
      <c r="N40" s="216"/>
      <c r="O40" s="608"/>
      <c r="P40" s="325" t="s">
        <v>98</v>
      </c>
      <c r="Q40" s="327">
        <v>336960000</v>
      </c>
      <c r="R40" s="222">
        <v>15</v>
      </c>
      <c r="S40" s="308">
        <v>13</v>
      </c>
      <c r="T40" s="169">
        <v>265532225.22479999</v>
      </c>
      <c r="U40" s="169"/>
      <c r="V40" s="327"/>
      <c r="W40" s="326">
        <f t="shared" ref="W40:W44" si="37">T40-U40</f>
        <v>265532225.22479999</v>
      </c>
      <c r="X40" s="226">
        <f t="shared" si="34"/>
        <v>-71427774.775200009</v>
      </c>
      <c r="Y40" s="172">
        <f t="shared" si="35"/>
        <v>0.78802298559116801</v>
      </c>
      <c r="Z40" s="192">
        <f t="shared" si="36"/>
        <v>531064.4504496</v>
      </c>
    </row>
    <row r="41" spans="1:26" x14ac:dyDescent="0.35">
      <c r="A41" s="623"/>
      <c r="B41" s="325" t="s">
        <v>99</v>
      </c>
      <c r="C41" s="327">
        <v>244941840</v>
      </c>
      <c r="D41" s="222">
        <v>13</v>
      </c>
      <c r="E41" s="308">
        <v>12</v>
      </c>
      <c r="F41" s="169">
        <v>141034338.27939999</v>
      </c>
      <c r="G41" s="169">
        <v>288288.28820000001</v>
      </c>
      <c r="H41" s="327"/>
      <c r="I41" s="326">
        <f t="shared" si="30"/>
        <v>140746049.9912</v>
      </c>
      <c r="J41" s="226">
        <f t="shared" si="31"/>
        <v>-104195790.0088</v>
      </c>
      <c r="K41" s="172">
        <f t="shared" si="32"/>
        <v>0.57461007883014192</v>
      </c>
      <c r="L41" s="192">
        <f t="shared" si="33"/>
        <v>0</v>
      </c>
      <c r="M41" s="215"/>
      <c r="N41" s="216"/>
      <c r="O41" s="608"/>
      <c r="P41" s="325" t="s">
        <v>99</v>
      </c>
      <c r="Q41" s="327">
        <v>737100000</v>
      </c>
      <c r="R41" s="222">
        <v>17</v>
      </c>
      <c r="S41" s="308">
        <v>18</v>
      </c>
      <c r="T41" s="169">
        <v>784823581.08090031</v>
      </c>
      <c r="U41" s="169"/>
      <c r="V41" s="327"/>
      <c r="W41" s="326">
        <f t="shared" si="37"/>
        <v>784823581.08090031</v>
      </c>
      <c r="X41" s="226">
        <f t="shared" si="34"/>
        <v>47723581.080900311</v>
      </c>
      <c r="Y41" s="172">
        <f t="shared" si="35"/>
        <v>1.0647450564114778</v>
      </c>
      <c r="Z41" s="192">
        <f t="shared" si="36"/>
        <v>3531706.1148640518</v>
      </c>
    </row>
    <row r="42" spans="1:26" x14ac:dyDescent="0.35">
      <c r="A42" s="623"/>
      <c r="B42" s="325" t="s">
        <v>100</v>
      </c>
      <c r="C42" s="327">
        <v>188416800</v>
      </c>
      <c r="D42" s="222">
        <v>14</v>
      </c>
      <c r="E42" s="308">
        <v>9</v>
      </c>
      <c r="F42" s="169">
        <v>46535655.855499983</v>
      </c>
      <c r="G42" s="169">
        <v>965765.76570000011</v>
      </c>
      <c r="H42" s="327"/>
      <c r="I42" s="326">
        <f t="shared" si="30"/>
        <v>45569890.089799985</v>
      </c>
      <c r="J42" s="226">
        <f t="shared" si="31"/>
        <v>-142846909.9102</v>
      </c>
      <c r="K42" s="172">
        <f t="shared" si="32"/>
        <v>0.24185683065310518</v>
      </c>
      <c r="L42" s="192">
        <f t="shared" si="33"/>
        <v>0</v>
      </c>
      <c r="M42" s="215"/>
      <c r="N42" s="216"/>
      <c r="O42" s="608"/>
      <c r="P42" s="325" t="s">
        <v>100</v>
      </c>
      <c r="Q42" s="327">
        <v>252720000</v>
      </c>
      <c r="R42" s="222">
        <v>12</v>
      </c>
      <c r="S42" s="308">
        <v>9</v>
      </c>
      <c r="T42" s="169">
        <v>117122765.76630005</v>
      </c>
      <c r="U42" s="169"/>
      <c r="V42" s="327"/>
      <c r="W42" s="326">
        <f t="shared" si="37"/>
        <v>117122765.76630005</v>
      </c>
      <c r="X42" s="226">
        <f t="shared" si="34"/>
        <v>-135597234.23369995</v>
      </c>
      <c r="Y42" s="172">
        <f t="shared" si="35"/>
        <v>0.46344874076566972</v>
      </c>
      <c r="Z42" s="192">
        <f t="shared" si="36"/>
        <v>0</v>
      </c>
    </row>
    <row r="43" spans="1:26" x14ac:dyDescent="0.35">
      <c r="A43" s="623"/>
      <c r="B43" s="325" t="s">
        <v>101</v>
      </c>
      <c r="C43" s="327">
        <v>207258480</v>
      </c>
      <c r="D43" s="222">
        <v>17</v>
      </c>
      <c r="E43" s="308">
        <v>15</v>
      </c>
      <c r="F43" s="169">
        <v>138968080.17910001</v>
      </c>
      <c r="G43" s="169">
        <v>554954.95490000001</v>
      </c>
      <c r="H43" s="327"/>
      <c r="I43" s="326">
        <f t="shared" si="30"/>
        <v>138413125.22420001</v>
      </c>
      <c r="J43" s="226">
        <f t="shared" si="31"/>
        <v>-68845354.77579999</v>
      </c>
      <c r="K43" s="172">
        <f t="shared" si="32"/>
        <v>0.66782852611965504</v>
      </c>
      <c r="L43" s="192">
        <f t="shared" si="33"/>
        <v>276826.25044840004</v>
      </c>
      <c r="M43" s="215"/>
      <c r="N43" s="216"/>
      <c r="O43" s="608"/>
      <c r="P43" s="325" t="s">
        <v>101</v>
      </c>
      <c r="Q43" s="327">
        <v>210600000</v>
      </c>
      <c r="R43" s="222">
        <v>7</v>
      </c>
      <c r="S43" s="308">
        <v>5</v>
      </c>
      <c r="T43" s="169">
        <v>74652846.846900001</v>
      </c>
      <c r="U43" s="169"/>
      <c r="V43" s="327"/>
      <c r="W43" s="326">
        <f t="shared" si="37"/>
        <v>74652846.846900001</v>
      </c>
      <c r="X43" s="226">
        <f t="shared" si="34"/>
        <v>-135947153.15310001</v>
      </c>
      <c r="Y43" s="172">
        <f t="shared" si="35"/>
        <v>0.3544769555883191</v>
      </c>
      <c r="Z43" s="192">
        <f t="shared" si="36"/>
        <v>0</v>
      </c>
    </row>
    <row r="44" spans="1:26" ht="14.5" customHeight="1" thickBot="1" x14ac:dyDescent="0.4">
      <c r="A44" s="623"/>
      <c r="B44" s="352" t="s">
        <v>77</v>
      </c>
      <c r="C44" s="329">
        <f>SUM(C38:C43)</f>
        <v>1884168000</v>
      </c>
      <c r="D44" s="178">
        <f>SUM(D38:D43)</f>
        <v>91</v>
      </c>
      <c r="E44" s="178">
        <f t="shared" ref="E44:H44" si="38">SUM(E38:E43)</f>
        <v>81</v>
      </c>
      <c r="F44" s="329">
        <f>SUM(F38:F43)</f>
        <v>1309692668.0379999</v>
      </c>
      <c r="G44" s="330">
        <f>SUM(G38:G43)</f>
        <v>10570270.269900002</v>
      </c>
      <c r="H44" s="329">
        <f t="shared" si="38"/>
        <v>0</v>
      </c>
      <c r="I44" s="329">
        <f t="shared" si="30"/>
        <v>1299122397.7680998</v>
      </c>
      <c r="J44" s="329">
        <f t="shared" si="31"/>
        <v>-585045602.23190022</v>
      </c>
      <c r="K44" s="305">
        <f t="shared" si="32"/>
        <v>0.68949392929298225</v>
      </c>
      <c r="L44" s="197">
        <f>SUM(L38:L43)</f>
        <v>2225612.9153742003</v>
      </c>
      <c r="O44" s="609"/>
      <c r="P44" s="354" t="s">
        <v>77</v>
      </c>
      <c r="Q44" s="336">
        <f t="shared" ref="Q44:V44" si="39">SUM(Q38:Q43)</f>
        <v>2106000000</v>
      </c>
      <c r="R44" s="207">
        <f>SUM(R38:R43)</f>
        <v>71</v>
      </c>
      <c r="S44" s="207">
        <f t="shared" si="39"/>
        <v>61</v>
      </c>
      <c r="T44" s="336">
        <f t="shared" si="39"/>
        <v>1591679460.3606002</v>
      </c>
      <c r="U44" s="337">
        <f>SUM(U38:U43)</f>
        <v>0</v>
      </c>
      <c r="V44" s="336">
        <f t="shared" si="39"/>
        <v>0</v>
      </c>
      <c r="W44" s="336">
        <f t="shared" si="37"/>
        <v>1591679460.3606002</v>
      </c>
      <c r="X44" s="336">
        <f t="shared" si="34"/>
        <v>-514320539.63939977</v>
      </c>
      <c r="Y44" s="313">
        <f t="shared" si="35"/>
        <v>0.75578321954444461</v>
      </c>
      <c r="Z44" s="197">
        <f>SUM(Z38:Z43)</f>
        <v>5176677.777927652</v>
      </c>
    </row>
    <row r="45" spans="1:26" ht="14.5" customHeight="1" x14ac:dyDescent="0.55000000000000004">
      <c r="B45" s="324" t="str">
        <f>$B$12</f>
        <v>TARGET Q1</v>
      </c>
      <c r="C45" s="243">
        <v>1695751200</v>
      </c>
      <c r="D45" s="597"/>
      <c r="E45" s="598"/>
      <c r="F45" s="598"/>
      <c r="G45" s="598"/>
      <c r="H45" s="599"/>
      <c r="I45" s="243">
        <f>I44</f>
        <v>1299122397.7680998</v>
      </c>
      <c r="J45" s="243">
        <f>I45-C45</f>
        <v>-396628802.23190022</v>
      </c>
      <c r="K45" s="183">
        <f t="shared" si="32"/>
        <v>0.76610436588109143</v>
      </c>
      <c r="L45" s="192">
        <f>IF(K45&gt;=1,2500000,IF(K44&gt;=1,3500000,0))</f>
        <v>0</v>
      </c>
      <c r="O45" s="309"/>
      <c r="P45" s="324" t="str">
        <f>$B$12</f>
        <v>TARGET Q1</v>
      </c>
      <c r="Q45" s="243">
        <v>1895400000</v>
      </c>
      <c r="R45" s="597"/>
      <c r="S45" s="598"/>
      <c r="T45" s="598"/>
      <c r="U45" s="598"/>
      <c r="V45" s="599"/>
      <c r="W45" s="243">
        <f>W44</f>
        <v>1591679460.3606002</v>
      </c>
      <c r="X45" s="243">
        <f>W45-Q45</f>
        <v>-303720539.63939977</v>
      </c>
      <c r="Y45" s="183">
        <f>W45/Q45</f>
        <v>0.83975913282716064</v>
      </c>
      <c r="Z45" s="192">
        <f>IF(Y45&gt;=1,2500000,IF(Y44&gt;=1,3500000,0))</f>
        <v>0</v>
      </c>
    </row>
    <row r="46" spans="1:26" ht="24" thickBot="1" x14ac:dyDescent="0.6">
      <c r="C46" s="210">
        <f>C45/C44</f>
        <v>0.9</v>
      </c>
      <c r="O46" s="309"/>
      <c r="Q46" s="210">
        <f>Q45/Q44</f>
        <v>0.9</v>
      </c>
    </row>
    <row r="47" spans="1:26" ht="19.5" customHeight="1" x14ac:dyDescent="0.35">
      <c r="A47" s="627">
        <v>5</v>
      </c>
      <c r="B47" s="352" t="s">
        <v>57</v>
      </c>
      <c r="C47" s="353" t="s">
        <v>35</v>
      </c>
      <c r="D47" s="616" t="s">
        <v>91</v>
      </c>
      <c r="E47" s="616" t="s">
        <v>62</v>
      </c>
      <c r="F47" s="604" t="s">
        <v>110</v>
      </c>
      <c r="G47" s="605"/>
      <c r="H47" s="605"/>
      <c r="I47" s="606"/>
      <c r="J47" s="587" t="s">
        <v>65</v>
      </c>
      <c r="K47" s="352" t="s">
        <v>66</v>
      </c>
      <c r="O47" s="613">
        <v>5</v>
      </c>
      <c r="P47" s="354" t="s">
        <v>57</v>
      </c>
      <c r="Q47" s="355" t="s">
        <v>111</v>
      </c>
      <c r="R47" s="591" t="s">
        <v>91</v>
      </c>
      <c r="S47" s="591" t="s">
        <v>62</v>
      </c>
      <c r="T47" s="610" t="s">
        <v>110</v>
      </c>
      <c r="U47" s="611"/>
      <c r="V47" s="611"/>
      <c r="W47" s="612"/>
      <c r="X47" s="603" t="s">
        <v>65</v>
      </c>
      <c r="Y47" s="354" t="s">
        <v>66</v>
      </c>
    </row>
    <row r="48" spans="1:26" ht="36" customHeight="1" x14ac:dyDescent="0.35">
      <c r="A48" s="628"/>
      <c r="B48" s="352" t="s">
        <v>93</v>
      </c>
      <c r="C48" s="353" t="str">
        <f>C37</f>
        <v>TARGET 100%</v>
      </c>
      <c r="D48" s="617"/>
      <c r="E48" s="617"/>
      <c r="F48" s="163" t="str">
        <f>F4</f>
        <v>OMSET JAN
 (1-31)</v>
      </c>
      <c r="G48" s="163" t="str">
        <f>G4</f>
        <v>OMSET PRODUK</v>
      </c>
      <c r="H48" s="353" t="s">
        <v>63</v>
      </c>
      <c r="I48" s="353" t="s">
        <v>64</v>
      </c>
      <c r="J48" s="587"/>
      <c r="K48" s="164">
        <f>K37</f>
        <v>1</v>
      </c>
      <c r="L48" s="211"/>
      <c r="M48" s="212"/>
      <c r="O48" s="614"/>
      <c r="P48" s="354" t="s">
        <v>93</v>
      </c>
      <c r="Q48" s="355" t="str">
        <f>Q37</f>
        <v>TARGET 100%</v>
      </c>
      <c r="R48" s="592"/>
      <c r="S48" s="592"/>
      <c r="T48" s="200" t="str">
        <f>T4</f>
        <v>OMSET JAN
 (1-31)</v>
      </c>
      <c r="U48" s="200" t="str">
        <f>G4</f>
        <v>OMSET PRODUK</v>
      </c>
      <c r="V48" s="355" t="s">
        <v>63</v>
      </c>
      <c r="W48" s="355" t="s">
        <v>64</v>
      </c>
      <c r="X48" s="603"/>
      <c r="Y48" s="201">
        <f>K48</f>
        <v>1</v>
      </c>
    </row>
    <row r="49" spans="1:26" ht="14.5" customHeight="1" x14ac:dyDescent="0.35">
      <c r="A49" s="628"/>
      <c r="B49" s="325" t="s">
        <v>96</v>
      </c>
      <c r="C49" s="326">
        <v>179852400</v>
      </c>
      <c r="D49" s="222">
        <v>20</v>
      </c>
      <c r="E49" s="308">
        <v>17</v>
      </c>
      <c r="F49" s="169">
        <v>176156746.84630001</v>
      </c>
      <c r="G49" s="169">
        <v>6910810.8108000001</v>
      </c>
      <c r="H49" s="326"/>
      <c r="I49" s="326">
        <f t="shared" ref="I49:I55" si="40">F49-G49</f>
        <v>169245936.03550002</v>
      </c>
      <c r="J49" s="226">
        <f t="shared" ref="J49:J55" si="41">I49-C49</f>
        <v>-10606463.96449998</v>
      </c>
      <c r="K49" s="172">
        <f t="shared" ref="K49:K56" si="42">I49/C49</f>
        <v>0.94102684220783273</v>
      </c>
      <c r="L49" s="192">
        <f t="shared" ref="L49:L54" si="43">IF(K49&gt;120%, I49*0.55%, IF(K49&gt;100%, I49*0.45%, IF(K49&gt;80%, I49*0.35%, IF(K49&gt;60%, I49*0.2%, 0))))</f>
        <v>592360.77612425003</v>
      </c>
      <c r="O49" s="614"/>
      <c r="P49" s="325" t="s">
        <v>96</v>
      </c>
      <c r="Q49" s="326">
        <v>775008000</v>
      </c>
      <c r="R49" s="222">
        <v>26</v>
      </c>
      <c r="S49" s="308">
        <v>26</v>
      </c>
      <c r="T49" s="169">
        <v>897929662.16230011</v>
      </c>
      <c r="U49" s="169">
        <v>2280000</v>
      </c>
      <c r="V49" s="326"/>
      <c r="W49" s="326">
        <f t="shared" ref="W49:W55" si="44">T49-U49</f>
        <v>895649662.16230011</v>
      </c>
      <c r="X49" s="226">
        <f t="shared" ref="X49:X55" si="45">W49-Q49</f>
        <v>120641662.16230011</v>
      </c>
      <c r="Y49" s="172">
        <f t="shared" ref="Y49:Y55" si="46">W49/Q49</f>
        <v>1.1556650539895073</v>
      </c>
      <c r="Z49" s="192">
        <f t="shared" ref="Z49:Z54" si="47">IF(Y49&gt;120%, W49*0.55%, IF(Y49&gt;100%, W49*0.45%, IF(Y49&gt;80%, W49*0.35%, IF(Y49&gt;60%, W49*0.2%, 0))))</f>
        <v>4030423.4797303509</v>
      </c>
    </row>
    <row r="50" spans="1:26" ht="14.5" customHeight="1" x14ac:dyDescent="0.35">
      <c r="A50" s="628"/>
      <c r="B50" s="325" t="s">
        <v>97</v>
      </c>
      <c r="C50" s="327">
        <v>701424360</v>
      </c>
      <c r="D50" s="222">
        <v>33</v>
      </c>
      <c r="E50" s="308">
        <v>31</v>
      </c>
      <c r="F50" s="169">
        <v>768618783.57369995</v>
      </c>
      <c r="G50" s="328">
        <v>3733333.3333999999</v>
      </c>
      <c r="H50" s="327"/>
      <c r="I50" s="326">
        <f t="shared" si="40"/>
        <v>764885450.24029994</v>
      </c>
      <c r="J50" s="226">
        <f t="shared" si="41"/>
        <v>63461090.24029994</v>
      </c>
      <c r="K50" s="172">
        <f t="shared" si="42"/>
        <v>1.0904746026218706</v>
      </c>
      <c r="L50" s="192">
        <f t="shared" si="43"/>
        <v>3441984.5260813502</v>
      </c>
      <c r="N50" s="216"/>
      <c r="O50" s="614"/>
      <c r="P50" s="325" t="s">
        <v>97</v>
      </c>
      <c r="Q50" s="327">
        <v>348753600</v>
      </c>
      <c r="R50" s="222">
        <v>13</v>
      </c>
      <c r="S50" s="308">
        <v>13</v>
      </c>
      <c r="T50" s="169">
        <v>121770109.90939997</v>
      </c>
      <c r="U50" s="328">
        <v>291200</v>
      </c>
      <c r="V50" s="327"/>
      <c r="W50" s="326">
        <f t="shared" si="44"/>
        <v>121478909.90939997</v>
      </c>
      <c r="X50" s="226">
        <f t="shared" si="45"/>
        <v>-227274690.09060001</v>
      </c>
      <c r="Y50" s="172">
        <f t="shared" si="46"/>
        <v>0.34832302780358387</v>
      </c>
      <c r="Z50" s="192">
        <f t="shared" si="47"/>
        <v>0</v>
      </c>
    </row>
    <row r="51" spans="1:26" ht="14.5" customHeight="1" x14ac:dyDescent="0.35">
      <c r="A51" s="628"/>
      <c r="B51" s="325" t="s">
        <v>98</v>
      </c>
      <c r="C51" s="327">
        <v>377690040</v>
      </c>
      <c r="D51" s="222">
        <v>24</v>
      </c>
      <c r="E51" s="308">
        <v>20</v>
      </c>
      <c r="F51" s="169">
        <v>376095280.18000048</v>
      </c>
      <c r="G51" s="169">
        <v>2666666.6666999999</v>
      </c>
      <c r="H51" s="327"/>
      <c r="I51" s="326">
        <f t="shared" si="40"/>
        <v>373428613.51330048</v>
      </c>
      <c r="J51" s="226">
        <f t="shared" si="41"/>
        <v>-4261426.4866995215</v>
      </c>
      <c r="K51" s="172">
        <f t="shared" si="42"/>
        <v>0.9887171330048854</v>
      </c>
      <c r="L51" s="192">
        <f t="shared" si="43"/>
        <v>1307000.1472965516</v>
      </c>
      <c r="M51" s="191"/>
      <c r="N51" s="216"/>
      <c r="O51" s="614"/>
      <c r="P51" s="325" t="s">
        <v>98</v>
      </c>
      <c r="Q51" s="327">
        <v>193752000</v>
      </c>
      <c r="R51" s="222">
        <v>14</v>
      </c>
      <c r="S51" s="308">
        <v>14</v>
      </c>
      <c r="T51" s="169">
        <v>106008428.10819997</v>
      </c>
      <c r="U51" s="169">
        <v>902356.75689999992</v>
      </c>
      <c r="V51" s="327"/>
      <c r="W51" s="326">
        <f t="shared" si="44"/>
        <v>105106071.35129997</v>
      </c>
      <c r="X51" s="226">
        <f t="shared" si="45"/>
        <v>-88645928.648700029</v>
      </c>
      <c r="Y51" s="172">
        <f t="shared" si="46"/>
        <v>0.54247734914375068</v>
      </c>
      <c r="Z51" s="192">
        <f t="shared" si="47"/>
        <v>0</v>
      </c>
    </row>
    <row r="52" spans="1:26" ht="14.5" customHeight="1" x14ac:dyDescent="0.35">
      <c r="A52" s="628"/>
      <c r="B52" s="325" t="s">
        <v>99</v>
      </c>
      <c r="C52" s="327">
        <v>233808120</v>
      </c>
      <c r="D52" s="222">
        <v>18</v>
      </c>
      <c r="E52" s="308">
        <v>16</v>
      </c>
      <c r="F52" s="169">
        <v>226110696.59440014</v>
      </c>
      <c r="G52" s="169">
        <v>741333.33330000006</v>
      </c>
      <c r="H52" s="327"/>
      <c r="I52" s="326">
        <f t="shared" si="40"/>
        <v>225369363.26110014</v>
      </c>
      <c r="J52" s="226">
        <f t="shared" si="41"/>
        <v>-8438756.7388998568</v>
      </c>
      <c r="K52" s="172">
        <f t="shared" si="42"/>
        <v>0.96390734103289544</v>
      </c>
      <c r="L52" s="192">
        <f t="shared" si="43"/>
        <v>788792.77141385037</v>
      </c>
      <c r="N52" s="216"/>
      <c r="O52" s="614"/>
      <c r="P52" s="325" t="s">
        <v>99</v>
      </c>
      <c r="Q52" s="327">
        <v>193752000</v>
      </c>
      <c r="R52" s="222">
        <v>13</v>
      </c>
      <c r="S52" s="308">
        <v>12</v>
      </c>
      <c r="T52" s="169">
        <v>99981061.216000021</v>
      </c>
      <c r="U52" s="169">
        <v>1164800</v>
      </c>
      <c r="V52" s="327"/>
      <c r="W52" s="326">
        <f t="shared" si="44"/>
        <v>98816261.216000021</v>
      </c>
      <c r="X52" s="226">
        <f t="shared" si="45"/>
        <v>-94935738.783999979</v>
      </c>
      <c r="Y52" s="172">
        <f t="shared" si="46"/>
        <v>0.51001414806556844</v>
      </c>
      <c r="Z52" s="192">
        <f t="shared" si="47"/>
        <v>0</v>
      </c>
    </row>
    <row r="53" spans="1:26" ht="14.5" customHeight="1" x14ac:dyDescent="0.35">
      <c r="A53" s="628"/>
      <c r="B53" s="325" t="s">
        <v>100</v>
      </c>
      <c r="C53" s="327">
        <v>125896680.00000001</v>
      </c>
      <c r="D53" s="222">
        <v>18</v>
      </c>
      <c r="E53" s="308">
        <v>14</v>
      </c>
      <c r="F53" s="169">
        <v>76141572.521800026</v>
      </c>
      <c r="G53" s="169">
        <v>2094342.3423000001</v>
      </c>
      <c r="H53" s="327"/>
      <c r="I53" s="326">
        <f t="shared" si="40"/>
        <v>74047230.179500028</v>
      </c>
      <c r="J53" s="226">
        <f t="shared" si="41"/>
        <v>-51849449.820499986</v>
      </c>
      <c r="K53" s="172">
        <f t="shared" si="42"/>
        <v>0.58815872014655213</v>
      </c>
      <c r="L53" s="192">
        <f t="shared" si="43"/>
        <v>0</v>
      </c>
      <c r="N53" s="216"/>
      <c r="O53" s="614"/>
      <c r="P53" s="325" t="s">
        <v>100</v>
      </c>
      <c r="Q53" s="327">
        <v>213127200</v>
      </c>
      <c r="R53" s="222">
        <v>13</v>
      </c>
      <c r="S53" s="308">
        <v>10</v>
      </c>
      <c r="T53" s="169">
        <v>70739641.441200003</v>
      </c>
      <c r="U53" s="169">
        <v>1882609.0092000002</v>
      </c>
      <c r="V53" s="327"/>
      <c r="W53" s="326">
        <f t="shared" si="44"/>
        <v>68857032.431999996</v>
      </c>
      <c r="X53" s="226">
        <f t="shared" si="45"/>
        <v>-144270167.56800002</v>
      </c>
      <c r="Y53" s="172">
        <f t="shared" si="46"/>
        <v>0.32307951510647159</v>
      </c>
      <c r="Z53" s="192">
        <f t="shared" si="47"/>
        <v>0</v>
      </c>
    </row>
    <row r="54" spans="1:26" ht="14.5" customHeight="1" x14ac:dyDescent="0.35">
      <c r="A54" s="628"/>
      <c r="B54" s="325" t="s">
        <v>101</v>
      </c>
      <c r="C54" s="327">
        <v>179852400</v>
      </c>
      <c r="D54" s="222">
        <v>13</v>
      </c>
      <c r="E54" s="308">
        <v>12</v>
      </c>
      <c r="F54" s="169">
        <v>133333169.90159999</v>
      </c>
      <c r="G54" s="169">
        <v>1350000.0000999998</v>
      </c>
      <c r="H54" s="327"/>
      <c r="I54" s="326">
        <f t="shared" si="40"/>
        <v>131983169.90149999</v>
      </c>
      <c r="J54" s="226">
        <f t="shared" si="41"/>
        <v>-47869230.098500013</v>
      </c>
      <c r="K54" s="172">
        <f t="shared" si="42"/>
        <v>0.73384158288407597</v>
      </c>
      <c r="L54" s="192">
        <f t="shared" si="43"/>
        <v>263966.33980299998</v>
      </c>
      <c r="N54" s="216"/>
      <c r="O54" s="614"/>
      <c r="P54" s="325" t="s">
        <v>101</v>
      </c>
      <c r="Q54" s="327">
        <v>213127200</v>
      </c>
      <c r="R54" s="222">
        <v>13</v>
      </c>
      <c r="S54" s="308">
        <v>10</v>
      </c>
      <c r="T54" s="169">
        <v>42171729.729800016</v>
      </c>
      <c r="U54" s="169"/>
      <c r="V54" s="327"/>
      <c r="W54" s="326">
        <f t="shared" si="44"/>
        <v>42171729.729800016</v>
      </c>
      <c r="X54" s="226">
        <f t="shared" si="45"/>
        <v>-170955470.27019998</v>
      </c>
      <c r="Y54" s="172">
        <f t="shared" si="46"/>
        <v>0.19787117613237548</v>
      </c>
      <c r="Z54" s="192">
        <f t="shared" si="47"/>
        <v>0</v>
      </c>
    </row>
    <row r="55" spans="1:26" ht="14.5" customHeight="1" thickBot="1" x14ac:dyDescent="0.4">
      <c r="A55" s="628"/>
      <c r="B55" s="352" t="s">
        <v>77</v>
      </c>
      <c r="C55" s="329">
        <f t="shared" ref="C55:H55" si="48">SUM(C49:C54)</f>
        <v>1798524000</v>
      </c>
      <c r="D55" s="178">
        <f t="shared" si="48"/>
        <v>126</v>
      </c>
      <c r="E55" s="178">
        <f t="shared" si="48"/>
        <v>110</v>
      </c>
      <c r="F55" s="329">
        <f t="shared" si="48"/>
        <v>1756456249.6178005</v>
      </c>
      <c r="G55" s="330">
        <f t="shared" si="48"/>
        <v>17496486.4866</v>
      </c>
      <c r="H55" s="329">
        <f t="shared" si="48"/>
        <v>0</v>
      </c>
      <c r="I55" s="329">
        <f t="shared" si="40"/>
        <v>1738959763.1312006</v>
      </c>
      <c r="J55" s="329">
        <f t="shared" si="41"/>
        <v>-59564236.868799448</v>
      </c>
      <c r="K55" s="305">
        <f t="shared" si="42"/>
        <v>0.96688160020728142</v>
      </c>
      <c r="L55" s="197">
        <f>SUM(L49:L54)</f>
        <v>6394104.560719002</v>
      </c>
      <c r="O55" s="615"/>
      <c r="P55" s="354" t="s">
        <v>77</v>
      </c>
      <c r="Q55" s="336">
        <f t="shared" ref="Q55:V55" si="49">SUM(Q49:Q54)</f>
        <v>1937520000</v>
      </c>
      <c r="R55" s="207">
        <f>SUM(R49:R54)</f>
        <v>92</v>
      </c>
      <c r="S55" s="207">
        <f t="shared" si="49"/>
        <v>85</v>
      </c>
      <c r="T55" s="336">
        <f>SUM(T49:T54)</f>
        <v>1338600632.5669003</v>
      </c>
      <c r="U55" s="337">
        <f t="shared" si="49"/>
        <v>6520965.7660999997</v>
      </c>
      <c r="V55" s="336">
        <f t="shared" si="49"/>
        <v>0</v>
      </c>
      <c r="W55" s="336">
        <f t="shared" si="44"/>
        <v>1332079666.8008003</v>
      </c>
      <c r="X55" s="336">
        <f t="shared" si="45"/>
        <v>-605440333.19919968</v>
      </c>
      <c r="Y55" s="313">
        <f t="shared" si="46"/>
        <v>0.68751789235765326</v>
      </c>
      <c r="Z55" s="197">
        <f>SUM(Z49:Z54)</f>
        <v>4030423.4797303509</v>
      </c>
    </row>
    <row r="56" spans="1:26" ht="14.5" customHeight="1" x14ac:dyDescent="0.55000000000000004">
      <c r="B56" s="324" t="str">
        <f>$B$12</f>
        <v>TARGET Q1</v>
      </c>
      <c r="C56" s="243">
        <v>1618671600</v>
      </c>
      <c r="D56" s="597"/>
      <c r="E56" s="598"/>
      <c r="F56" s="598"/>
      <c r="G56" s="598"/>
      <c r="H56" s="599"/>
      <c r="I56" s="243">
        <f>I55</f>
        <v>1738959763.1312006</v>
      </c>
      <c r="J56" s="243">
        <f>I56-C56</f>
        <v>120288163.13120055</v>
      </c>
      <c r="K56" s="183">
        <f t="shared" si="42"/>
        <v>1.0743128891192015</v>
      </c>
      <c r="L56" s="192">
        <f>IF(K56&gt;=1,2500000,IF(K55&gt;=1,3500000,0))</f>
        <v>2500000</v>
      </c>
      <c r="O56" s="309"/>
      <c r="P56" s="324" t="str">
        <f>$B$12</f>
        <v>TARGET Q1</v>
      </c>
      <c r="Q56" s="243">
        <v>1743768000</v>
      </c>
      <c r="R56" s="597"/>
      <c r="S56" s="598"/>
      <c r="T56" s="598"/>
      <c r="U56" s="598"/>
      <c r="V56" s="599"/>
      <c r="W56" s="243">
        <f>W55</f>
        <v>1332079666.8008003</v>
      </c>
      <c r="X56" s="243">
        <f>W56-Q56</f>
        <v>-411688333.19919968</v>
      </c>
      <c r="Y56" s="183">
        <f>W56/Q56</f>
        <v>0.76390876928628137</v>
      </c>
      <c r="Z56" s="192">
        <f>IF(Y56&gt;=1,2500000,IF(Y55&gt;=1,3500000,0))</f>
        <v>0</v>
      </c>
    </row>
    <row r="57" spans="1:26" ht="24" thickBot="1" x14ac:dyDescent="0.6">
      <c r="C57" s="210">
        <f>C56/C55</f>
        <v>0.9</v>
      </c>
      <c r="O57" s="309"/>
      <c r="Q57" s="210">
        <f>Q56/Q55</f>
        <v>0.9</v>
      </c>
    </row>
    <row r="58" spans="1:26" ht="19.5" customHeight="1" x14ac:dyDescent="0.35">
      <c r="A58" s="626">
        <v>6</v>
      </c>
      <c r="B58" s="352" t="s">
        <v>57</v>
      </c>
      <c r="C58" s="353" t="s">
        <v>34</v>
      </c>
      <c r="D58" s="616" t="s">
        <v>91</v>
      </c>
      <c r="E58" s="616" t="s">
        <v>62</v>
      </c>
      <c r="F58" s="604" t="s">
        <v>112</v>
      </c>
      <c r="G58" s="605"/>
      <c r="H58" s="605"/>
      <c r="I58" s="606"/>
      <c r="J58" s="587" t="s">
        <v>65</v>
      </c>
      <c r="K58" s="352" t="s">
        <v>66</v>
      </c>
      <c r="O58" s="618">
        <v>6</v>
      </c>
      <c r="P58" s="354" t="s">
        <v>57</v>
      </c>
      <c r="Q58" s="355" t="s">
        <v>51</v>
      </c>
      <c r="R58" s="591" t="s">
        <v>91</v>
      </c>
      <c r="S58" s="591" t="s">
        <v>62</v>
      </c>
      <c r="T58" s="610" t="s">
        <v>112</v>
      </c>
      <c r="U58" s="611"/>
      <c r="V58" s="611"/>
      <c r="W58" s="612"/>
      <c r="X58" s="603" t="s">
        <v>65</v>
      </c>
      <c r="Y58" s="354" t="s">
        <v>66</v>
      </c>
    </row>
    <row r="59" spans="1:26" ht="36" customHeight="1" x14ac:dyDescent="0.35">
      <c r="A59" s="626"/>
      <c r="B59" s="352" t="s">
        <v>93</v>
      </c>
      <c r="C59" s="353" t="str">
        <f>C48</f>
        <v>TARGET 100%</v>
      </c>
      <c r="D59" s="617"/>
      <c r="E59" s="617"/>
      <c r="F59" s="163" t="str">
        <f>F4</f>
        <v>OMSET JAN
 (1-31)</v>
      </c>
      <c r="G59" s="163" t="str">
        <f>G4</f>
        <v>OMSET PRODUK</v>
      </c>
      <c r="H59" s="353" t="s">
        <v>63</v>
      </c>
      <c r="I59" s="353" t="s">
        <v>64</v>
      </c>
      <c r="J59" s="587"/>
      <c r="K59" s="164">
        <f>K48</f>
        <v>1</v>
      </c>
      <c r="O59" s="619"/>
      <c r="P59" s="354" t="s">
        <v>93</v>
      </c>
      <c r="Q59" s="355" t="str">
        <f>Q48</f>
        <v>TARGET 100%</v>
      </c>
      <c r="R59" s="592"/>
      <c r="S59" s="592"/>
      <c r="T59" s="200" t="str">
        <f>T4</f>
        <v>OMSET JAN
 (1-31)</v>
      </c>
      <c r="U59" s="200" t="str">
        <f>G4</f>
        <v>OMSET PRODUK</v>
      </c>
      <c r="V59" s="355" t="s">
        <v>63</v>
      </c>
      <c r="W59" s="355" t="s">
        <v>64</v>
      </c>
      <c r="X59" s="603"/>
      <c r="Y59" s="201">
        <f>K59</f>
        <v>1</v>
      </c>
    </row>
    <row r="60" spans="1:26" ht="14.5" customHeight="1" x14ac:dyDescent="0.35">
      <c r="A60" s="626"/>
      <c r="B60" s="325" t="s">
        <v>96</v>
      </c>
      <c r="C60" s="326">
        <v>135247320</v>
      </c>
      <c r="D60" s="222">
        <v>20</v>
      </c>
      <c r="E60" s="308">
        <v>16</v>
      </c>
      <c r="F60" s="169">
        <v>85669011.711100072</v>
      </c>
      <c r="G60" s="169">
        <v>1066666.6666999999</v>
      </c>
      <c r="H60" s="326"/>
      <c r="I60" s="326">
        <f t="shared" ref="I60:I66" si="50">F60-G60</f>
        <v>84602345.044400066</v>
      </c>
      <c r="J60" s="226">
        <f t="shared" ref="J60:J66" si="51">I60-C60</f>
        <v>-50644974.955599934</v>
      </c>
      <c r="K60" s="172">
        <f t="shared" ref="K60:K67" si="52">I60/C60</f>
        <v>0.62553805165529397</v>
      </c>
      <c r="L60" s="192">
        <f t="shared" ref="L60:L65" si="53">IF(K60&gt;120%, I60*0.55%, IF(K60&gt;100%, I60*0.45%, IF(K60&gt;80%, I60*0.35%, IF(K60&gt;60%, I60*0.2%, 0))))</f>
        <v>169204.69008880013</v>
      </c>
      <c r="O60" s="619"/>
      <c r="P60" s="325" t="s">
        <v>96</v>
      </c>
      <c r="Q60" s="326">
        <v>232502400</v>
      </c>
      <c r="R60" s="222">
        <v>15</v>
      </c>
      <c r="S60" s="308">
        <v>12</v>
      </c>
      <c r="T60" s="169">
        <v>140654297.29660004</v>
      </c>
      <c r="U60" s="169"/>
      <c r="V60" s="326"/>
      <c r="W60" s="326">
        <f t="shared" ref="W60:W66" si="54">T60-U60</f>
        <v>140654297.29660004</v>
      </c>
      <c r="X60" s="226">
        <f t="shared" ref="X60:X66" si="55">W60-Q60</f>
        <v>-91848102.703399956</v>
      </c>
      <c r="Y60" s="172">
        <f t="shared" ref="Y60:Y66" si="56">W60/Q60</f>
        <v>0.60495847482262566</v>
      </c>
      <c r="Z60" s="192">
        <f t="shared" ref="Z60:Z65" si="57">IF(Y60&gt;120%, W60*0.55%, IF(Y60&gt;100%, W60*0.45%, IF(Y60&gt;80%, W60*0.35%, IF(Y60&gt;60%, W60*0.2%, 0))))</f>
        <v>281308.59459320008</v>
      </c>
    </row>
    <row r="61" spans="1:26" ht="14.5" customHeight="1" x14ac:dyDescent="0.35">
      <c r="A61" s="626"/>
      <c r="B61" s="325" t="s">
        <v>97</v>
      </c>
      <c r="C61" s="327">
        <v>156054600</v>
      </c>
      <c r="D61" s="222">
        <v>11</v>
      </c>
      <c r="E61" s="308">
        <v>11</v>
      </c>
      <c r="F61" s="169">
        <v>90694260.810299993</v>
      </c>
      <c r="G61" s="328">
        <v>266666.6666</v>
      </c>
      <c r="H61" s="327"/>
      <c r="I61" s="326">
        <f t="shared" si="50"/>
        <v>90427594.143699989</v>
      </c>
      <c r="J61" s="226">
        <f t="shared" si="51"/>
        <v>-65627005.856300011</v>
      </c>
      <c r="K61" s="172">
        <f t="shared" si="52"/>
        <v>0.57946125358496314</v>
      </c>
      <c r="L61" s="192">
        <f t="shared" si="53"/>
        <v>0</v>
      </c>
      <c r="O61" s="619"/>
      <c r="P61" s="325" t="s">
        <v>97</v>
      </c>
      <c r="Q61" s="327">
        <v>219585600.00000003</v>
      </c>
      <c r="R61" s="222">
        <v>23</v>
      </c>
      <c r="S61" s="308">
        <v>21</v>
      </c>
      <c r="T61" s="169">
        <v>210213463.78379992</v>
      </c>
      <c r="U61" s="328">
        <v>152000</v>
      </c>
      <c r="V61" s="327"/>
      <c r="W61" s="326">
        <f t="shared" si="54"/>
        <v>210061463.78379992</v>
      </c>
      <c r="X61" s="226">
        <f t="shared" si="55"/>
        <v>-9524136.2162001133</v>
      </c>
      <c r="Y61" s="172">
        <f>W61/Q61</f>
        <v>0.956626772355746</v>
      </c>
      <c r="Z61" s="192">
        <f t="shared" si="57"/>
        <v>735215.12324329966</v>
      </c>
    </row>
    <row r="62" spans="1:26" ht="14.5" customHeight="1" x14ac:dyDescent="0.35">
      <c r="A62" s="626"/>
      <c r="B62" s="325" t="s">
        <v>98</v>
      </c>
      <c r="C62" s="327">
        <v>239283720</v>
      </c>
      <c r="D62" s="222">
        <v>25</v>
      </c>
      <c r="E62" s="308">
        <v>22</v>
      </c>
      <c r="F62" s="169">
        <v>136882771.75559992</v>
      </c>
      <c r="G62" s="169">
        <v>1066666.6666000001</v>
      </c>
      <c r="H62" s="327"/>
      <c r="I62" s="326">
        <f t="shared" si="50"/>
        <v>135816105.08899993</v>
      </c>
      <c r="J62" s="226">
        <f t="shared" si="51"/>
        <v>-103467614.91100007</v>
      </c>
      <c r="K62" s="172">
        <f t="shared" si="52"/>
        <v>0.56759442342755251</v>
      </c>
      <c r="L62" s="192">
        <f t="shared" si="53"/>
        <v>0</v>
      </c>
      <c r="O62" s="619"/>
      <c r="P62" s="325" t="s">
        <v>98</v>
      </c>
      <c r="Q62" s="327">
        <v>284169600</v>
      </c>
      <c r="R62" s="222">
        <v>15</v>
      </c>
      <c r="S62" s="308">
        <v>12</v>
      </c>
      <c r="T62" s="169">
        <v>237398891.8910999</v>
      </c>
      <c r="U62" s="169"/>
      <c r="V62" s="327"/>
      <c r="W62" s="326">
        <f t="shared" si="54"/>
        <v>237398891.8910999</v>
      </c>
      <c r="X62" s="226">
        <f t="shared" si="55"/>
        <v>-46770708.1089001</v>
      </c>
      <c r="Y62" s="172">
        <f t="shared" si="56"/>
        <v>0.83541269682295327</v>
      </c>
      <c r="Z62" s="192">
        <f t="shared" si="57"/>
        <v>830896.12161884957</v>
      </c>
    </row>
    <row r="63" spans="1:26" ht="14.5" customHeight="1" x14ac:dyDescent="0.35">
      <c r="A63" s="626"/>
      <c r="B63" s="325" t="s">
        <v>99</v>
      </c>
      <c r="C63" s="327">
        <v>218476440</v>
      </c>
      <c r="D63" s="222">
        <v>16</v>
      </c>
      <c r="E63" s="308">
        <v>12</v>
      </c>
      <c r="F63" s="169">
        <v>65662925.675499976</v>
      </c>
      <c r="G63" s="169"/>
      <c r="H63" s="327"/>
      <c r="I63" s="326">
        <f t="shared" si="50"/>
        <v>65662925.675499976</v>
      </c>
      <c r="J63" s="226">
        <f t="shared" si="51"/>
        <v>-152813514.32450002</v>
      </c>
      <c r="K63" s="172">
        <f t="shared" si="52"/>
        <v>0.30054922936084083</v>
      </c>
      <c r="L63" s="192">
        <f t="shared" si="53"/>
        <v>0</v>
      </c>
      <c r="O63" s="619"/>
      <c r="P63" s="325" t="s">
        <v>99</v>
      </c>
      <c r="Q63" s="327">
        <v>258336000</v>
      </c>
      <c r="R63" s="222">
        <v>16</v>
      </c>
      <c r="S63" s="308">
        <v>15</v>
      </c>
      <c r="T63" s="169">
        <v>257229175.67680001</v>
      </c>
      <c r="U63" s="169"/>
      <c r="V63" s="327"/>
      <c r="W63" s="326">
        <f t="shared" si="54"/>
        <v>257229175.67680001</v>
      </c>
      <c r="X63" s="226">
        <f t="shared" si="55"/>
        <v>-1106824.3231999874</v>
      </c>
      <c r="Y63" s="172">
        <f t="shared" si="56"/>
        <v>0.99571556297535002</v>
      </c>
      <c r="Z63" s="192">
        <f t="shared" si="57"/>
        <v>900302.11486879992</v>
      </c>
    </row>
    <row r="64" spans="1:26" ht="14.5" customHeight="1" x14ac:dyDescent="0.35">
      <c r="A64" s="626"/>
      <c r="B64" s="325" t="s">
        <v>100</v>
      </c>
      <c r="C64" s="327">
        <v>135247320</v>
      </c>
      <c r="D64" s="222">
        <v>13</v>
      </c>
      <c r="E64" s="308">
        <v>12</v>
      </c>
      <c r="F64" s="169">
        <v>71334249.549699977</v>
      </c>
      <c r="G64" s="169">
        <v>666666.66669999994</v>
      </c>
      <c r="H64" s="327"/>
      <c r="I64" s="326">
        <f t="shared" si="50"/>
        <v>70667582.882999972</v>
      </c>
      <c r="J64" s="226">
        <f t="shared" si="51"/>
        <v>-64579737.117000028</v>
      </c>
      <c r="K64" s="172">
        <f t="shared" si="52"/>
        <v>0.52250634528654594</v>
      </c>
      <c r="L64" s="192">
        <f t="shared" si="53"/>
        <v>0</v>
      </c>
      <c r="O64" s="619"/>
      <c r="P64" s="325" t="s">
        <v>100</v>
      </c>
      <c r="Q64" s="327">
        <v>142084800</v>
      </c>
      <c r="R64" s="222">
        <v>10</v>
      </c>
      <c r="S64" s="308">
        <v>10</v>
      </c>
      <c r="T64" s="169">
        <v>147864873.87330002</v>
      </c>
      <c r="U64" s="169"/>
      <c r="V64" s="327"/>
      <c r="W64" s="326">
        <f t="shared" si="54"/>
        <v>147864873.87330002</v>
      </c>
      <c r="X64" s="226">
        <f t="shared" si="55"/>
        <v>5780073.8733000159</v>
      </c>
      <c r="Y64" s="172">
        <f t="shared" si="56"/>
        <v>1.0406804519082971</v>
      </c>
      <c r="Z64" s="192">
        <f t="shared" si="57"/>
        <v>665391.9324298501</v>
      </c>
    </row>
    <row r="65" spans="1:26" ht="14.5" customHeight="1" x14ac:dyDescent="0.35">
      <c r="A65" s="626"/>
      <c r="B65" s="325" t="s">
        <v>101</v>
      </c>
      <c r="C65" s="327">
        <v>156054600</v>
      </c>
      <c r="D65" s="222">
        <v>10</v>
      </c>
      <c r="E65" s="308">
        <v>7</v>
      </c>
      <c r="F65" s="169">
        <v>64412115.315600008</v>
      </c>
      <c r="G65" s="169">
        <v>821621.62160000007</v>
      </c>
      <c r="H65" s="327"/>
      <c r="I65" s="326">
        <f t="shared" si="50"/>
        <v>63590493.694000006</v>
      </c>
      <c r="J65" s="226">
        <f t="shared" si="51"/>
        <v>-92464106.305999994</v>
      </c>
      <c r="K65" s="172">
        <f t="shared" si="52"/>
        <v>0.40748874877126345</v>
      </c>
      <c r="L65" s="192">
        <f t="shared" si="53"/>
        <v>0</v>
      </c>
      <c r="O65" s="619"/>
      <c r="P65" s="325" t="s">
        <v>101</v>
      </c>
      <c r="Q65" s="327">
        <v>155001600</v>
      </c>
      <c r="R65" s="222">
        <v>14</v>
      </c>
      <c r="S65" s="308">
        <v>10</v>
      </c>
      <c r="T65" s="169">
        <v>41840270.270199999</v>
      </c>
      <c r="U65" s="169"/>
      <c r="V65" s="327"/>
      <c r="W65" s="326">
        <f t="shared" si="54"/>
        <v>41840270.270199999</v>
      </c>
      <c r="X65" s="226">
        <f t="shared" si="55"/>
        <v>-113161329.7298</v>
      </c>
      <c r="Y65" s="172">
        <f t="shared" si="56"/>
        <v>0.26993444112963993</v>
      </c>
      <c r="Z65" s="192">
        <f t="shared" si="57"/>
        <v>0</v>
      </c>
    </row>
    <row r="66" spans="1:26" ht="15" customHeight="1" thickBot="1" x14ac:dyDescent="0.4">
      <c r="A66" s="626"/>
      <c r="B66" s="352" t="s">
        <v>77</v>
      </c>
      <c r="C66" s="329">
        <f t="shared" ref="C66:H66" si="58">SUM(C60:C65)</f>
        <v>1040364000</v>
      </c>
      <c r="D66" s="178">
        <f t="shared" si="58"/>
        <v>95</v>
      </c>
      <c r="E66" s="178">
        <f t="shared" si="58"/>
        <v>80</v>
      </c>
      <c r="F66" s="329">
        <f t="shared" si="58"/>
        <v>514655334.81779993</v>
      </c>
      <c r="G66" s="330">
        <f t="shared" si="58"/>
        <v>3888288.2882000003</v>
      </c>
      <c r="H66" s="329">
        <f t="shared" si="58"/>
        <v>0</v>
      </c>
      <c r="I66" s="329">
        <f t="shared" si="50"/>
        <v>510767046.52959991</v>
      </c>
      <c r="J66" s="329">
        <f t="shared" si="51"/>
        <v>-529596953.47040009</v>
      </c>
      <c r="K66" s="305">
        <f t="shared" si="52"/>
        <v>0.49095032750998679</v>
      </c>
      <c r="L66" s="197">
        <f>SUM(L60:L65)</f>
        <v>169204.69008880013</v>
      </c>
      <c r="O66" s="620"/>
      <c r="P66" s="354" t="s">
        <v>77</v>
      </c>
      <c r="Q66" s="336">
        <f t="shared" ref="Q66:V66" si="59">SUM(Q60:Q65)</f>
        <v>1291680000</v>
      </c>
      <c r="R66" s="207">
        <f>SUM(R60:R65)</f>
        <v>93</v>
      </c>
      <c r="S66" s="207">
        <f t="shared" si="59"/>
        <v>80</v>
      </c>
      <c r="T66" s="336">
        <f t="shared" si="59"/>
        <v>1035200972.7918</v>
      </c>
      <c r="U66" s="337">
        <f t="shared" si="59"/>
        <v>152000</v>
      </c>
      <c r="V66" s="336">
        <f t="shared" si="59"/>
        <v>0</v>
      </c>
      <c r="W66" s="336">
        <f t="shared" si="54"/>
        <v>1035048972.7918</v>
      </c>
      <c r="X66" s="336">
        <f t="shared" si="55"/>
        <v>-256631027.20819998</v>
      </c>
      <c r="Y66" s="313">
        <f t="shared" si="56"/>
        <v>0.80131996531013872</v>
      </c>
      <c r="Z66" s="197">
        <f>SUM(Z60:Z65)</f>
        <v>3413113.8867539996</v>
      </c>
    </row>
    <row r="67" spans="1:26" ht="14.5" customHeight="1" x14ac:dyDescent="0.55000000000000004">
      <c r="B67" s="324" t="str">
        <f>$B$12</f>
        <v>TARGET Q1</v>
      </c>
      <c r="C67" s="243">
        <v>936327600</v>
      </c>
      <c r="D67" s="597"/>
      <c r="E67" s="598"/>
      <c r="F67" s="598"/>
      <c r="G67" s="598"/>
      <c r="H67" s="599"/>
      <c r="I67" s="243">
        <f>I66</f>
        <v>510767046.52959991</v>
      </c>
      <c r="J67" s="243">
        <f>I67-C67</f>
        <v>-425560553.47040009</v>
      </c>
      <c r="K67" s="183">
        <f t="shared" si="52"/>
        <v>0.54550036389998535</v>
      </c>
      <c r="L67" s="192">
        <f>IF(K67&gt;=1,2500000,IF(K66&gt;=1,3500000,0))</f>
        <v>0</v>
      </c>
      <c r="O67" s="309"/>
      <c r="P67" s="324" t="str">
        <f>$B$12</f>
        <v>TARGET Q1</v>
      </c>
      <c r="Q67" s="243">
        <v>1162512000</v>
      </c>
      <c r="R67" s="597"/>
      <c r="S67" s="598"/>
      <c r="T67" s="598"/>
      <c r="U67" s="598"/>
      <c r="V67" s="599"/>
      <c r="W67" s="243">
        <f>W66</f>
        <v>1035048972.7918</v>
      </c>
      <c r="X67" s="243">
        <f>W67-Q67</f>
        <v>-127463027.20819998</v>
      </c>
      <c r="Y67" s="183">
        <f>W67/Q67</f>
        <v>0.89035551701126525</v>
      </c>
      <c r="Z67" s="192">
        <f>IF(Y67&gt;=1,2500000,IF(Y66&gt;=1,3500000,0))</f>
        <v>0</v>
      </c>
    </row>
    <row r="68" spans="1:26" ht="24" thickBot="1" x14ac:dyDescent="0.6">
      <c r="C68" s="210">
        <f>C67/C66</f>
        <v>0.9</v>
      </c>
      <c r="O68" s="309"/>
      <c r="Q68" s="210">
        <f>Q67/Q66</f>
        <v>0.9</v>
      </c>
    </row>
    <row r="69" spans="1:26" ht="19.5" customHeight="1" x14ac:dyDescent="0.35">
      <c r="A69" s="623">
        <v>7</v>
      </c>
      <c r="B69" s="352" t="s">
        <v>57</v>
      </c>
      <c r="C69" s="353" t="s">
        <v>113</v>
      </c>
      <c r="D69" s="616" t="s">
        <v>91</v>
      </c>
      <c r="E69" s="616" t="s">
        <v>62</v>
      </c>
      <c r="F69" s="604" t="s">
        <v>114</v>
      </c>
      <c r="G69" s="605"/>
      <c r="H69" s="605"/>
      <c r="I69" s="606"/>
      <c r="J69" s="587" t="s">
        <v>65</v>
      </c>
      <c r="K69" s="352" t="s">
        <v>66</v>
      </c>
      <c r="O69" s="607">
        <v>7</v>
      </c>
      <c r="P69" s="354" t="s">
        <v>57</v>
      </c>
      <c r="Q69" s="355" t="s">
        <v>115</v>
      </c>
      <c r="R69" s="591" t="s">
        <v>91</v>
      </c>
      <c r="S69" s="591" t="s">
        <v>62</v>
      </c>
      <c r="T69" s="610" t="s">
        <v>114</v>
      </c>
      <c r="U69" s="611"/>
      <c r="V69" s="611"/>
      <c r="W69" s="612"/>
      <c r="X69" s="603" t="s">
        <v>65</v>
      </c>
      <c r="Y69" s="354" t="s">
        <v>66</v>
      </c>
    </row>
    <row r="70" spans="1:26" ht="36" customHeight="1" x14ac:dyDescent="0.35">
      <c r="A70" s="623"/>
      <c r="B70" s="352" t="s">
        <v>93</v>
      </c>
      <c r="C70" s="353" t="str">
        <f>C59</f>
        <v>TARGET 100%</v>
      </c>
      <c r="D70" s="617"/>
      <c r="E70" s="617"/>
      <c r="F70" s="163" t="str">
        <f>F4</f>
        <v>OMSET JAN
 (1-31)</v>
      </c>
      <c r="G70" s="163" t="str">
        <f>G4</f>
        <v>OMSET PRODUK</v>
      </c>
      <c r="H70" s="353" t="s">
        <v>63</v>
      </c>
      <c r="I70" s="353" t="s">
        <v>64</v>
      </c>
      <c r="J70" s="587"/>
      <c r="K70" s="164">
        <f>K59</f>
        <v>1</v>
      </c>
      <c r="O70" s="608"/>
      <c r="P70" s="354" t="s">
        <v>93</v>
      </c>
      <c r="Q70" s="355" t="str">
        <f>Q59</f>
        <v>TARGET 100%</v>
      </c>
      <c r="R70" s="592"/>
      <c r="S70" s="592"/>
      <c r="T70" s="200" t="str">
        <f>T4</f>
        <v>OMSET JAN
 (1-31)</v>
      </c>
      <c r="U70" s="200" t="str">
        <f>G4</f>
        <v>OMSET PRODUK</v>
      </c>
      <c r="V70" s="355" t="s">
        <v>63</v>
      </c>
      <c r="W70" s="355" t="s">
        <v>64</v>
      </c>
      <c r="X70" s="603"/>
      <c r="Y70" s="201">
        <f>K70</f>
        <v>1</v>
      </c>
    </row>
    <row r="71" spans="1:26" ht="14.5" customHeight="1" x14ac:dyDescent="0.35">
      <c r="A71" s="623"/>
      <c r="B71" s="325" t="s">
        <v>96</v>
      </c>
      <c r="C71" s="326">
        <v>136890000</v>
      </c>
      <c r="D71" s="222">
        <v>17</v>
      </c>
      <c r="E71" s="308">
        <v>15</v>
      </c>
      <c r="F71" s="169">
        <v>36281083.333400011</v>
      </c>
      <c r="G71" s="169">
        <v>604144.14410000003</v>
      </c>
      <c r="H71" s="326"/>
      <c r="I71" s="326">
        <f t="shared" ref="I71:I77" si="60">F71-G71</f>
        <v>35676939.189300008</v>
      </c>
      <c r="J71" s="226">
        <f t="shared" ref="J71:J77" si="61">I71-C71</f>
        <v>-101213060.8107</v>
      </c>
      <c r="K71" s="172">
        <f t="shared" ref="K71:K78" si="62">I71/C71</f>
        <v>0.26062487536927464</v>
      </c>
      <c r="L71" s="192">
        <f t="shared" ref="L71:L76" si="63">IF(K71&gt;120%, I71*0.55%, IF(K71&gt;100%, I71*0.45%, IF(K71&gt;80%, I71*0.35%, IF(K71&gt;60%, I71*0.2%, 0))))</f>
        <v>0</v>
      </c>
      <c r="M71" s="191"/>
      <c r="N71" s="191"/>
      <c r="O71" s="608"/>
      <c r="P71" s="325" t="s">
        <v>96</v>
      </c>
      <c r="Q71" s="326">
        <v>232502400</v>
      </c>
      <c r="R71" s="222">
        <v>23</v>
      </c>
      <c r="S71" s="308">
        <v>22</v>
      </c>
      <c r="T71" s="169">
        <v>217312423.24159998</v>
      </c>
      <c r="U71" s="169">
        <v>252252.25229999999</v>
      </c>
      <c r="V71" s="326"/>
      <c r="W71" s="326">
        <f>T71-U71</f>
        <v>217060170.98929998</v>
      </c>
      <c r="X71" s="226">
        <f t="shared" ref="X71:X77" si="64">W71-Q71</f>
        <v>-15442229.010700017</v>
      </c>
      <c r="Y71" s="172">
        <f t="shared" ref="Y71:Y77" si="65">W71/Q71</f>
        <v>0.93358249630670476</v>
      </c>
      <c r="Z71" s="192">
        <f t="shared" ref="Z71:Z76" si="66">IF(Y71&gt;120%, W71*0.55%, IF(Y71&gt;100%, W71*0.45%, IF(Y71&gt;80%, W71*0.35%, IF(Y71&gt;60%, W71*0.2%, 0))))</f>
        <v>759710.59846254985</v>
      </c>
    </row>
    <row r="72" spans="1:26" ht="14.5" customHeight="1" x14ac:dyDescent="0.35">
      <c r="A72" s="623"/>
      <c r="B72" s="325" t="s">
        <v>97</v>
      </c>
      <c r="C72" s="327">
        <v>164268000</v>
      </c>
      <c r="D72" s="222">
        <v>14</v>
      </c>
      <c r="E72" s="308">
        <v>11</v>
      </c>
      <c r="F72" s="169">
        <v>88634516.21600005</v>
      </c>
      <c r="G72" s="328">
        <v>1879729.7297</v>
      </c>
      <c r="H72" s="327"/>
      <c r="I72" s="326">
        <f t="shared" si="60"/>
        <v>86754786.486300051</v>
      </c>
      <c r="J72" s="226">
        <f t="shared" si="61"/>
        <v>-77513213.513699949</v>
      </c>
      <c r="K72" s="172">
        <f t="shared" si="62"/>
        <v>0.52812955953868101</v>
      </c>
      <c r="L72" s="192">
        <f t="shared" si="63"/>
        <v>0</v>
      </c>
      <c r="M72" s="191"/>
      <c r="N72" s="191"/>
      <c r="O72" s="608"/>
      <c r="P72" s="325" t="s">
        <v>97</v>
      </c>
      <c r="Q72" s="327">
        <v>167918400</v>
      </c>
      <c r="R72" s="222">
        <v>18</v>
      </c>
      <c r="S72" s="308">
        <v>16</v>
      </c>
      <c r="T72" s="169">
        <v>69253943.242599994</v>
      </c>
      <c r="U72" s="328">
        <v>291200</v>
      </c>
      <c r="V72" s="327"/>
      <c r="W72" s="326">
        <f t="shared" ref="W72:W77" si="67">T72-U72</f>
        <v>68962743.242599994</v>
      </c>
      <c r="X72" s="226">
        <f t="shared" si="64"/>
        <v>-98955656.757400006</v>
      </c>
      <c r="Y72" s="172">
        <f t="shared" si="65"/>
        <v>0.4106919982717796</v>
      </c>
      <c r="Z72" s="192">
        <f t="shared" si="66"/>
        <v>0</v>
      </c>
    </row>
    <row r="73" spans="1:26" ht="14.5" customHeight="1" x14ac:dyDescent="0.35">
      <c r="A73" s="623"/>
      <c r="B73" s="325" t="s">
        <v>98</v>
      </c>
      <c r="C73" s="327">
        <v>232713000.00000003</v>
      </c>
      <c r="D73" s="222">
        <v>18</v>
      </c>
      <c r="E73" s="308">
        <v>20</v>
      </c>
      <c r="F73" s="169">
        <v>168787377.00819999</v>
      </c>
      <c r="G73" s="169">
        <v>2306306.3063000003</v>
      </c>
      <c r="H73" s="327"/>
      <c r="I73" s="326">
        <f t="shared" si="60"/>
        <v>166481070.70189998</v>
      </c>
      <c r="J73" s="226">
        <f t="shared" si="61"/>
        <v>-66231929.298100054</v>
      </c>
      <c r="K73" s="172">
        <f t="shared" si="62"/>
        <v>0.71539222433598448</v>
      </c>
      <c r="L73" s="192">
        <f t="shared" si="63"/>
        <v>332962.14140379993</v>
      </c>
      <c r="M73" s="191"/>
      <c r="N73" s="191"/>
      <c r="O73" s="608"/>
      <c r="P73" s="325" t="s">
        <v>98</v>
      </c>
      <c r="Q73" s="327">
        <v>258336000</v>
      </c>
      <c r="R73" s="222">
        <v>13</v>
      </c>
      <c r="S73" s="308">
        <v>14</v>
      </c>
      <c r="T73" s="169">
        <v>203417815.31430003</v>
      </c>
      <c r="U73" s="169"/>
      <c r="V73" s="327"/>
      <c r="W73" s="326">
        <f t="shared" si="67"/>
        <v>203417815.31430003</v>
      </c>
      <c r="X73" s="226">
        <f t="shared" si="64"/>
        <v>-54918184.68569997</v>
      </c>
      <c r="Y73" s="172">
        <f t="shared" si="65"/>
        <v>0.78741567305485893</v>
      </c>
      <c r="Z73" s="192">
        <f t="shared" si="66"/>
        <v>406835.63062860008</v>
      </c>
    </row>
    <row r="74" spans="1:26" ht="14.5" customHeight="1" x14ac:dyDescent="0.35">
      <c r="A74" s="623"/>
      <c r="B74" s="325" t="s">
        <v>99</v>
      </c>
      <c r="C74" s="327">
        <v>273780000</v>
      </c>
      <c r="D74" s="222">
        <v>16</v>
      </c>
      <c r="E74" s="308">
        <v>15</v>
      </c>
      <c r="F74" s="169">
        <v>136933207.63089997</v>
      </c>
      <c r="G74" s="169">
        <v>4374144.1441000002</v>
      </c>
      <c r="H74" s="327"/>
      <c r="I74" s="326">
        <f t="shared" si="60"/>
        <v>132559063.48679997</v>
      </c>
      <c r="J74" s="226">
        <f t="shared" si="61"/>
        <v>-141220936.51320004</v>
      </c>
      <c r="K74" s="172">
        <f t="shared" si="62"/>
        <v>0.48418096094236235</v>
      </c>
      <c r="L74" s="192">
        <f t="shared" si="63"/>
        <v>0</v>
      </c>
      <c r="M74" s="191"/>
      <c r="N74" s="191"/>
      <c r="O74" s="608"/>
      <c r="P74" s="325" t="s">
        <v>99</v>
      </c>
      <c r="Q74" s="327">
        <v>129168000</v>
      </c>
      <c r="R74" s="222">
        <v>12</v>
      </c>
      <c r="S74" s="308">
        <v>9</v>
      </c>
      <c r="T74" s="169">
        <v>85126837.837700024</v>
      </c>
      <c r="U74" s="169"/>
      <c r="V74" s="327"/>
      <c r="W74" s="326">
        <f t="shared" si="67"/>
        <v>85126837.837700024</v>
      </c>
      <c r="X74" s="226">
        <f t="shared" si="64"/>
        <v>-44041162.162299976</v>
      </c>
      <c r="Y74" s="172">
        <f t="shared" si="65"/>
        <v>0.65903968349513831</v>
      </c>
      <c r="Z74" s="192">
        <f t="shared" si="66"/>
        <v>170253.67567540004</v>
      </c>
    </row>
    <row r="75" spans="1:26" ht="14.5" customHeight="1" x14ac:dyDescent="0.35">
      <c r="A75" s="623"/>
      <c r="B75" s="325" t="s">
        <v>100</v>
      </c>
      <c r="C75" s="327">
        <v>246402000</v>
      </c>
      <c r="D75" s="222">
        <v>13</v>
      </c>
      <c r="E75" s="308">
        <v>13</v>
      </c>
      <c r="F75" s="169">
        <v>113247828.08100003</v>
      </c>
      <c r="G75" s="169"/>
      <c r="H75" s="327"/>
      <c r="I75" s="326">
        <f t="shared" si="60"/>
        <v>113247828.08100003</v>
      </c>
      <c r="J75" s="226">
        <f t="shared" si="61"/>
        <v>-133154171.91899997</v>
      </c>
      <c r="K75" s="172">
        <f t="shared" si="62"/>
        <v>0.45960596131930759</v>
      </c>
      <c r="L75" s="192">
        <f t="shared" si="63"/>
        <v>0</v>
      </c>
      <c r="M75" s="191"/>
      <c r="N75" s="191"/>
      <c r="O75" s="608"/>
      <c r="P75" s="325" t="s">
        <v>100</v>
      </c>
      <c r="Q75" s="327">
        <v>232502400</v>
      </c>
      <c r="R75" s="222">
        <v>19</v>
      </c>
      <c r="S75" s="308">
        <v>18</v>
      </c>
      <c r="T75" s="169">
        <v>139136397.29759997</v>
      </c>
      <c r="U75" s="169">
        <v>397852.25229999999</v>
      </c>
      <c r="V75" s="327"/>
      <c r="W75" s="326">
        <f t="shared" si="67"/>
        <v>138738545.04529998</v>
      </c>
      <c r="X75" s="226">
        <f t="shared" si="64"/>
        <v>-93763854.954700023</v>
      </c>
      <c r="Y75" s="172">
        <f t="shared" si="65"/>
        <v>0.59671876524844469</v>
      </c>
      <c r="Z75" s="192">
        <f t="shared" si="66"/>
        <v>0</v>
      </c>
    </row>
    <row r="76" spans="1:26" ht="14.5" customHeight="1" x14ac:dyDescent="0.35">
      <c r="A76" s="623"/>
      <c r="B76" s="325" t="s">
        <v>101</v>
      </c>
      <c r="C76" s="327">
        <v>314847000</v>
      </c>
      <c r="D76" s="222">
        <v>14</v>
      </c>
      <c r="E76" s="308">
        <v>11</v>
      </c>
      <c r="F76" s="169">
        <v>185382131.50559995</v>
      </c>
      <c r="G76" s="169">
        <v>4144144.1441000002</v>
      </c>
      <c r="H76" s="327"/>
      <c r="I76" s="326">
        <f t="shared" si="60"/>
        <v>181237987.36149994</v>
      </c>
      <c r="J76" s="226">
        <f t="shared" si="61"/>
        <v>-133609012.63850006</v>
      </c>
      <c r="K76" s="172">
        <f t="shared" si="62"/>
        <v>0.57563828577531284</v>
      </c>
      <c r="L76" s="192">
        <f t="shared" si="63"/>
        <v>0</v>
      </c>
      <c r="M76" s="191"/>
      <c r="N76" s="191"/>
      <c r="O76" s="608"/>
      <c r="P76" s="325" t="s">
        <v>101</v>
      </c>
      <c r="Q76" s="327">
        <v>271252800</v>
      </c>
      <c r="R76" s="222">
        <v>13</v>
      </c>
      <c r="S76" s="308">
        <v>11</v>
      </c>
      <c r="T76" s="169">
        <v>206513698.37890011</v>
      </c>
      <c r="U76" s="169"/>
      <c r="V76" s="327"/>
      <c r="W76" s="326">
        <f t="shared" si="67"/>
        <v>206513698.37890011</v>
      </c>
      <c r="X76" s="226">
        <f t="shared" si="64"/>
        <v>-64739101.621099889</v>
      </c>
      <c r="Y76" s="172">
        <f t="shared" si="65"/>
        <v>0.76133296459575761</v>
      </c>
      <c r="Z76" s="192">
        <f t="shared" si="66"/>
        <v>413027.39675780025</v>
      </c>
    </row>
    <row r="77" spans="1:26" ht="14.5" customHeight="1" thickBot="1" x14ac:dyDescent="0.4">
      <c r="A77" s="623"/>
      <c r="B77" s="352" t="s">
        <v>77</v>
      </c>
      <c r="C77" s="329">
        <f t="shared" ref="C77:H77" si="68">SUM(C71:C76)</f>
        <v>1368900000</v>
      </c>
      <c r="D77" s="178">
        <f t="shared" si="68"/>
        <v>92</v>
      </c>
      <c r="E77" s="178">
        <f t="shared" si="68"/>
        <v>85</v>
      </c>
      <c r="F77" s="329">
        <f t="shared" si="68"/>
        <v>729266143.77509999</v>
      </c>
      <c r="G77" s="330">
        <f t="shared" si="68"/>
        <v>13308468.4683</v>
      </c>
      <c r="H77" s="329">
        <f t="shared" si="68"/>
        <v>0</v>
      </c>
      <c r="I77" s="329">
        <f t="shared" si="60"/>
        <v>715957675.30680001</v>
      </c>
      <c r="J77" s="329">
        <f t="shared" si="61"/>
        <v>-652942324.69319999</v>
      </c>
      <c r="K77" s="305">
        <f t="shared" si="62"/>
        <v>0.52301678377295635</v>
      </c>
      <c r="L77" s="197">
        <f>SUM(L71:L76)</f>
        <v>332962.14140379993</v>
      </c>
      <c r="N77" s="191"/>
      <c r="O77" s="609"/>
      <c r="P77" s="354" t="s">
        <v>77</v>
      </c>
      <c r="Q77" s="336">
        <f t="shared" ref="Q77:V77" si="69">SUM(Q71:Q76)</f>
        <v>1291680000</v>
      </c>
      <c r="R77" s="207">
        <f>SUM(R71:R76)</f>
        <v>98</v>
      </c>
      <c r="S77" s="207">
        <f t="shared" si="69"/>
        <v>90</v>
      </c>
      <c r="T77" s="336">
        <f t="shared" si="69"/>
        <v>920761115.31270003</v>
      </c>
      <c r="U77" s="337">
        <f t="shared" si="69"/>
        <v>941304.5046000001</v>
      </c>
      <c r="V77" s="336">
        <f t="shared" si="69"/>
        <v>0</v>
      </c>
      <c r="W77" s="336">
        <f t="shared" si="67"/>
        <v>919819810.80809999</v>
      </c>
      <c r="X77" s="336">
        <f t="shared" si="64"/>
        <v>-371860189.19190001</v>
      </c>
      <c r="Y77" s="313">
        <f t="shared" si="65"/>
        <v>0.71211121238085284</v>
      </c>
      <c r="Z77" s="197">
        <f>SUM(Z71:Z76)</f>
        <v>1749827.3015243504</v>
      </c>
    </row>
    <row r="78" spans="1:26" ht="14.5" customHeight="1" x14ac:dyDescent="0.55000000000000004">
      <c r="B78" s="324" t="str">
        <f>$B$12</f>
        <v>TARGET Q1</v>
      </c>
      <c r="C78" s="243">
        <v>1232010000</v>
      </c>
      <c r="D78" s="597"/>
      <c r="E78" s="598"/>
      <c r="F78" s="598"/>
      <c r="G78" s="598"/>
      <c r="H78" s="599"/>
      <c r="I78" s="243">
        <f>I77</f>
        <v>715957675.30680001</v>
      </c>
      <c r="J78" s="243">
        <f>I78-C78</f>
        <v>-516052324.69319999</v>
      </c>
      <c r="K78" s="183">
        <f t="shared" si="62"/>
        <v>0.58112975974772929</v>
      </c>
      <c r="L78" s="192">
        <f>IF(K78&gt;=1,2500000,IF(K77&gt;=1,3500000,0))</f>
        <v>0</v>
      </c>
      <c r="O78" s="309"/>
      <c r="P78" s="324" t="str">
        <f>$B$12</f>
        <v>TARGET Q1</v>
      </c>
      <c r="Q78" s="243">
        <v>1162512000</v>
      </c>
      <c r="R78" s="597"/>
      <c r="S78" s="598"/>
      <c r="T78" s="598"/>
      <c r="U78" s="598"/>
      <c r="V78" s="599"/>
      <c r="W78" s="243">
        <f>W77</f>
        <v>919819810.80809999</v>
      </c>
      <c r="X78" s="243">
        <f>W78-Q78</f>
        <v>-242692189.19190001</v>
      </c>
      <c r="Y78" s="183">
        <f>W78/Q78</f>
        <v>0.7912346804231698</v>
      </c>
      <c r="Z78" s="192">
        <f>IF(Y78&gt;=1,2500000,IF(Y77&gt;=1,3500000,0))</f>
        <v>0</v>
      </c>
    </row>
    <row r="79" spans="1:26" ht="14.5" customHeight="1" thickBot="1" x14ac:dyDescent="0.6">
      <c r="C79" s="210">
        <f>C78/C77</f>
        <v>0.9</v>
      </c>
      <c r="O79" s="309"/>
      <c r="Q79" s="210">
        <f>Q78/Q77</f>
        <v>0.9</v>
      </c>
    </row>
    <row r="80" spans="1:26" ht="20.149999999999999" customHeight="1" x14ac:dyDescent="0.35">
      <c r="A80" s="623">
        <v>8</v>
      </c>
      <c r="B80" s="352" t="s">
        <v>57</v>
      </c>
      <c r="C80" s="353" t="s">
        <v>116</v>
      </c>
      <c r="D80" s="616" t="s">
        <v>91</v>
      </c>
      <c r="E80" s="616" t="s">
        <v>62</v>
      </c>
      <c r="F80" s="604" t="s">
        <v>117</v>
      </c>
      <c r="G80" s="605"/>
      <c r="H80" s="605"/>
      <c r="I80" s="606"/>
      <c r="J80" s="587" t="s">
        <v>65</v>
      </c>
      <c r="K80" s="352" t="s">
        <v>66</v>
      </c>
      <c r="O80" s="607">
        <v>8</v>
      </c>
      <c r="P80" s="354" t="s">
        <v>57</v>
      </c>
      <c r="Q80" s="355" t="s">
        <v>118</v>
      </c>
      <c r="R80" s="591" t="s">
        <v>91</v>
      </c>
      <c r="S80" s="591" t="s">
        <v>62</v>
      </c>
      <c r="T80" s="610" t="s">
        <v>117</v>
      </c>
      <c r="U80" s="611"/>
      <c r="V80" s="611"/>
      <c r="W80" s="612"/>
      <c r="X80" s="603" t="s">
        <v>65</v>
      </c>
      <c r="Y80" s="354" t="s">
        <v>66</v>
      </c>
    </row>
    <row r="81" spans="1:26" ht="33" customHeight="1" x14ac:dyDescent="0.35">
      <c r="A81" s="623"/>
      <c r="B81" s="352" t="s">
        <v>93</v>
      </c>
      <c r="C81" s="353" t="str">
        <f>C70</f>
        <v>TARGET 100%</v>
      </c>
      <c r="D81" s="617"/>
      <c r="E81" s="617"/>
      <c r="F81" s="163" t="str">
        <f>F4</f>
        <v>OMSET JAN
 (1-31)</v>
      </c>
      <c r="G81" s="163" t="str">
        <f>G4</f>
        <v>OMSET PRODUK</v>
      </c>
      <c r="H81" s="353" t="s">
        <v>63</v>
      </c>
      <c r="I81" s="353" t="s">
        <v>64</v>
      </c>
      <c r="J81" s="587"/>
      <c r="K81" s="164">
        <f>K70</f>
        <v>1</v>
      </c>
      <c r="O81" s="608"/>
      <c r="P81" s="354" t="s">
        <v>93</v>
      </c>
      <c r="Q81" s="355" t="str">
        <f>Q70</f>
        <v>TARGET 100%</v>
      </c>
      <c r="R81" s="592"/>
      <c r="S81" s="592"/>
      <c r="T81" s="200" t="str">
        <f>T4</f>
        <v>OMSET JAN
 (1-31)</v>
      </c>
      <c r="U81" s="200" t="str">
        <f>G4</f>
        <v>OMSET PRODUK</v>
      </c>
      <c r="V81" s="355" t="s">
        <v>63</v>
      </c>
      <c r="W81" s="355" t="s">
        <v>64</v>
      </c>
      <c r="X81" s="603"/>
      <c r="Y81" s="201">
        <f>K81</f>
        <v>1</v>
      </c>
    </row>
    <row r="82" spans="1:26" ht="14.5" customHeight="1" x14ac:dyDescent="0.35">
      <c r="A82" s="623"/>
      <c r="B82" s="325" t="s">
        <v>96</v>
      </c>
      <c r="C82" s="326">
        <v>128129040</v>
      </c>
      <c r="D82" s="222">
        <v>10</v>
      </c>
      <c r="E82" s="308">
        <v>5</v>
      </c>
      <c r="F82" s="169">
        <v>36588127.026500002</v>
      </c>
      <c r="G82" s="169">
        <v>155000</v>
      </c>
      <c r="H82" s="326"/>
      <c r="I82" s="326">
        <f>F82-G82</f>
        <v>36433127.026500002</v>
      </c>
      <c r="J82" s="226">
        <f t="shared" ref="J82:J88" si="70">I82-C82</f>
        <v>-91695912.973499998</v>
      </c>
      <c r="K82" s="172">
        <f t="shared" ref="K82:K89" si="71">I82/C82</f>
        <v>0.28434714742653189</v>
      </c>
      <c r="L82" s="192">
        <f t="shared" ref="L82:L87" si="72">IF(K82&gt;120%, I82*0.55%, IF(K82&gt;100%, I82*0.45%, IF(K82&gt;80%, I82*0.35%, IF(K82&gt;60%, I82*0.2%, 0))))</f>
        <v>0</v>
      </c>
      <c r="O82" s="608"/>
      <c r="P82" s="325" t="s">
        <v>96</v>
      </c>
      <c r="Q82" s="326">
        <v>114566400.00000001</v>
      </c>
      <c r="R82" s="222">
        <v>9</v>
      </c>
      <c r="S82" s="308">
        <v>5</v>
      </c>
      <c r="T82" s="169">
        <v>25421959.459399998</v>
      </c>
      <c r="U82" s="169">
        <v>605405.40540000005</v>
      </c>
      <c r="V82" s="326"/>
      <c r="W82" s="326">
        <f t="shared" ref="W82:W88" si="73">T82-U82</f>
        <v>24816554.053999998</v>
      </c>
      <c r="X82" s="226">
        <f t="shared" ref="X82:X87" si="74">T82-Q82</f>
        <v>-89144440.540600017</v>
      </c>
      <c r="Y82" s="172">
        <f t="shared" ref="Y82:Y88" si="75">W82/Q82</f>
        <v>0.2166128468207083</v>
      </c>
      <c r="Z82" s="192">
        <f t="shared" ref="Z82:Z87" si="76">IF(Y82&gt;120%, W82*0.55%, IF(Y82&gt;100%, W82*0.45%, IF(Y82&gt;80%, W82*0.35%, IF(Y82&gt;60%, W82*0.2%, 0))))</f>
        <v>0</v>
      </c>
    </row>
    <row r="83" spans="1:26" ht="16" customHeight="1" x14ac:dyDescent="0.35">
      <c r="A83" s="623"/>
      <c r="B83" s="325" t="s">
        <v>97</v>
      </c>
      <c r="C83" s="327">
        <v>108416880</v>
      </c>
      <c r="D83" s="222">
        <v>4</v>
      </c>
      <c r="E83" s="308">
        <v>8</v>
      </c>
      <c r="F83" s="169">
        <v>47009588.287899978</v>
      </c>
      <c r="G83" s="328">
        <v>720765.76569999999</v>
      </c>
      <c r="H83" s="327"/>
      <c r="I83" s="326">
        <f t="shared" ref="I83:I88" si="77">F83-G83</f>
        <v>46288822.522199981</v>
      </c>
      <c r="J83" s="226">
        <f t="shared" si="70"/>
        <v>-62128057.477800019</v>
      </c>
      <c r="K83" s="172">
        <f t="shared" si="71"/>
        <v>0.42695217315052769</v>
      </c>
      <c r="L83" s="192">
        <f t="shared" si="72"/>
        <v>0</v>
      </c>
      <c r="O83" s="608"/>
      <c r="P83" s="325" t="s">
        <v>97</v>
      </c>
      <c r="Q83" s="327">
        <v>95472000.000000015</v>
      </c>
      <c r="R83" s="222">
        <v>5</v>
      </c>
      <c r="S83" s="308">
        <v>4</v>
      </c>
      <c r="T83" s="169">
        <v>16459995.4956</v>
      </c>
      <c r="U83" s="328"/>
      <c r="V83" s="327"/>
      <c r="W83" s="326">
        <f t="shared" si="73"/>
        <v>16459995.4956</v>
      </c>
      <c r="X83" s="226">
        <f t="shared" si="74"/>
        <v>-79012004.504400015</v>
      </c>
      <c r="Y83" s="172">
        <f>W83/Q83</f>
        <v>0.17240652228506784</v>
      </c>
      <c r="Z83" s="192">
        <f t="shared" si="76"/>
        <v>0</v>
      </c>
    </row>
    <row r="84" spans="1:26" ht="14.5" customHeight="1" x14ac:dyDescent="0.35">
      <c r="A84" s="623"/>
      <c r="B84" s="325" t="s">
        <v>98</v>
      </c>
      <c r="C84" s="327">
        <v>137985120</v>
      </c>
      <c r="D84" s="222">
        <v>17</v>
      </c>
      <c r="E84" s="308">
        <v>14</v>
      </c>
      <c r="F84" s="169">
        <v>40753285.58510001</v>
      </c>
      <c r="G84" s="169">
        <v>688288.28830000001</v>
      </c>
      <c r="H84" s="327"/>
      <c r="I84" s="326">
        <f t="shared" si="77"/>
        <v>40064997.29680001</v>
      </c>
      <c r="J84" s="226">
        <f t="shared" si="70"/>
        <v>-97920122.703199983</v>
      </c>
      <c r="K84" s="172">
        <f t="shared" si="71"/>
        <v>0.29035737546773166</v>
      </c>
      <c r="L84" s="192">
        <f t="shared" si="72"/>
        <v>0</v>
      </c>
      <c r="O84" s="608"/>
      <c r="P84" s="325" t="s">
        <v>98</v>
      </c>
      <c r="Q84" s="327">
        <v>105019200.00000001</v>
      </c>
      <c r="R84" s="222">
        <v>9</v>
      </c>
      <c r="S84" s="308">
        <v>6</v>
      </c>
      <c r="T84" s="169">
        <v>25502995.495099999</v>
      </c>
      <c r="U84" s="169"/>
      <c r="V84" s="327"/>
      <c r="W84" s="326">
        <f t="shared" si="73"/>
        <v>25502995.495099999</v>
      </c>
      <c r="X84" s="226">
        <f t="shared" si="74"/>
        <v>-79516204.504900008</v>
      </c>
      <c r="Y84" s="172">
        <f t="shared" si="75"/>
        <v>0.24284126612181386</v>
      </c>
      <c r="Z84" s="192">
        <f t="shared" si="76"/>
        <v>0</v>
      </c>
    </row>
    <row r="85" spans="1:26" ht="14.5" customHeight="1" x14ac:dyDescent="0.35">
      <c r="A85" s="623"/>
      <c r="B85" s="325" t="s">
        <v>99</v>
      </c>
      <c r="C85" s="327">
        <v>108416880</v>
      </c>
      <c r="D85" s="222">
        <v>13</v>
      </c>
      <c r="E85" s="308">
        <v>8</v>
      </c>
      <c r="F85" s="169">
        <v>32213072.272000004</v>
      </c>
      <c r="G85" s="169">
        <v>144144.1441</v>
      </c>
      <c r="H85" s="327"/>
      <c r="I85" s="326">
        <f t="shared" si="77"/>
        <v>32068928.127900004</v>
      </c>
      <c r="J85" s="226">
        <f t="shared" si="70"/>
        <v>-76347951.872099996</v>
      </c>
      <c r="K85" s="172">
        <f t="shared" si="71"/>
        <v>0.29579275965052676</v>
      </c>
      <c r="L85" s="192">
        <f t="shared" si="72"/>
        <v>0</v>
      </c>
      <c r="O85" s="608"/>
      <c r="P85" s="325" t="s">
        <v>99</v>
      </c>
      <c r="Q85" s="327">
        <v>95472000.000000015</v>
      </c>
      <c r="R85" s="222">
        <v>3</v>
      </c>
      <c r="S85" s="308">
        <v>8</v>
      </c>
      <c r="T85" s="169">
        <v>64263716.215799987</v>
      </c>
      <c r="U85" s="169"/>
      <c r="V85" s="327"/>
      <c r="W85" s="326">
        <f t="shared" si="73"/>
        <v>64263716.215799987</v>
      </c>
      <c r="X85" s="226">
        <f t="shared" si="74"/>
        <v>-31208283.784200028</v>
      </c>
      <c r="Y85" s="172">
        <f t="shared" si="75"/>
        <v>0.67311584774384092</v>
      </c>
      <c r="Z85" s="192">
        <f t="shared" si="76"/>
        <v>128527.43243159998</v>
      </c>
    </row>
    <row r="86" spans="1:26" ht="14.5" customHeight="1" x14ac:dyDescent="0.35">
      <c r="A86" s="623"/>
      <c r="B86" s="325" t="s">
        <v>100</v>
      </c>
      <c r="C86" s="327">
        <v>246402000</v>
      </c>
      <c r="D86" s="222">
        <v>13</v>
      </c>
      <c r="E86" s="308">
        <v>10</v>
      </c>
      <c r="F86" s="169">
        <v>62519183.315799996</v>
      </c>
      <c r="G86" s="169">
        <v>144144.1441</v>
      </c>
      <c r="H86" s="327"/>
      <c r="I86" s="326">
        <f t="shared" si="77"/>
        <v>62375039.171699993</v>
      </c>
      <c r="J86" s="226">
        <f t="shared" si="70"/>
        <v>-184026960.8283</v>
      </c>
      <c r="K86" s="172">
        <f t="shared" si="71"/>
        <v>0.2531433964484866</v>
      </c>
      <c r="L86" s="192">
        <f t="shared" si="72"/>
        <v>0</v>
      </c>
      <c r="O86" s="608"/>
      <c r="P86" s="325" t="s">
        <v>100</v>
      </c>
      <c r="Q86" s="327">
        <v>305510400.00000006</v>
      </c>
      <c r="R86" s="222">
        <v>15</v>
      </c>
      <c r="S86" s="308">
        <v>15</v>
      </c>
      <c r="T86" s="169">
        <v>199771918.9185999</v>
      </c>
      <c r="U86" s="169"/>
      <c r="V86" s="327"/>
      <c r="W86" s="326">
        <f t="shared" si="73"/>
        <v>199771918.9185999</v>
      </c>
      <c r="X86" s="226">
        <f t="shared" si="74"/>
        <v>-105738481.08140016</v>
      </c>
      <c r="Y86" s="172">
        <f t="shared" si="75"/>
        <v>0.65389564125672928</v>
      </c>
      <c r="Z86" s="192">
        <f t="shared" si="76"/>
        <v>399543.8378371998</v>
      </c>
    </row>
    <row r="87" spans="1:26" ht="14.5" customHeight="1" x14ac:dyDescent="0.35">
      <c r="A87" s="623"/>
      <c r="B87" s="325" t="s">
        <v>101</v>
      </c>
      <c r="C87" s="327">
        <v>256258080</v>
      </c>
      <c r="D87" s="222">
        <v>20</v>
      </c>
      <c r="E87" s="308">
        <v>16</v>
      </c>
      <c r="F87" s="169">
        <v>174754691.44220001</v>
      </c>
      <c r="G87" s="169">
        <v>266666.6667</v>
      </c>
      <c r="H87" s="327"/>
      <c r="I87" s="326">
        <f t="shared" si="77"/>
        <v>174488024.7755</v>
      </c>
      <c r="J87" s="226">
        <f t="shared" si="70"/>
        <v>-81770055.2245</v>
      </c>
      <c r="K87" s="172">
        <f t="shared" si="71"/>
        <v>0.68090740699961538</v>
      </c>
      <c r="L87" s="192">
        <f t="shared" si="72"/>
        <v>348976.049551</v>
      </c>
      <c r="O87" s="608"/>
      <c r="P87" s="325" t="s">
        <v>101</v>
      </c>
      <c r="Q87" s="327">
        <v>238680000.00000003</v>
      </c>
      <c r="R87" s="222">
        <v>11</v>
      </c>
      <c r="S87" s="308">
        <v>10</v>
      </c>
      <c r="T87" s="169">
        <v>76579094.594500035</v>
      </c>
      <c r="U87" s="169"/>
      <c r="V87" s="327"/>
      <c r="W87" s="326">
        <f t="shared" si="73"/>
        <v>76579094.594500035</v>
      </c>
      <c r="X87" s="226">
        <f t="shared" si="74"/>
        <v>-162100905.40549999</v>
      </c>
      <c r="Y87" s="172">
        <f>W87/Q87</f>
        <v>0.32084420393204299</v>
      </c>
      <c r="Z87" s="192">
        <f t="shared" si="76"/>
        <v>0</v>
      </c>
    </row>
    <row r="88" spans="1:26" ht="14.5" customHeight="1" thickBot="1" x14ac:dyDescent="0.4">
      <c r="A88" s="623"/>
      <c r="B88" s="352" t="s">
        <v>77</v>
      </c>
      <c r="C88" s="329">
        <f t="shared" ref="C88:H88" si="78">SUM(C82:C87)</f>
        <v>985608000</v>
      </c>
      <c r="D88" s="178">
        <f t="shared" si="78"/>
        <v>77</v>
      </c>
      <c r="E88" s="178">
        <f t="shared" si="78"/>
        <v>61</v>
      </c>
      <c r="F88" s="329">
        <f t="shared" si="78"/>
        <v>393837947.92949998</v>
      </c>
      <c r="G88" s="330">
        <f t="shared" si="78"/>
        <v>2119009.0088999998</v>
      </c>
      <c r="H88" s="329">
        <f t="shared" si="78"/>
        <v>0</v>
      </c>
      <c r="I88" s="329">
        <f t="shared" si="77"/>
        <v>391718938.9206</v>
      </c>
      <c r="J88" s="329">
        <f t="shared" si="70"/>
        <v>-593889061.07940006</v>
      </c>
      <c r="K88" s="305">
        <f>I88/C88</f>
        <v>0.39743887927106925</v>
      </c>
      <c r="L88" s="197">
        <f>SUM(L82:L87)</f>
        <v>348976.049551</v>
      </c>
      <c r="O88" s="609"/>
      <c r="P88" s="354" t="s">
        <v>77</v>
      </c>
      <c r="Q88" s="336">
        <f t="shared" ref="Q88:V88" si="79">SUM(Q82:Q87)</f>
        <v>954720000.00000012</v>
      </c>
      <c r="R88" s="207">
        <f>SUM(R82:R87)</f>
        <v>52</v>
      </c>
      <c r="S88" s="207">
        <f t="shared" si="79"/>
        <v>48</v>
      </c>
      <c r="T88" s="336">
        <f t="shared" si="79"/>
        <v>407999680.1789999</v>
      </c>
      <c r="U88" s="337">
        <f t="shared" si="79"/>
        <v>605405.40540000005</v>
      </c>
      <c r="V88" s="336">
        <f t="shared" si="79"/>
        <v>0</v>
      </c>
      <c r="W88" s="336">
        <f t="shared" si="73"/>
        <v>407394274.77359992</v>
      </c>
      <c r="X88" s="336">
        <f>W88-Q88</f>
        <v>-547325725.22640014</v>
      </c>
      <c r="Y88" s="313">
        <f t="shared" si="75"/>
        <v>0.42671597407993955</v>
      </c>
      <c r="Z88" s="197">
        <f>SUM(Z82:Z87)</f>
        <v>528071.27026879974</v>
      </c>
    </row>
    <row r="89" spans="1:26" ht="14.5" customHeight="1" x14ac:dyDescent="0.55000000000000004">
      <c r="B89" s="324" t="str">
        <f>$B$12</f>
        <v>TARGET Q1</v>
      </c>
      <c r="C89" s="243">
        <v>887047200</v>
      </c>
      <c r="D89" s="597"/>
      <c r="E89" s="598"/>
      <c r="F89" s="598"/>
      <c r="G89" s="598"/>
      <c r="H89" s="599"/>
      <c r="I89" s="243">
        <f>I88</f>
        <v>391718938.9206</v>
      </c>
      <c r="J89" s="243">
        <f>I89-C89</f>
        <v>-495328261.0794</v>
      </c>
      <c r="K89" s="183">
        <f t="shared" si="71"/>
        <v>0.44159875474563248</v>
      </c>
      <c r="L89" s="192">
        <f>IF(K89&gt;=1,2500000,IF(K88&gt;=1,3500000,0))</f>
        <v>0</v>
      </c>
      <c r="O89" s="309"/>
      <c r="P89" s="324" t="str">
        <f>$B$12</f>
        <v>TARGET Q1</v>
      </c>
      <c r="Q89" s="243">
        <v>859248000.00000012</v>
      </c>
      <c r="R89" s="597"/>
      <c r="S89" s="598"/>
      <c r="T89" s="598"/>
      <c r="U89" s="598"/>
      <c r="V89" s="599"/>
      <c r="W89" s="243">
        <f>W88</f>
        <v>407394274.77359992</v>
      </c>
      <c r="X89" s="243">
        <f>W89-Q89</f>
        <v>-451853725.2264002</v>
      </c>
      <c r="Y89" s="183">
        <f>W89/Q89</f>
        <v>0.47412886008882171</v>
      </c>
      <c r="Z89" s="192">
        <f>IF(Y89&gt;=1,2500000,IF(Y88&gt;=1,3500000,0))</f>
        <v>0</v>
      </c>
    </row>
    <row r="90" spans="1:26" ht="24" thickBot="1" x14ac:dyDescent="0.6">
      <c r="C90" s="210">
        <f>C89/C88</f>
        <v>0.9</v>
      </c>
      <c r="O90" s="309"/>
      <c r="Q90" s="210">
        <f>Q89/Q88</f>
        <v>0.9</v>
      </c>
    </row>
    <row r="91" spans="1:26" ht="20.5" customHeight="1" x14ac:dyDescent="0.35">
      <c r="A91" s="624">
        <v>9</v>
      </c>
      <c r="B91" s="352" t="s">
        <v>57</v>
      </c>
      <c r="C91" s="353" t="s">
        <v>43</v>
      </c>
      <c r="D91" s="616" t="s">
        <v>91</v>
      </c>
      <c r="E91" s="616" t="s">
        <v>62</v>
      </c>
      <c r="F91" s="604" t="s">
        <v>119</v>
      </c>
      <c r="G91" s="605"/>
      <c r="H91" s="605"/>
      <c r="I91" s="606"/>
      <c r="J91" s="587" t="s">
        <v>65</v>
      </c>
      <c r="K91" s="352" t="s">
        <v>66</v>
      </c>
      <c r="O91" s="607">
        <v>9</v>
      </c>
      <c r="P91" s="354" t="s">
        <v>57</v>
      </c>
      <c r="Q91" s="355" t="s">
        <v>120</v>
      </c>
      <c r="R91" s="591" t="s">
        <v>91</v>
      </c>
      <c r="S91" s="591" t="s">
        <v>62</v>
      </c>
      <c r="T91" s="610" t="s">
        <v>119</v>
      </c>
      <c r="U91" s="611"/>
      <c r="V91" s="611"/>
      <c r="W91" s="612"/>
      <c r="X91" s="603" t="s">
        <v>65</v>
      </c>
      <c r="Y91" s="354" t="s">
        <v>66</v>
      </c>
    </row>
    <row r="92" spans="1:26" ht="33.65" customHeight="1" x14ac:dyDescent="0.35">
      <c r="A92" s="625"/>
      <c r="B92" s="352" t="s">
        <v>93</v>
      </c>
      <c r="C92" s="353" t="str">
        <f>C81</f>
        <v>TARGET 100%</v>
      </c>
      <c r="D92" s="617"/>
      <c r="E92" s="617"/>
      <c r="F92" s="163" t="str">
        <f>F4</f>
        <v>OMSET JAN
 (1-31)</v>
      </c>
      <c r="G92" s="163" t="str">
        <f>G4</f>
        <v>OMSET PRODUK</v>
      </c>
      <c r="H92" s="353" t="s">
        <v>63</v>
      </c>
      <c r="I92" s="353" t="s">
        <v>64</v>
      </c>
      <c r="J92" s="587"/>
      <c r="K92" s="164">
        <f>K81</f>
        <v>1</v>
      </c>
      <c r="O92" s="608"/>
      <c r="P92" s="354" t="s">
        <v>93</v>
      </c>
      <c r="Q92" s="355" t="str">
        <f>Q81</f>
        <v>TARGET 100%</v>
      </c>
      <c r="R92" s="592"/>
      <c r="S92" s="592"/>
      <c r="T92" s="200" t="str">
        <f>T15</f>
        <v>OMSET JAN
 (1-31)</v>
      </c>
      <c r="U92" s="200" t="str">
        <f>G4</f>
        <v>OMSET PRODUK</v>
      </c>
      <c r="V92" s="355" t="s">
        <v>63</v>
      </c>
      <c r="W92" s="355" t="s">
        <v>64</v>
      </c>
      <c r="X92" s="603"/>
      <c r="Y92" s="201">
        <f>K92</f>
        <v>1</v>
      </c>
    </row>
    <row r="93" spans="1:26" ht="14.5" customHeight="1" x14ac:dyDescent="0.35">
      <c r="A93" s="625"/>
      <c r="B93" s="325" t="s">
        <v>96</v>
      </c>
      <c r="C93" s="326">
        <v>218476440</v>
      </c>
      <c r="D93" s="222">
        <v>27</v>
      </c>
      <c r="E93" s="308">
        <v>21</v>
      </c>
      <c r="F93" s="169">
        <v>167169996.63520002</v>
      </c>
      <c r="G93" s="169">
        <v>7333333.3333999999</v>
      </c>
      <c r="H93" s="326"/>
      <c r="I93" s="326">
        <f t="shared" ref="I93:I99" si="80">F93-G93</f>
        <v>159836663.30180001</v>
      </c>
      <c r="J93" s="226">
        <f t="shared" ref="J93:J99" si="81">I93-C93</f>
        <v>-58639776.698199987</v>
      </c>
      <c r="K93" s="172">
        <f t="shared" ref="K93:K100" si="82">I93/C93</f>
        <v>0.73159679506769704</v>
      </c>
      <c r="L93" s="192">
        <f t="shared" ref="L93:L98" si="83">IF(K93&gt;120%, I93*0.55%, IF(K93&gt;100%, I93*0.45%, IF(K93&gt;80%, I93*0.35%, IF(K93&gt;60%, I93*0.2%, 0))))</f>
        <v>319673.32660360006</v>
      </c>
      <c r="O93" s="608"/>
      <c r="P93" s="325" t="s">
        <v>96</v>
      </c>
      <c r="Q93" s="326">
        <v>101088000</v>
      </c>
      <c r="R93" s="222">
        <v>13</v>
      </c>
      <c r="S93" s="308">
        <v>12</v>
      </c>
      <c r="T93" s="169">
        <v>56043337.837300047</v>
      </c>
      <c r="U93" s="169"/>
      <c r="V93" s="326"/>
      <c r="W93" s="326">
        <f t="shared" ref="W93:W99" si="84">T93-U93</f>
        <v>56043337.837300047</v>
      </c>
      <c r="X93" s="226">
        <f t="shared" ref="X93:X98" si="85">T93-Q93</f>
        <v>-45044662.162699953</v>
      </c>
      <c r="Y93" s="172">
        <f t="shared" ref="Y93:Y99" si="86">W93/Q93</f>
        <v>0.55440149016005902</v>
      </c>
      <c r="Z93" s="192">
        <f t="shared" ref="Z93:Z98" si="87">IF(Y93&gt;120%, W93*0.55%, IF(Y93&gt;100%, W93*0.45%, IF(Y93&gt;80%, W93*0.35%, IF(Y93&gt;60%, W93*0.2%, 0))))</f>
        <v>0</v>
      </c>
    </row>
    <row r="94" spans="1:26" ht="14.5" customHeight="1" x14ac:dyDescent="0.35">
      <c r="A94" s="625"/>
      <c r="B94" s="325" t="s">
        <v>97</v>
      </c>
      <c r="C94" s="327">
        <v>176861880</v>
      </c>
      <c r="D94" s="222">
        <v>15</v>
      </c>
      <c r="E94" s="308">
        <v>12</v>
      </c>
      <c r="F94" s="169">
        <v>158311478.80159992</v>
      </c>
      <c r="G94" s="328">
        <v>933333.33339999989</v>
      </c>
      <c r="H94" s="327"/>
      <c r="I94" s="326">
        <f t="shared" si="80"/>
        <v>157378145.46819991</v>
      </c>
      <c r="J94" s="226">
        <f t="shared" si="81"/>
        <v>-19483734.531800091</v>
      </c>
      <c r="K94" s="172">
        <f t="shared" si="82"/>
        <v>0.88983643885386665</v>
      </c>
      <c r="L94" s="192">
        <f t="shared" si="83"/>
        <v>550823.50913869962</v>
      </c>
      <c r="O94" s="608"/>
      <c r="P94" s="325" t="s">
        <v>97</v>
      </c>
      <c r="Q94" s="327">
        <v>363916800</v>
      </c>
      <c r="R94" s="222">
        <v>15</v>
      </c>
      <c r="S94" s="308">
        <v>13</v>
      </c>
      <c r="T94" s="169">
        <v>375558109.00860012</v>
      </c>
      <c r="U94" s="328"/>
      <c r="V94" s="327"/>
      <c r="W94" s="326">
        <f t="shared" si="84"/>
        <v>375558109.00860012</v>
      </c>
      <c r="X94" s="226">
        <f t="shared" si="85"/>
        <v>11641309.008600116</v>
      </c>
      <c r="Y94" s="172">
        <f t="shared" si="86"/>
        <v>1.0319889299109031</v>
      </c>
      <c r="Z94" s="192">
        <f t="shared" si="87"/>
        <v>1690011.4905387007</v>
      </c>
    </row>
    <row r="95" spans="1:26" ht="14.5" customHeight="1" x14ac:dyDescent="0.35">
      <c r="A95" s="625"/>
      <c r="B95" s="325" t="s">
        <v>98</v>
      </c>
      <c r="C95" s="327">
        <v>197669160</v>
      </c>
      <c r="D95" s="222">
        <v>16</v>
      </c>
      <c r="E95" s="308">
        <v>16</v>
      </c>
      <c r="F95" s="169">
        <v>181893321.9817999</v>
      </c>
      <c r="G95" s="169">
        <v>666666.66669999994</v>
      </c>
      <c r="H95" s="327"/>
      <c r="I95" s="326">
        <f>F95-G95</f>
        <v>181226655.3150999</v>
      </c>
      <c r="J95" s="226">
        <f t="shared" si="81"/>
        <v>-16442504.684900105</v>
      </c>
      <c r="K95" s="172">
        <f t="shared" si="82"/>
        <v>0.91681805758217361</v>
      </c>
      <c r="L95" s="192">
        <f t="shared" si="83"/>
        <v>634293.29360284959</v>
      </c>
      <c r="O95" s="608"/>
      <c r="P95" s="325" t="s">
        <v>98</v>
      </c>
      <c r="Q95" s="327">
        <v>141523200</v>
      </c>
      <c r="R95" s="222">
        <v>17</v>
      </c>
      <c r="S95" s="308">
        <v>13</v>
      </c>
      <c r="T95" s="169">
        <v>90202914.414100006</v>
      </c>
      <c r="U95" s="169"/>
      <c r="V95" s="327"/>
      <c r="W95" s="326">
        <f t="shared" si="84"/>
        <v>90202914.414100006</v>
      </c>
      <c r="X95" s="226">
        <f t="shared" si="85"/>
        <v>-51320285.585899994</v>
      </c>
      <c r="Y95" s="172">
        <f t="shared" si="86"/>
        <v>0.63737192498544415</v>
      </c>
      <c r="Z95" s="192">
        <f t="shared" si="87"/>
        <v>180405.82882820003</v>
      </c>
    </row>
    <row r="96" spans="1:26" ht="14.5" customHeight="1" x14ac:dyDescent="0.35">
      <c r="A96" s="625"/>
      <c r="B96" s="325" t="s">
        <v>99</v>
      </c>
      <c r="C96" s="327">
        <v>176861880</v>
      </c>
      <c r="D96" s="222">
        <v>16</v>
      </c>
      <c r="E96" s="308">
        <v>15</v>
      </c>
      <c r="F96" s="169">
        <v>161970013.84830001</v>
      </c>
      <c r="G96" s="169">
        <v>3066666.6666000001</v>
      </c>
      <c r="H96" s="327"/>
      <c r="I96" s="326">
        <f>F96-G96</f>
        <v>158903347.18170002</v>
      </c>
      <c r="J96" s="226">
        <f t="shared" si="81"/>
        <v>-17958532.818299979</v>
      </c>
      <c r="K96" s="172">
        <f t="shared" si="82"/>
        <v>0.89846012708730694</v>
      </c>
      <c r="L96" s="192">
        <f t="shared" si="83"/>
        <v>556161.71513595001</v>
      </c>
      <c r="O96" s="608"/>
      <c r="P96" s="325" t="s">
        <v>99</v>
      </c>
      <c r="Q96" s="327">
        <v>121305600</v>
      </c>
      <c r="R96" s="222">
        <v>14</v>
      </c>
      <c r="S96" s="308">
        <v>10</v>
      </c>
      <c r="T96" s="169">
        <v>87097572.071799979</v>
      </c>
      <c r="U96" s="169"/>
      <c r="V96" s="327"/>
      <c r="W96" s="326">
        <f t="shared" si="84"/>
        <v>87097572.071799979</v>
      </c>
      <c r="X96" s="226">
        <f t="shared" si="85"/>
        <v>-34208027.928200021</v>
      </c>
      <c r="Y96" s="172">
        <f t="shared" si="86"/>
        <v>0.71800124703063983</v>
      </c>
      <c r="Z96" s="192">
        <f t="shared" si="87"/>
        <v>174195.14414359996</v>
      </c>
    </row>
    <row r="97" spans="1:27" ht="14.5" customHeight="1" x14ac:dyDescent="0.35">
      <c r="A97" s="625"/>
      <c r="B97" s="325" t="s">
        <v>100</v>
      </c>
      <c r="C97" s="327">
        <v>124843680</v>
      </c>
      <c r="D97" s="222">
        <v>17</v>
      </c>
      <c r="E97" s="308">
        <v>15</v>
      </c>
      <c r="F97" s="169">
        <v>95989637.837200016</v>
      </c>
      <c r="G97" s="169">
        <v>399999.9999</v>
      </c>
      <c r="H97" s="327"/>
      <c r="I97" s="326">
        <f t="shared" si="80"/>
        <v>95589637.837300017</v>
      </c>
      <c r="J97" s="226">
        <f t="shared" si="81"/>
        <v>-29254042.162699983</v>
      </c>
      <c r="K97" s="172">
        <f t="shared" si="82"/>
        <v>0.76567462475713643</v>
      </c>
      <c r="L97" s="192">
        <f t="shared" si="83"/>
        <v>191179.27567460004</v>
      </c>
      <c r="O97" s="608"/>
      <c r="P97" s="325" t="s">
        <v>100</v>
      </c>
      <c r="Q97" s="327">
        <v>131414400</v>
      </c>
      <c r="R97" s="222">
        <v>9</v>
      </c>
      <c r="S97" s="308">
        <v>7</v>
      </c>
      <c r="T97" s="169">
        <v>37080112.612500012</v>
      </c>
      <c r="U97" s="169"/>
      <c r="V97" s="327"/>
      <c r="W97" s="326">
        <f t="shared" si="84"/>
        <v>37080112.612500012</v>
      </c>
      <c r="X97" s="226">
        <f t="shared" si="85"/>
        <v>-94334287.387499988</v>
      </c>
      <c r="Y97" s="172">
        <f t="shared" si="86"/>
        <v>0.28216171601057427</v>
      </c>
      <c r="Z97" s="192">
        <f t="shared" si="87"/>
        <v>0</v>
      </c>
    </row>
    <row r="98" spans="1:27" ht="14.5" customHeight="1" x14ac:dyDescent="0.35">
      <c r="A98" s="625"/>
      <c r="B98" s="325" t="s">
        <v>101</v>
      </c>
      <c r="C98" s="327">
        <v>145650960</v>
      </c>
      <c r="D98" s="222">
        <v>14</v>
      </c>
      <c r="E98" s="308">
        <v>12</v>
      </c>
      <c r="F98" s="169">
        <v>134300442.11570004</v>
      </c>
      <c r="G98" s="169">
        <v>2133333.3333000001</v>
      </c>
      <c r="H98" s="327"/>
      <c r="I98" s="326">
        <f t="shared" si="80"/>
        <v>132167108.78240004</v>
      </c>
      <c r="J98" s="226">
        <f t="shared" si="81"/>
        <v>-13483851.217599958</v>
      </c>
      <c r="K98" s="172">
        <f t="shared" si="82"/>
        <v>0.9074235335105244</v>
      </c>
      <c r="L98" s="192">
        <f t="shared" si="83"/>
        <v>462584.8807384001</v>
      </c>
      <c r="O98" s="608"/>
      <c r="P98" s="325" t="s">
        <v>101</v>
      </c>
      <c r="Q98" s="327">
        <v>151632000</v>
      </c>
      <c r="R98" s="222">
        <v>8</v>
      </c>
      <c r="S98" s="308">
        <v>7</v>
      </c>
      <c r="T98" s="169">
        <v>66617112.612900011</v>
      </c>
      <c r="U98" s="169"/>
      <c r="V98" s="327"/>
      <c r="W98" s="326">
        <f t="shared" si="84"/>
        <v>66617112.612900011</v>
      </c>
      <c r="X98" s="226">
        <f t="shared" si="85"/>
        <v>-85014887.387099981</v>
      </c>
      <c r="Y98" s="172">
        <f t="shared" si="86"/>
        <v>0.43933412876503647</v>
      </c>
      <c r="Z98" s="192">
        <f t="shared" si="87"/>
        <v>0</v>
      </c>
    </row>
    <row r="99" spans="1:27" s="187" customFormat="1" ht="14.5" customHeight="1" thickBot="1" x14ac:dyDescent="0.4">
      <c r="A99" s="625"/>
      <c r="B99" s="352" t="s">
        <v>77</v>
      </c>
      <c r="C99" s="329">
        <f t="shared" ref="C99:H99" si="88">SUM(C93:C98)</f>
        <v>1040364000</v>
      </c>
      <c r="D99" s="178">
        <f t="shared" si="88"/>
        <v>105</v>
      </c>
      <c r="E99" s="178">
        <f t="shared" si="88"/>
        <v>91</v>
      </c>
      <c r="F99" s="329">
        <f t="shared" si="88"/>
        <v>899634891.21979988</v>
      </c>
      <c r="G99" s="330">
        <f t="shared" si="88"/>
        <v>14533333.3333</v>
      </c>
      <c r="H99" s="329">
        <f t="shared" si="88"/>
        <v>0</v>
      </c>
      <c r="I99" s="329">
        <f t="shared" si="80"/>
        <v>885101557.88649988</v>
      </c>
      <c r="J99" s="329">
        <f t="shared" si="81"/>
        <v>-155262442.11350012</v>
      </c>
      <c r="K99" s="305">
        <f t="shared" si="82"/>
        <v>0.85076142377715869</v>
      </c>
      <c r="L99" s="197">
        <f>SUM(L93:L98)</f>
        <v>2714716.0008940995</v>
      </c>
      <c r="M99" s="217"/>
      <c r="O99" s="609"/>
      <c r="P99" s="354" t="s">
        <v>77</v>
      </c>
      <c r="Q99" s="336">
        <f t="shared" ref="Q99:V99" si="89">SUM(Q93:Q98)</f>
        <v>1010880000</v>
      </c>
      <c r="R99" s="207">
        <f t="shared" si="89"/>
        <v>76</v>
      </c>
      <c r="S99" s="207">
        <f>SUM(S93:S98)</f>
        <v>62</v>
      </c>
      <c r="T99" s="336">
        <f t="shared" si="89"/>
        <v>712599158.55720019</v>
      </c>
      <c r="U99" s="337">
        <f t="shared" si="89"/>
        <v>0</v>
      </c>
      <c r="V99" s="336">
        <f t="shared" si="89"/>
        <v>0</v>
      </c>
      <c r="W99" s="336">
        <f t="shared" si="84"/>
        <v>712599158.55720019</v>
      </c>
      <c r="X99" s="336">
        <f>W99-Q99</f>
        <v>-298280841.44279981</v>
      </c>
      <c r="Y99" s="313">
        <f t="shared" si="86"/>
        <v>0.70492952532170006</v>
      </c>
      <c r="Z99" s="197">
        <f>SUM(Z93:Z98)</f>
        <v>2044612.4635105007</v>
      </c>
      <c r="AA99" s="218"/>
    </row>
    <row r="100" spans="1:27" ht="15" customHeight="1" x14ac:dyDescent="0.55000000000000004">
      <c r="A100" s="219"/>
      <c r="B100" s="324" t="str">
        <f>$B$12</f>
        <v>TARGET Q1</v>
      </c>
      <c r="C100" s="243">
        <v>936327600</v>
      </c>
      <c r="D100" s="597"/>
      <c r="E100" s="598"/>
      <c r="F100" s="598"/>
      <c r="G100" s="598"/>
      <c r="H100" s="599"/>
      <c r="I100" s="243">
        <f>I99</f>
        <v>885101557.88649988</v>
      </c>
      <c r="J100" s="243">
        <f>I100-C100</f>
        <v>-51226042.113500118</v>
      </c>
      <c r="K100" s="183">
        <f t="shared" si="82"/>
        <v>0.94529047086350959</v>
      </c>
      <c r="L100" s="192">
        <f>IF(K100&gt;=1,2500000,IF(K99&gt;=1,3500000,0))</f>
        <v>0</v>
      </c>
      <c r="O100" s="309"/>
      <c r="P100" s="324" t="str">
        <f>$B$12</f>
        <v>TARGET Q1</v>
      </c>
      <c r="Q100" s="243">
        <v>909792000</v>
      </c>
      <c r="R100" s="597"/>
      <c r="S100" s="598"/>
      <c r="T100" s="598"/>
      <c r="U100" s="598"/>
      <c r="V100" s="599"/>
      <c r="W100" s="243">
        <f>W99</f>
        <v>712599158.55720019</v>
      </c>
      <c r="X100" s="243">
        <f>W100-Q100</f>
        <v>-197192841.44279981</v>
      </c>
      <c r="Y100" s="183">
        <f>W100/Q100</f>
        <v>0.7832550281352223</v>
      </c>
      <c r="Z100" s="192">
        <f>IF(Y100&gt;=1,2500000,IF(Y99&gt;=1,3500000,0))</f>
        <v>0</v>
      </c>
    </row>
    <row r="101" spans="1:27" ht="24" thickBot="1" x14ac:dyDescent="0.6">
      <c r="C101" s="210">
        <f>C100/C99</f>
        <v>0.9</v>
      </c>
      <c r="O101" s="309"/>
      <c r="Q101" s="210">
        <f>Q100/Q99</f>
        <v>0.9</v>
      </c>
    </row>
    <row r="102" spans="1:27" ht="17.149999999999999" customHeight="1" x14ac:dyDescent="0.35">
      <c r="A102" s="623">
        <v>10</v>
      </c>
      <c r="B102" s="352" t="s">
        <v>57</v>
      </c>
      <c r="C102" s="353" t="s">
        <v>37</v>
      </c>
      <c r="D102" s="616" t="s">
        <v>91</v>
      </c>
      <c r="E102" s="616" t="s">
        <v>62</v>
      </c>
      <c r="F102" s="604" t="s">
        <v>121</v>
      </c>
      <c r="G102" s="605"/>
      <c r="H102" s="605"/>
      <c r="I102" s="606"/>
      <c r="J102" s="587" t="s">
        <v>65</v>
      </c>
      <c r="K102" s="352" t="s">
        <v>66</v>
      </c>
      <c r="O102" s="613">
        <v>10</v>
      </c>
      <c r="P102" s="354" t="s">
        <v>57</v>
      </c>
      <c r="Q102" s="355" t="s">
        <v>122</v>
      </c>
      <c r="R102" s="591" t="s">
        <v>91</v>
      </c>
      <c r="S102" s="591" t="s">
        <v>62</v>
      </c>
      <c r="T102" s="610" t="s">
        <v>121</v>
      </c>
      <c r="U102" s="611"/>
      <c r="V102" s="611"/>
      <c r="W102" s="612"/>
      <c r="X102" s="603" t="s">
        <v>65</v>
      </c>
      <c r="Y102" s="354" t="s">
        <v>66</v>
      </c>
    </row>
    <row r="103" spans="1:27" ht="37.5" customHeight="1" x14ac:dyDescent="0.35">
      <c r="A103" s="623"/>
      <c r="B103" s="352" t="s">
        <v>93</v>
      </c>
      <c r="C103" s="353" t="str">
        <f>C92</f>
        <v>TARGET 100%</v>
      </c>
      <c r="D103" s="617"/>
      <c r="E103" s="617"/>
      <c r="F103" s="163" t="str">
        <f>F4</f>
        <v>OMSET JAN
 (1-31)</v>
      </c>
      <c r="G103" s="163" t="str">
        <f>G4</f>
        <v>OMSET PRODUK</v>
      </c>
      <c r="H103" s="353" t="s">
        <v>63</v>
      </c>
      <c r="I103" s="353" t="s">
        <v>64</v>
      </c>
      <c r="J103" s="587"/>
      <c r="K103" s="164">
        <f>K92</f>
        <v>1</v>
      </c>
      <c r="O103" s="614"/>
      <c r="P103" s="354" t="s">
        <v>93</v>
      </c>
      <c r="Q103" s="355" t="str">
        <f>Q92</f>
        <v>TARGET 100%</v>
      </c>
      <c r="R103" s="592"/>
      <c r="S103" s="592"/>
      <c r="T103" s="200" t="str">
        <f>T4</f>
        <v>OMSET JAN
 (1-31)</v>
      </c>
      <c r="U103" s="200" t="str">
        <f>G4</f>
        <v>OMSET PRODUK</v>
      </c>
      <c r="V103" s="355" t="s">
        <v>63</v>
      </c>
      <c r="W103" s="355" t="s">
        <v>64</v>
      </c>
      <c r="X103" s="603"/>
      <c r="Y103" s="201">
        <f>K103</f>
        <v>1</v>
      </c>
    </row>
    <row r="104" spans="1:27" ht="14.5" customHeight="1" x14ac:dyDescent="0.35">
      <c r="A104" s="623"/>
      <c r="B104" s="325" t="s">
        <v>96</v>
      </c>
      <c r="C104" s="326">
        <v>416145600</v>
      </c>
      <c r="D104" s="222">
        <v>26</v>
      </c>
      <c r="E104" s="308">
        <v>29</v>
      </c>
      <c r="F104" s="169">
        <v>309205238.95430011</v>
      </c>
      <c r="G104" s="169">
        <v>1254099.0989999999</v>
      </c>
      <c r="H104" s="326"/>
      <c r="I104" s="326">
        <f t="shared" ref="I104:I110" si="90">F104-G104</f>
        <v>307951139.85530013</v>
      </c>
      <c r="J104" s="226">
        <f t="shared" ref="J104:J110" si="91">I104-C104</f>
        <v>-108194460.14469987</v>
      </c>
      <c r="K104" s="172">
        <f>I104/C104</f>
        <v>0.74000816025761207</v>
      </c>
      <c r="L104" s="192">
        <f t="shared" ref="L104:L109" si="92">IF(K104&gt;120%, I104*0.55%, IF(K104&gt;100%, I104*0.45%, IF(K104&gt;80%, I104*0.35%, IF(K104&gt;60%, I104*0.2%, 0))))</f>
        <v>615902.27971060027</v>
      </c>
      <c r="O104" s="614"/>
      <c r="P104" s="325" t="s">
        <v>96</v>
      </c>
      <c r="Q104" s="326">
        <v>138715200</v>
      </c>
      <c r="R104" s="222">
        <v>12</v>
      </c>
      <c r="S104" s="308">
        <v>11</v>
      </c>
      <c r="T104" s="169">
        <v>77513743.242499977</v>
      </c>
      <c r="U104" s="169"/>
      <c r="V104" s="326"/>
      <c r="W104" s="326">
        <f t="shared" ref="W104:W110" si="93">T104-U104</f>
        <v>77513743.242499977</v>
      </c>
      <c r="X104" s="226">
        <f t="shared" ref="X104:X109" si="94">T104-Q104</f>
        <v>-61201456.757500023</v>
      </c>
      <c r="Y104" s="172">
        <f t="shared" ref="Y104:Y111" si="95">W104/Q104</f>
        <v>0.55879776147458948</v>
      </c>
      <c r="Z104" s="192">
        <f t="shared" ref="Z104:Z109" si="96">IF(Y104&gt;120%, W104*0.55%, IF(Y104&gt;100%, W104*0.45%, IF(Y104&gt;80%, W104*0.35%, IF(Y104&gt;60%, W104*0.2%, 0))))</f>
        <v>0</v>
      </c>
    </row>
    <row r="105" spans="1:27" ht="14.5" customHeight="1" x14ac:dyDescent="0.35">
      <c r="A105" s="623"/>
      <c r="B105" s="325" t="s">
        <v>97</v>
      </c>
      <c r="C105" s="327">
        <v>0</v>
      </c>
      <c r="D105" s="222"/>
      <c r="E105" s="308"/>
      <c r="F105" s="169"/>
      <c r="G105" s="328"/>
      <c r="H105" s="327"/>
      <c r="I105" s="326">
        <f t="shared" si="90"/>
        <v>0</v>
      </c>
      <c r="J105" s="226">
        <f t="shared" si="91"/>
        <v>0</v>
      </c>
      <c r="K105" s="172">
        <v>0</v>
      </c>
      <c r="L105" s="192">
        <f t="shared" si="92"/>
        <v>0</v>
      </c>
      <c r="O105" s="614"/>
      <c r="P105" s="325" t="s">
        <v>97</v>
      </c>
      <c r="Q105" s="327">
        <v>480168000</v>
      </c>
      <c r="R105" s="222">
        <v>26</v>
      </c>
      <c r="S105" s="308">
        <v>27</v>
      </c>
      <c r="T105" s="169">
        <v>294266618.91719997</v>
      </c>
      <c r="U105" s="328"/>
      <c r="V105" s="327"/>
      <c r="W105" s="326">
        <f>T105-U105</f>
        <v>294266618.91719997</v>
      </c>
      <c r="X105" s="226">
        <f>T105-Q105</f>
        <v>-185901381.08280003</v>
      </c>
      <c r="Y105" s="172">
        <f t="shared" si="95"/>
        <v>0.61284096174089064</v>
      </c>
      <c r="Z105" s="192">
        <f t="shared" si="96"/>
        <v>588533.23783439992</v>
      </c>
    </row>
    <row r="106" spans="1:27" ht="14.5" customHeight="1" x14ac:dyDescent="0.35">
      <c r="A106" s="623"/>
      <c r="B106" s="325" t="s">
        <v>98</v>
      </c>
      <c r="C106" s="327">
        <v>156054600</v>
      </c>
      <c r="D106" s="222">
        <v>14</v>
      </c>
      <c r="E106" s="308">
        <v>13</v>
      </c>
      <c r="F106" s="169">
        <v>99577219.819800004</v>
      </c>
      <c r="G106" s="169">
        <v>800000</v>
      </c>
      <c r="H106" s="327"/>
      <c r="I106" s="326">
        <f t="shared" si="90"/>
        <v>98777219.819800004</v>
      </c>
      <c r="J106" s="226">
        <f t="shared" si="91"/>
        <v>-57277380.180199996</v>
      </c>
      <c r="K106" s="172">
        <f t="shared" ref="K106:K109" si="97">I106/C106</f>
        <v>0.63296576851819819</v>
      </c>
      <c r="L106" s="192">
        <f t="shared" si="92"/>
        <v>197554.43963960002</v>
      </c>
      <c r="O106" s="614"/>
      <c r="P106" s="325" t="s">
        <v>98</v>
      </c>
      <c r="Q106" s="327">
        <v>0</v>
      </c>
      <c r="R106" s="222"/>
      <c r="S106" s="308"/>
      <c r="T106" s="169"/>
      <c r="U106" s="169"/>
      <c r="V106" s="327"/>
      <c r="W106" s="326">
        <f t="shared" si="93"/>
        <v>0</v>
      </c>
      <c r="X106" s="226">
        <f t="shared" si="94"/>
        <v>0</v>
      </c>
      <c r="Y106" s="172">
        <v>0</v>
      </c>
      <c r="Z106" s="192">
        <f t="shared" si="96"/>
        <v>0</v>
      </c>
    </row>
    <row r="107" spans="1:27" ht="14.5" customHeight="1" x14ac:dyDescent="0.35">
      <c r="A107" s="623"/>
      <c r="B107" s="325" t="s">
        <v>99</v>
      </c>
      <c r="C107" s="327">
        <v>156054600</v>
      </c>
      <c r="D107" s="222">
        <v>11</v>
      </c>
      <c r="E107" s="308">
        <v>7</v>
      </c>
      <c r="F107" s="169">
        <v>82243485.585199907</v>
      </c>
      <c r="G107" s="169">
        <v>133333.3333</v>
      </c>
      <c r="H107" s="327"/>
      <c r="I107" s="326">
        <f t="shared" si="90"/>
        <v>82110152.251899913</v>
      </c>
      <c r="J107" s="226">
        <f t="shared" si="91"/>
        <v>-73944447.748100087</v>
      </c>
      <c r="K107" s="172">
        <f t="shared" si="97"/>
        <v>0.5261629727793985</v>
      </c>
      <c r="L107" s="192">
        <f t="shared" si="92"/>
        <v>0</v>
      </c>
      <c r="O107" s="614"/>
      <c r="P107" s="325" t="s">
        <v>99</v>
      </c>
      <c r="Q107" s="327">
        <v>170726400</v>
      </c>
      <c r="R107" s="222">
        <v>17</v>
      </c>
      <c r="S107" s="308">
        <v>20</v>
      </c>
      <c r="T107" s="169">
        <v>92732342.342200026</v>
      </c>
      <c r="U107" s="169">
        <v>152000</v>
      </c>
      <c r="V107" s="327"/>
      <c r="W107" s="326">
        <f t="shared" si="93"/>
        <v>92580342.342200026</v>
      </c>
      <c r="X107" s="226">
        <f t="shared" si="94"/>
        <v>-77994057.657799974</v>
      </c>
      <c r="Y107" s="172">
        <f t="shared" si="95"/>
        <v>0.5422731478095949</v>
      </c>
      <c r="Z107" s="192">
        <f t="shared" si="96"/>
        <v>0</v>
      </c>
    </row>
    <row r="108" spans="1:27" ht="14.5" customHeight="1" x14ac:dyDescent="0.35">
      <c r="A108" s="623"/>
      <c r="B108" s="325" t="s">
        <v>100</v>
      </c>
      <c r="C108" s="327">
        <v>145650960</v>
      </c>
      <c r="D108" s="222">
        <v>7</v>
      </c>
      <c r="E108" s="308">
        <v>6</v>
      </c>
      <c r="F108" s="169">
        <v>13929842.342199998</v>
      </c>
      <c r="G108" s="169">
        <v>400000</v>
      </c>
      <c r="H108" s="327"/>
      <c r="I108" s="326">
        <f t="shared" si="90"/>
        <v>13529842.342199998</v>
      </c>
      <c r="J108" s="226">
        <f t="shared" si="91"/>
        <v>-132121117.6578</v>
      </c>
      <c r="K108" s="172">
        <f t="shared" si="97"/>
        <v>9.289222908108534E-2</v>
      </c>
      <c r="L108" s="192">
        <f t="shared" si="92"/>
        <v>0</v>
      </c>
      <c r="O108" s="614"/>
      <c r="P108" s="325" t="s">
        <v>100</v>
      </c>
      <c r="Q108" s="327">
        <v>149385600</v>
      </c>
      <c r="R108" s="222">
        <v>7</v>
      </c>
      <c r="S108" s="308">
        <v>6</v>
      </c>
      <c r="T108" s="169">
        <v>51708585.585900001</v>
      </c>
      <c r="U108" s="169">
        <v>152000</v>
      </c>
      <c r="V108" s="327"/>
      <c r="W108" s="326">
        <f t="shared" si="93"/>
        <v>51556585.585900001</v>
      </c>
      <c r="X108" s="226">
        <f t="shared" si="94"/>
        <v>-97677014.414099991</v>
      </c>
      <c r="Y108" s="172">
        <f t="shared" si="95"/>
        <v>0.34512419929297067</v>
      </c>
      <c r="Z108" s="192">
        <f t="shared" si="96"/>
        <v>0</v>
      </c>
    </row>
    <row r="109" spans="1:27" ht="14.5" customHeight="1" x14ac:dyDescent="0.35">
      <c r="A109" s="623"/>
      <c r="B109" s="325" t="s">
        <v>101</v>
      </c>
      <c r="C109" s="327">
        <v>166458240</v>
      </c>
      <c r="D109" s="222">
        <v>20</v>
      </c>
      <c r="E109" s="308">
        <v>16</v>
      </c>
      <c r="F109" s="169">
        <v>59226394.982400008</v>
      </c>
      <c r="G109" s="169">
        <v>1066666.6666999999</v>
      </c>
      <c r="H109" s="327"/>
      <c r="I109" s="326">
        <f t="shared" si="90"/>
        <v>58159728.315700009</v>
      </c>
      <c r="J109" s="226">
        <f t="shared" si="91"/>
        <v>-108298511.68429999</v>
      </c>
      <c r="K109" s="172">
        <f t="shared" si="97"/>
        <v>0.34939530969268934</v>
      </c>
      <c r="L109" s="192">
        <f t="shared" si="92"/>
        <v>0</v>
      </c>
      <c r="O109" s="614"/>
      <c r="P109" s="325" t="s">
        <v>101</v>
      </c>
      <c r="Q109" s="327">
        <v>128044800</v>
      </c>
      <c r="R109" s="222">
        <v>10</v>
      </c>
      <c r="S109" s="308">
        <v>10</v>
      </c>
      <c r="T109" s="169">
        <v>37686126.125999987</v>
      </c>
      <c r="U109" s="169">
        <v>1061405.4054</v>
      </c>
      <c r="V109" s="327"/>
      <c r="W109" s="326">
        <f t="shared" si="93"/>
        <v>36624720.720599987</v>
      </c>
      <c r="X109" s="226">
        <f t="shared" si="94"/>
        <v>-90358673.874000013</v>
      </c>
      <c r="Y109" s="172">
        <f t="shared" si="95"/>
        <v>0.28603051994770567</v>
      </c>
      <c r="Z109" s="192">
        <f t="shared" si="96"/>
        <v>0</v>
      </c>
    </row>
    <row r="110" spans="1:27" ht="14.5" customHeight="1" thickBot="1" x14ac:dyDescent="0.4">
      <c r="A110" s="623"/>
      <c r="B110" s="352" t="s">
        <v>77</v>
      </c>
      <c r="C110" s="329">
        <f t="shared" ref="C110:H110" si="98">SUM(C104:C109)</f>
        <v>1040364000</v>
      </c>
      <c r="D110" s="178">
        <f t="shared" si="98"/>
        <v>78</v>
      </c>
      <c r="E110" s="178">
        <f t="shared" si="98"/>
        <v>71</v>
      </c>
      <c r="F110" s="329">
        <f t="shared" si="98"/>
        <v>564182181.6839</v>
      </c>
      <c r="G110" s="330">
        <f t="shared" si="98"/>
        <v>3654099.0989999999</v>
      </c>
      <c r="H110" s="329">
        <f t="shared" si="98"/>
        <v>0</v>
      </c>
      <c r="I110" s="329">
        <f t="shared" si="90"/>
        <v>560528082.58490002</v>
      </c>
      <c r="J110" s="329">
        <f t="shared" si="91"/>
        <v>-479835917.41509998</v>
      </c>
      <c r="K110" s="305">
        <f>I110/C110</f>
        <v>0.5387807369198665</v>
      </c>
      <c r="L110" s="197">
        <f>SUM(L104:L109)</f>
        <v>813456.71935020026</v>
      </c>
      <c r="O110" s="615"/>
      <c r="P110" s="354" t="s">
        <v>77</v>
      </c>
      <c r="Q110" s="336">
        <f t="shared" ref="Q110:V110" si="99">SUM(Q104:Q109)</f>
        <v>1067040000</v>
      </c>
      <c r="R110" s="207">
        <f t="shared" si="99"/>
        <v>72</v>
      </c>
      <c r="S110" s="207">
        <f t="shared" si="99"/>
        <v>74</v>
      </c>
      <c r="T110" s="336">
        <f t="shared" si="99"/>
        <v>553907416.21379995</v>
      </c>
      <c r="U110" s="337">
        <f t="shared" si="99"/>
        <v>1365405.4054</v>
      </c>
      <c r="V110" s="336">
        <f t="shared" si="99"/>
        <v>0</v>
      </c>
      <c r="W110" s="336">
        <f t="shared" si="93"/>
        <v>552542010.80839992</v>
      </c>
      <c r="X110" s="336">
        <f>W110-Q110</f>
        <v>-514497989.19160008</v>
      </c>
      <c r="Y110" s="313">
        <f t="shared" si="95"/>
        <v>0.51782689571937313</v>
      </c>
      <c r="Z110" s="197">
        <f>SUM(Z104:Z109)</f>
        <v>588533.23783439992</v>
      </c>
    </row>
    <row r="111" spans="1:27" ht="14.5" customHeight="1" x14ac:dyDescent="0.35">
      <c r="B111" s="324" t="str">
        <f>$B$12</f>
        <v>TARGET Q1</v>
      </c>
      <c r="C111" s="243">
        <v>936327600</v>
      </c>
      <c r="D111" s="597"/>
      <c r="E111" s="598"/>
      <c r="F111" s="598"/>
      <c r="G111" s="598"/>
      <c r="H111" s="599"/>
      <c r="I111" s="243">
        <f>I110</f>
        <v>560528082.58490002</v>
      </c>
      <c r="J111" s="243">
        <f>I111-C111</f>
        <v>-375799517.41509998</v>
      </c>
      <c r="K111" s="183">
        <f>I111/C111</f>
        <v>0.59864526324429612</v>
      </c>
      <c r="L111" s="192">
        <f>IF(K111&gt;=1,2500000,IF(K110&gt;=1,3500000,0))</f>
        <v>0</v>
      </c>
      <c r="P111" s="324" t="str">
        <f>$B$12</f>
        <v>TARGET Q1</v>
      </c>
      <c r="Q111" s="243">
        <v>960336000</v>
      </c>
      <c r="R111" s="597"/>
      <c r="S111" s="598"/>
      <c r="T111" s="598"/>
      <c r="U111" s="598"/>
      <c r="V111" s="599"/>
      <c r="W111" s="243">
        <f>W110</f>
        <v>552542010.80839992</v>
      </c>
      <c r="X111" s="243">
        <f>W111-Q111</f>
        <v>-407793989.19160008</v>
      </c>
      <c r="Y111" s="183">
        <f t="shared" si="95"/>
        <v>0.57536321746597019</v>
      </c>
      <c r="Z111" s="192">
        <f>IF(Y111&gt;=1,2500000,IF(Y110&gt;=1,3500000,0))</f>
        <v>0</v>
      </c>
    </row>
    <row r="112" spans="1:27" ht="14.5" customHeight="1" x14ac:dyDescent="0.35">
      <c r="C112" s="210">
        <f>C111/C110</f>
        <v>0.9</v>
      </c>
      <c r="Q112" s="210">
        <f>Q111/Q110</f>
        <v>0.9</v>
      </c>
    </row>
    <row r="113" spans="2:28" x14ac:dyDescent="0.35">
      <c r="C113" s="210"/>
    </row>
    <row r="114" spans="2:28" s="290" customFormat="1" ht="14.5" customHeight="1" x14ac:dyDescent="0.35">
      <c r="C114" s="291"/>
      <c r="D114" s="292"/>
      <c r="E114" s="293"/>
      <c r="F114" s="294"/>
      <c r="G114" s="295"/>
      <c r="H114" s="291"/>
      <c r="I114" s="291"/>
      <c r="J114" s="296"/>
      <c r="K114" s="292"/>
      <c r="L114" s="297"/>
      <c r="M114" s="298"/>
      <c r="Q114" s="292"/>
      <c r="R114" s="299"/>
      <c r="S114" s="292"/>
      <c r="T114" s="294"/>
      <c r="U114" s="295"/>
      <c r="V114" s="291"/>
      <c r="W114" s="291"/>
      <c r="X114" s="291"/>
      <c r="Y114" s="292"/>
      <c r="Z114" s="291"/>
      <c r="AA114" s="300"/>
    </row>
    <row r="115" spans="2:28" ht="14.5" customHeight="1" x14ac:dyDescent="0.35"/>
    <row r="116" spans="2:28" ht="15" customHeight="1" x14ac:dyDescent="0.35">
      <c r="B116" s="580" t="s">
        <v>123</v>
      </c>
      <c r="C116" s="581"/>
      <c r="D116" s="581"/>
      <c r="E116" s="581"/>
      <c r="F116" s="581"/>
      <c r="G116" s="581"/>
      <c r="H116" s="581"/>
      <c r="I116" s="581"/>
      <c r="J116" s="581"/>
      <c r="K116" s="581"/>
      <c r="L116" s="581"/>
      <c r="M116" s="582"/>
      <c r="P116" s="600" t="s">
        <v>124</v>
      </c>
      <c r="Q116" s="600"/>
      <c r="R116" s="600"/>
      <c r="S116" s="600"/>
      <c r="T116" s="600"/>
      <c r="U116" s="600"/>
      <c r="V116" s="600"/>
      <c r="W116" s="600"/>
      <c r="X116" s="600"/>
      <c r="Y116" s="600"/>
      <c r="Z116" s="600"/>
      <c r="AA116" s="600"/>
    </row>
    <row r="117" spans="2:28" ht="15" customHeight="1" x14ac:dyDescent="0.35">
      <c r="B117" s="583"/>
      <c r="C117" s="584"/>
      <c r="D117" s="584"/>
      <c r="E117" s="584"/>
      <c r="F117" s="584"/>
      <c r="G117" s="584"/>
      <c r="H117" s="584"/>
      <c r="I117" s="584"/>
      <c r="J117" s="584"/>
      <c r="K117" s="584"/>
      <c r="L117" s="584"/>
      <c r="M117" s="585"/>
      <c r="P117" s="600"/>
      <c r="Q117" s="600"/>
      <c r="R117" s="600"/>
      <c r="S117" s="600"/>
      <c r="T117" s="600"/>
      <c r="U117" s="600"/>
      <c r="V117" s="600"/>
      <c r="W117" s="600"/>
      <c r="X117" s="600"/>
      <c r="Y117" s="600"/>
      <c r="Z117" s="600"/>
      <c r="AA117" s="600"/>
    </row>
    <row r="118" spans="2:28" ht="15" customHeight="1" x14ac:dyDescent="0.35">
      <c r="B118" s="586" t="s">
        <v>125</v>
      </c>
      <c r="C118" s="587" t="s">
        <v>94</v>
      </c>
      <c r="D118" s="586" t="s">
        <v>91</v>
      </c>
      <c r="E118" s="586" t="s">
        <v>62</v>
      </c>
      <c r="F118" s="588" t="str">
        <f>F48</f>
        <v>OMSET JAN
 (1-31)</v>
      </c>
      <c r="G118" s="588" t="s">
        <v>95</v>
      </c>
      <c r="H118" s="587" t="s">
        <v>63</v>
      </c>
      <c r="I118" s="587" t="s">
        <v>64</v>
      </c>
      <c r="J118" s="587" t="s">
        <v>126</v>
      </c>
      <c r="K118" s="589" t="s">
        <v>66</v>
      </c>
      <c r="L118" s="590" t="s">
        <v>127</v>
      </c>
      <c r="M118" s="301" t="s">
        <v>128</v>
      </c>
      <c r="P118" s="601" t="s">
        <v>125</v>
      </c>
      <c r="Q118" s="601" t="s">
        <v>94</v>
      </c>
      <c r="R118" s="602" t="s">
        <v>91</v>
      </c>
      <c r="S118" s="601" t="s">
        <v>62</v>
      </c>
      <c r="T118" s="579" t="str">
        <f>T26</f>
        <v>OMSET JAN
 (1-31)</v>
      </c>
      <c r="U118" s="579" t="str">
        <f>G4</f>
        <v>OMSET PRODUK</v>
      </c>
      <c r="V118" s="603" t="s">
        <v>63</v>
      </c>
      <c r="W118" s="603" t="s">
        <v>64</v>
      </c>
      <c r="X118" s="603" t="s">
        <v>126</v>
      </c>
      <c r="Y118" s="578" t="s">
        <v>66</v>
      </c>
      <c r="Z118" s="579" t="s">
        <v>127</v>
      </c>
      <c r="AA118" s="310" t="s">
        <v>128</v>
      </c>
    </row>
    <row r="119" spans="2:28" ht="30" customHeight="1" x14ac:dyDescent="0.35">
      <c r="B119" s="586"/>
      <c r="C119" s="587"/>
      <c r="D119" s="586"/>
      <c r="E119" s="586"/>
      <c r="F119" s="588"/>
      <c r="G119" s="588"/>
      <c r="H119" s="587"/>
      <c r="I119" s="587"/>
      <c r="J119" s="587"/>
      <c r="K119" s="589"/>
      <c r="L119" s="590"/>
      <c r="M119" s="302">
        <f>100/DAY(EOMONTH($B$1,0))*DAY($B$1)/100</f>
        <v>1</v>
      </c>
      <c r="P119" s="601"/>
      <c r="Q119" s="601"/>
      <c r="R119" s="602"/>
      <c r="S119" s="601"/>
      <c r="T119" s="579"/>
      <c r="U119" s="579"/>
      <c r="V119" s="603"/>
      <c r="W119" s="603"/>
      <c r="X119" s="603"/>
      <c r="Y119" s="578"/>
      <c r="Z119" s="579"/>
      <c r="AA119" s="311">
        <f>K4</f>
        <v>1</v>
      </c>
    </row>
    <row r="120" spans="2:28" x14ac:dyDescent="0.35">
      <c r="B120" s="226" t="str">
        <f>C3</f>
        <v>CHRISTOPER</v>
      </c>
      <c r="C120" s="326">
        <f t="shared" ref="C120:H120" si="100">C11</f>
        <v>1541592000</v>
      </c>
      <c r="D120" s="222">
        <f t="shared" si="100"/>
        <v>111</v>
      </c>
      <c r="E120" s="222">
        <f t="shared" si="100"/>
        <v>91</v>
      </c>
      <c r="F120" s="331">
        <f t="shared" si="100"/>
        <v>1086182265.9087</v>
      </c>
      <c r="G120" s="332">
        <f t="shared" si="100"/>
        <v>14025310.811099999</v>
      </c>
      <c r="H120" s="326">
        <f t="shared" si="100"/>
        <v>0</v>
      </c>
      <c r="I120" s="326">
        <f>F120-G120</f>
        <v>1072156955.0976</v>
      </c>
      <c r="J120" s="326">
        <f t="shared" ref="J120:J125" si="101">I120-C120</f>
        <v>-469435044.90240002</v>
      </c>
      <c r="K120" s="172">
        <f t="shared" ref="K120:K125" si="102">I120/C120</f>
        <v>0.69548684418289664</v>
      </c>
      <c r="L120" s="226">
        <f t="shared" ref="L120:L125" si="103">H120+I120</f>
        <v>1072156955.0976</v>
      </c>
      <c r="M120" s="333">
        <f t="shared" ref="M120:M125" si="104">L120/C120</f>
        <v>0.69548684418289664</v>
      </c>
      <c r="N120" s="228">
        <f>F120+H120</f>
        <v>1086182265.9087</v>
      </c>
      <c r="P120" s="250" t="str">
        <f>Q3</f>
        <v>RIFKY</v>
      </c>
      <c r="Q120" s="326">
        <f t="shared" ref="Q120:V120" si="105">Q11</f>
        <v>1263600000</v>
      </c>
      <c r="R120" s="338">
        <f t="shared" si="105"/>
        <v>93</v>
      </c>
      <c r="S120" s="222">
        <f t="shared" si="105"/>
        <v>72</v>
      </c>
      <c r="T120" s="326">
        <f t="shared" si="105"/>
        <v>733282707.20420003</v>
      </c>
      <c r="U120" s="339">
        <f t="shared" si="105"/>
        <v>0</v>
      </c>
      <c r="V120" s="326">
        <f t="shared" si="105"/>
        <v>0</v>
      </c>
      <c r="W120" s="326">
        <f>T120-U120</f>
        <v>733282707.20420003</v>
      </c>
      <c r="X120" s="326">
        <f t="shared" ref="X120:X125" si="106">W120-Q120</f>
        <v>-530317292.79579997</v>
      </c>
      <c r="Y120" s="172">
        <f t="shared" ref="Y120:Y125" si="107">W120/Q120</f>
        <v>0.5803123672081355</v>
      </c>
      <c r="Z120" s="226">
        <f t="shared" ref="Z120:Z125" si="108">V120+W120</f>
        <v>733282707.20420003</v>
      </c>
      <c r="AA120" s="333">
        <f t="shared" ref="AA120:AA125" si="109">Z120/Q120</f>
        <v>0.5803123672081355</v>
      </c>
      <c r="AB120" s="228">
        <f>T120+V120</f>
        <v>733282707.20420003</v>
      </c>
    </row>
    <row r="121" spans="2:28" x14ac:dyDescent="0.35">
      <c r="B121" s="226" t="str">
        <f>C14</f>
        <v>ANNAUFAL</v>
      </c>
      <c r="C121" s="326">
        <f t="shared" ref="C121:H121" si="110">C22</f>
        <v>1712880000</v>
      </c>
      <c r="D121" s="222">
        <f t="shared" si="110"/>
        <v>100</v>
      </c>
      <c r="E121" s="222">
        <f t="shared" si="110"/>
        <v>80</v>
      </c>
      <c r="F121" s="331">
        <f t="shared" si="110"/>
        <v>1003939804.4061002</v>
      </c>
      <c r="G121" s="332">
        <f t="shared" si="110"/>
        <v>16491576.576400001</v>
      </c>
      <c r="H121" s="326">
        <f t="shared" si="110"/>
        <v>0</v>
      </c>
      <c r="I121" s="326">
        <f>F121-G121</f>
        <v>987448227.82970011</v>
      </c>
      <c r="J121" s="326">
        <f t="shared" si="101"/>
        <v>-725431772.17029989</v>
      </c>
      <c r="K121" s="172">
        <f t="shared" si="102"/>
        <v>0.57648418326426842</v>
      </c>
      <c r="L121" s="226">
        <f t="shared" si="103"/>
        <v>987448227.82970011</v>
      </c>
      <c r="M121" s="333">
        <f t="shared" si="104"/>
        <v>0.57648418326426842</v>
      </c>
      <c r="N121" s="228">
        <f>F121+H121</f>
        <v>1003939804.4061002</v>
      </c>
      <c r="P121" s="250" t="str">
        <f>Q14</f>
        <v>AGPS:BOGOR</v>
      </c>
      <c r="Q121" s="326">
        <f t="shared" ref="Q121:V121" si="111">Q22</f>
        <v>1600560000</v>
      </c>
      <c r="R121" s="338">
        <f t="shared" si="111"/>
        <v>84</v>
      </c>
      <c r="S121" s="222">
        <f t="shared" si="111"/>
        <v>73</v>
      </c>
      <c r="T121" s="326">
        <f t="shared" si="111"/>
        <v>687140806.30629992</v>
      </c>
      <c r="U121" s="339">
        <f t="shared" si="111"/>
        <v>608000</v>
      </c>
      <c r="V121" s="326">
        <f t="shared" si="111"/>
        <v>0</v>
      </c>
      <c r="W121" s="326">
        <f>T121-U121</f>
        <v>686532806.30629992</v>
      </c>
      <c r="X121" s="326">
        <f t="shared" si="106"/>
        <v>-914027193.69370008</v>
      </c>
      <c r="Y121" s="172">
        <f t="shared" si="107"/>
        <v>0.42893287743433545</v>
      </c>
      <c r="Z121" s="226">
        <f>V121+W121</f>
        <v>686532806.30629992</v>
      </c>
      <c r="AA121" s="333">
        <f t="shared" si="109"/>
        <v>0.42893287743433545</v>
      </c>
      <c r="AB121" s="228">
        <f>T121+V121</f>
        <v>687140806.30629992</v>
      </c>
    </row>
    <row r="122" spans="2:28" x14ac:dyDescent="0.35">
      <c r="B122" s="226" t="str">
        <f>C25</f>
        <v>DIKI HERMAWAN</v>
      </c>
      <c r="C122" s="326">
        <f t="shared" ref="C122:H122" si="112">C33</f>
        <v>1627236000</v>
      </c>
      <c r="D122" s="222">
        <f t="shared" si="112"/>
        <v>104</v>
      </c>
      <c r="E122" s="222">
        <f t="shared" si="112"/>
        <v>95</v>
      </c>
      <c r="F122" s="331">
        <f t="shared" si="112"/>
        <v>1686817543.2429001</v>
      </c>
      <c r="G122" s="332">
        <f t="shared" si="112"/>
        <v>43284234.234200001</v>
      </c>
      <c r="H122" s="326">
        <f t="shared" si="112"/>
        <v>0</v>
      </c>
      <c r="I122" s="326">
        <f>F122-G122</f>
        <v>1643533309.0087001</v>
      </c>
      <c r="J122" s="326">
        <f t="shared" si="101"/>
        <v>16297309.008700132</v>
      </c>
      <c r="K122" s="172">
        <f t="shared" si="102"/>
        <v>1.0100153321390997</v>
      </c>
      <c r="L122" s="226">
        <f t="shared" si="103"/>
        <v>1643533309.0087001</v>
      </c>
      <c r="M122" s="333">
        <f t="shared" si="104"/>
        <v>1.0100153321390997</v>
      </c>
      <c r="N122" s="228">
        <f>F122+H122</f>
        <v>1686817543.2429001</v>
      </c>
      <c r="P122" s="250" t="str">
        <f>Q25</f>
        <v>FAUZI</v>
      </c>
      <c r="Q122" s="326">
        <f t="shared" ref="Q122:V122" si="113">Q33</f>
        <v>1516320000</v>
      </c>
      <c r="R122" s="338">
        <f t="shared" si="113"/>
        <v>85</v>
      </c>
      <c r="S122" s="222">
        <f t="shared" si="113"/>
        <v>74</v>
      </c>
      <c r="T122" s="326">
        <f t="shared" si="113"/>
        <v>920262195.94329953</v>
      </c>
      <c r="U122" s="339">
        <f t="shared" si="113"/>
        <v>2924800</v>
      </c>
      <c r="V122" s="326">
        <f t="shared" si="113"/>
        <v>0</v>
      </c>
      <c r="W122" s="326">
        <f>T122-U122</f>
        <v>917337395.94329953</v>
      </c>
      <c r="X122" s="326">
        <f t="shared" si="106"/>
        <v>-598982604.05670047</v>
      </c>
      <c r="Y122" s="172">
        <f t="shared" si="107"/>
        <v>0.60497612373595255</v>
      </c>
      <c r="Z122" s="226">
        <f t="shared" si="108"/>
        <v>917337395.94329953</v>
      </c>
      <c r="AA122" s="333">
        <f t="shared" si="109"/>
        <v>0.60497612373595255</v>
      </c>
      <c r="AB122" s="228">
        <f>T122+V122</f>
        <v>920262195.94329953</v>
      </c>
    </row>
    <row r="123" spans="2:28" ht="14.5" customHeight="1" x14ac:dyDescent="0.35">
      <c r="B123" s="226" t="str">
        <f>C36</f>
        <v>AGPC:TKAB-KRW</v>
      </c>
      <c r="C123" s="326">
        <f t="shared" ref="C123:H123" si="114">C44</f>
        <v>1884168000</v>
      </c>
      <c r="D123" s="222">
        <f t="shared" si="114"/>
        <v>91</v>
      </c>
      <c r="E123" s="222">
        <f t="shared" si="114"/>
        <v>81</v>
      </c>
      <c r="F123" s="331">
        <f t="shared" si="114"/>
        <v>1309692668.0379999</v>
      </c>
      <c r="G123" s="332">
        <f t="shared" si="114"/>
        <v>10570270.269900002</v>
      </c>
      <c r="H123" s="326">
        <f t="shared" si="114"/>
        <v>0</v>
      </c>
      <c r="I123" s="326">
        <f>F123-G123</f>
        <v>1299122397.7680998</v>
      </c>
      <c r="J123" s="326">
        <f t="shared" si="101"/>
        <v>-585045602.23190022</v>
      </c>
      <c r="K123" s="172">
        <f t="shared" si="102"/>
        <v>0.68949392929298225</v>
      </c>
      <c r="L123" s="226">
        <f t="shared" si="103"/>
        <v>1299122397.7680998</v>
      </c>
      <c r="M123" s="333">
        <f t="shared" si="104"/>
        <v>0.68949392929298225</v>
      </c>
      <c r="N123" s="228">
        <f>F123+H123</f>
        <v>1309692668.0379999</v>
      </c>
      <c r="P123" s="250" t="str">
        <f>Q36</f>
        <v>GILBERT</v>
      </c>
      <c r="Q123" s="326">
        <f t="shared" ref="Q123:V123" si="115">Q44</f>
        <v>2106000000</v>
      </c>
      <c r="R123" s="338">
        <f t="shared" si="115"/>
        <v>71</v>
      </c>
      <c r="S123" s="222">
        <f t="shared" si="115"/>
        <v>61</v>
      </c>
      <c r="T123" s="326">
        <f t="shared" si="115"/>
        <v>1591679460.3606002</v>
      </c>
      <c r="U123" s="339">
        <f t="shared" si="115"/>
        <v>0</v>
      </c>
      <c r="V123" s="326">
        <f t="shared" si="115"/>
        <v>0</v>
      </c>
      <c r="W123" s="326">
        <f>T123-U123</f>
        <v>1591679460.3606002</v>
      </c>
      <c r="X123" s="326">
        <f t="shared" si="106"/>
        <v>-514320539.63939977</v>
      </c>
      <c r="Y123" s="172">
        <f t="shared" si="107"/>
        <v>0.75578321954444461</v>
      </c>
      <c r="Z123" s="226">
        <f t="shared" si="108"/>
        <v>1591679460.3606002</v>
      </c>
      <c r="AA123" s="333">
        <f t="shared" si="109"/>
        <v>0.75578321954444461</v>
      </c>
      <c r="AB123" s="228">
        <f>T123+V123</f>
        <v>1591679460.3606002</v>
      </c>
    </row>
    <row r="124" spans="2:28" ht="14.5" customHeight="1" x14ac:dyDescent="0.35">
      <c r="B124" s="226" t="str">
        <f>C47</f>
        <v>RIDWAN</v>
      </c>
      <c r="C124" s="326">
        <f t="shared" ref="C124:H124" si="116">C55</f>
        <v>1798524000</v>
      </c>
      <c r="D124" s="222">
        <f t="shared" si="116"/>
        <v>126</v>
      </c>
      <c r="E124" s="222">
        <f t="shared" si="116"/>
        <v>110</v>
      </c>
      <c r="F124" s="331">
        <f t="shared" si="116"/>
        <v>1756456249.6178005</v>
      </c>
      <c r="G124" s="332">
        <f t="shared" si="116"/>
        <v>17496486.4866</v>
      </c>
      <c r="H124" s="326">
        <f t="shared" si="116"/>
        <v>0</v>
      </c>
      <c r="I124" s="326">
        <f>F124-G124</f>
        <v>1738959763.1312006</v>
      </c>
      <c r="J124" s="326">
        <f t="shared" si="101"/>
        <v>-59564236.868799448</v>
      </c>
      <c r="K124" s="172">
        <f t="shared" si="102"/>
        <v>0.96688160020728142</v>
      </c>
      <c r="L124" s="226">
        <f t="shared" si="103"/>
        <v>1738959763.1312006</v>
      </c>
      <c r="M124" s="333">
        <f t="shared" si="104"/>
        <v>0.96688160020728142</v>
      </c>
      <c r="N124" s="228">
        <f>F124+H124</f>
        <v>1756456249.6178005</v>
      </c>
      <c r="P124" s="250" t="str">
        <f>Q47</f>
        <v>AGPS:TSEL-SUB</v>
      </c>
      <c r="Q124" s="326">
        <f t="shared" ref="Q124:V124" si="117">Q55</f>
        <v>1937520000</v>
      </c>
      <c r="R124" s="338">
        <f t="shared" si="117"/>
        <v>92</v>
      </c>
      <c r="S124" s="222">
        <f t="shared" si="117"/>
        <v>85</v>
      </c>
      <c r="T124" s="326">
        <f t="shared" si="117"/>
        <v>1338600632.5669003</v>
      </c>
      <c r="U124" s="339">
        <f t="shared" si="117"/>
        <v>6520965.7660999997</v>
      </c>
      <c r="V124" s="326">
        <f t="shared" si="117"/>
        <v>0</v>
      </c>
      <c r="W124" s="326">
        <f>T124-U124</f>
        <v>1332079666.8008003</v>
      </c>
      <c r="X124" s="326">
        <f t="shared" si="106"/>
        <v>-605440333.19919968</v>
      </c>
      <c r="Y124" s="172">
        <f t="shared" si="107"/>
        <v>0.68751789235765326</v>
      </c>
      <c r="Z124" s="226">
        <f t="shared" si="108"/>
        <v>1332079666.8008003</v>
      </c>
      <c r="AA124" s="333">
        <f t="shared" si="109"/>
        <v>0.68751789235765326</v>
      </c>
      <c r="AB124" s="228">
        <f>T124+V124</f>
        <v>1338600632.5669003</v>
      </c>
    </row>
    <row r="125" spans="2:28" x14ac:dyDescent="0.35">
      <c r="B125" s="352" t="s">
        <v>77</v>
      </c>
      <c r="C125" s="329">
        <f t="shared" ref="C125:H125" si="118">SUM(C120:C124)</f>
        <v>8564400000</v>
      </c>
      <c r="D125" s="178">
        <f t="shared" si="118"/>
        <v>532</v>
      </c>
      <c r="E125" s="178">
        <f t="shared" si="118"/>
        <v>457</v>
      </c>
      <c r="F125" s="334">
        <f t="shared" si="118"/>
        <v>6843088531.213501</v>
      </c>
      <c r="G125" s="335">
        <f t="shared" si="118"/>
        <v>101867878.37820001</v>
      </c>
      <c r="H125" s="329">
        <f t="shared" si="118"/>
        <v>0</v>
      </c>
      <c r="I125" s="329">
        <f>SUM(I120:I124)</f>
        <v>6741220652.8353004</v>
      </c>
      <c r="J125" s="329">
        <f t="shared" si="101"/>
        <v>-1823179347.1646996</v>
      </c>
      <c r="K125" s="305">
        <f t="shared" si="102"/>
        <v>0.78712118220018923</v>
      </c>
      <c r="L125" s="353">
        <f t="shared" si="103"/>
        <v>6741220652.8353004</v>
      </c>
      <c r="M125" s="305">
        <f t="shared" si="104"/>
        <v>0.78712118220018923</v>
      </c>
      <c r="P125" s="354" t="s">
        <v>77</v>
      </c>
      <c r="Q125" s="336">
        <f>SUM(Q120:Q124)</f>
        <v>8424000000</v>
      </c>
      <c r="R125" s="340">
        <f>SUM(R120:R124)</f>
        <v>425</v>
      </c>
      <c r="S125" s="207">
        <f t="shared" ref="S125:W125" si="119">SUM(S120:S124)</f>
        <v>365</v>
      </c>
      <c r="T125" s="336">
        <f>SUM(T120:T124)</f>
        <v>5270965802.3813</v>
      </c>
      <c r="U125" s="337">
        <f t="shared" si="119"/>
        <v>10053765.766100001</v>
      </c>
      <c r="V125" s="336">
        <f t="shared" si="119"/>
        <v>0</v>
      </c>
      <c r="W125" s="336">
        <f t="shared" si="119"/>
        <v>5260912036.6152</v>
      </c>
      <c r="X125" s="336">
        <f t="shared" si="106"/>
        <v>-3163087963.3848</v>
      </c>
      <c r="Y125" s="313">
        <f t="shared" si="107"/>
        <v>0.62451472419458687</v>
      </c>
      <c r="Z125" s="355">
        <f t="shared" si="108"/>
        <v>5260912036.6152</v>
      </c>
      <c r="AA125" s="313">
        <f t="shared" si="109"/>
        <v>0.62451472419458687</v>
      </c>
    </row>
    <row r="126" spans="2:28" x14ac:dyDescent="0.35">
      <c r="C126" s="202"/>
      <c r="D126" s="245"/>
      <c r="E126" s="245"/>
      <c r="F126" s="245"/>
      <c r="G126" s="245"/>
      <c r="H126" s="245"/>
      <c r="I126" s="245"/>
      <c r="J126" s="245"/>
      <c r="K126" s="245"/>
      <c r="L126" s="197"/>
      <c r="M126" s="246"/>
      <c r="Q126" s="202"/>
      <c r="R126" s="245"/>
      <c r="S126" s="245"/>
      <c r="T126" s="245"/>
      <c r="U126" s="245"/>
      <c r="V126" s="245"/>
      <c r="W126" s="202"/>
      <c r="X126" s="247"/>
      <c r="Y126" s="248"/>
      <c r="Z126" s="197"/>
      <c r="AA126" s="246"/>
    </row>
    <row r="127" spans="2:28" x14ac:dyDescent="0.35">
      <c r="K127" s="249"/>
    </row>
    <row r="128" spans="2:28" ht="15" customHeight="1" x14ac:dyDescent="0.35">
      <c r="B128" s="580" t="s">
        <v>129</v>
      </c>
      <c r="C128" s="581"/>
      <c r="D128" s="581"/>
      <c r="E128" s="581"/>
      <c r="F128" s="581"/>
      <c r="G128" s="581"/>
      <c r="H128" s="581"/>
      <c r="I128" s="581"/>
      <c r="J128" s="581"/>
      <c r="K128" s="581"/>
      <c r="L128" s="581"/>
      <c r="M128" s="582"/>
      <c r="P128" s="580" t="s">
        <v>130</v>
      </c>
      <c r="Q128" s="581"/>
      <c r="R128" s="581"/>
      <c r="S128" s="581"/>
      <c r="T128" s="581"/>
      <c r="U128" s="581"/>
      <c r="V128" s="581"/>
      <c r="W128" s="581"/>
      <c r="X128" s="581"/>
      <c r="Y128" s="581"/>
      <c r="Z128" s="581"/>
      <c r="AA128" s="582"/>
    </row>
    <row r="129" spans="2:28" ht="15" customHeight="1" x14ac:dyDescent="0.35">
      <c r="B129" s="583"/>
      <c r="C129" s="584"/>
      <c r="D129" s="584"/>
      <c r="E129" s="584"/>
      <c r="F129" s="584"/>
      <c r="G129" s="584"/>
      <c r="H129" s="584"/>
      <c r="I129" s="584"/>
      <c r="J129" s="584"/>
      <c r="K129" s="584"/>
      <c r="L129" s="584"/>
      <c r="M129" s="585"/>
      <c r="P129" s="583"/>
      <c r="Q129" s="584"/>
      <c r="R129" s="584"/>
      <c r="S129" s="584"/>
      <c r="T129" s="584"/>
      <c r="U129" s="584"/>
      <c r="V129" s="584"/>
      <c r="W129" s="584"/>
      <c r="X129" s="584"/>
      <c r="Y129" s="584"/>
      <c r="Z129" s="584"/>
      <c r="AA129" s="585"/>
    </row>
    <row r="130" spans="2:28" ht="15" customHeight="1" x14ac:dyDescent="0.35">
      <c r="B130" s="586" t="s">
        <v>125</v>
      </c>
      <c r="C130" s="587" t="s">
        <v>94</v>
      </c>
      <c r="D130" s="586" t="s">
        <v>91</v>
      </c>
      <c r="E130" s="586" t="s">
        <v>62</v>
      </c>
      <c r="F130" s="588" t="str">
        <f>F48</f>
        <v>OMSET JAN
 (1-31)</v>
      </c>
      <c r="G130" s="588" t="str">
        <f>G48</f>
        <v>OMSET PRODUK</v>
      </c>
      <c r="H130" s="587" t="s">
        <v>63</v>
      </c>
      <c r="I130" s="587" t="s">
        <v>64</v>
      </c>
      <c r="J130" s="587" t="s">
        <v>126</v>
      </c>
      <c r="K130" s="589" t="s">
        <v>66</v>
      </c>
      <c r="L130" s="590" t="s">
        <v>127</v>
      </c>
      <c r="M130" s="301" t="s">
        <v>128</v>
      </c>
      <c r="P130" s="591" t="s">
        <v>125</v>
      </c>
      <c r="Q130" s="591" t="s">
        <v>94</v>
      </c>
      <c r="R130" s="593" t="s">
        <v>91</v>
      </c>
      <c r="S130" s="591" t="s">
        <v>62</v>
      </c>
      <c r="T130" s="576" t="str">
        <f>T26</f>
        <v>OMSET JAN
 (1-31)</v>
      </c>
      <c r="U130" s="576" t="str">
        <f>G4</f>
        <v>OMSET PRODUK</v>
      </c>
      <c r="V130" s="595" t="s">
        <v>63</v>
      </c>
      <c r="W130" s="595" t="s">
        <v>64</v>
      </c>
      <c r="X130" s="595" t="s">
        <v>126</v>
      </c>
      <c r="Y130" s="574" t="s">
        <v>66</v>
      </c>
      <c r="Z130" s="576" t="s">
        <v>127</v>
      </c>
      <c r="AA130" s="310" t="s">
        <v>128</v>
      </c>
    </row>
    <row r="131" spans="2:28" ht="27.75" customHeight="1" x14ac:dyDescent="0.35">
      <c r="B131" s="586"/>
      <c r="C131" s="587"/>
      <c r="D131" s="586"/>
      <c r="E131" s="586"/>
      <c r="F131" s="588"/>
      <c r="G131" s="588"/>
      <c r="H131" s="587"/>
      <c r="I131" s="587"/>
      <c r="J131" s="587"/>
      <c r="K131" s="589"/>
      <c r="L131" s="590"/>
      <c r="M131" s="302">
        <f>100/DAY(EOMONTH($B$1,0))*DAY($B$1)/100</f>
        <v>1</v>
      </c>
      <c r="P131" s="592"/>
      <c r="Q131" s="592"/>
      <c r="R131" s="594"/>
      <c r="S131" s="592"/>
      <c r="T131" s="577"/>
      <c r="U131" s="577"/>
      <c r="V131" s="596"/>
      <c r="W131" s="596"/>
      <c r="X131" s="596"/>
      <c r="Y131" s="575"/>
      <c r="Z131" s="577"/>
      <c r="AA131" s="311">
        <f>K4</f>
        <v>1</v>
      </c>
    </row>
    <row r="132" spans="2:28" ht="15" customHeight="1" x14ac:dyDescent="0.35">
      <c r="B132" s="226" t="str">
        <f>C58</f>
        <v>AHMAD</v>
      </c>
      <c r="C132" s="326">
        <f t="shared" ref="C132:H132" si="120">C66</f>
        <v>1040364000</v>
      </c>
      <c r="D132" s="222">
        <f t="shared" si="120"/>
        <v>95</v>
      </c>
      <c r="E132" s="222">
        <f t="shared" si="120"/>
        <v>80</v>
      </c>
      <c r="F132" s="331">
        <f t="shared" si="120"/>
        <v>514655334.81779993</v>
      </c>
      <c r="G132" s="332">
        <f t="shared" si="120"/>
        <v>3888288.2882000003</v>
      </c>
      <c r="H132" s="326">
        <f t="shared" si="120"/>
        <v>0</v>
      </c>
      <c r="I132" s="326">
        <f>F132-G132</f>
        <v>510767046.52959991</v>
      </c>
      <c r="J132" s="326">
        <f t="shared" ref="J132:J137" si="121">I132-C132</f>
        <v>-529596953.47040009</v>
      </c>
      <c r="K132" s="172">
        <f t="shared" ref="K132:K137" si="122">I132/C132</f>
        <v>0.49095032750998679</v>
      </c>
      <c r="L132" s="226">
        <f t="shared" ref="L132:L137" si="123">H132+I132</f>
        <v>510767046.52959991</v>
      </c>
      <c r="M132" s="333">
        <f t="shared" ref="M132:M137" si="124">L132/C132</f>
        <v>0.49095032750998679</v>
      </c>
      <c r="N132" s="228">
        <f>F132+H132</f>
        <v>514655334.81779993</v>
      </c>
      <c r="P132" s="250" t="str">
        <f>Q58</f>
        <v>AGUSTIAN</v>
      </c>
      <c r="Q132" s="226">
        <f t="shared" ref="Q132:V132" si="125">Q66</f>
        <v>1291680000</v>
      </c>
      <c r="R132" s="251">
        <f t="shared" si="125"/>
        <v>93</v>
      </c>
      <c r="S132" s="165">
        <f t="shared" si="125"/>
        <v>80</v>
      </c>
      <c r="T132" s="226">
        <f t="shared" si="125"/>
        <v>1035200972.7918</v>
      </c>
      <c r="U132" s="252">
        <f t="shared" si="125"/>
        <v>152000</v>
      </c>
      <c r="V132" s="226">
        <f t="shared" si="125"/>
        <v>0</v>
      </c>
      <c r="W132" s="226">
        <f>T132-U132</f>
        <v>1035048972.7918</v>
      </c>
      <c r="X132" s="226">
        <f t="shared" ref="X132:X137" si="126">W132-Q132</f>
        <v>-256631027.20819998</v>
      </c>
      <c r="Y132" s="172">
        <f t="shared" ref="Y132:Y137" si="127">W132/Q132</f>
        <v>0.80131996531013872</v>
      </c>
      <c r="Z132" s="171">
        <f t="shared" ref="Z132:Z137" si="128">V132+W132</f>
        <v>1035048972.7918</v>
      </c>
      <c r="AA132" s="227">
        <f t="shared" ref="AA132:AA137" si="129">Z132/Q132</f>
        <v>0.80131996531013872</v>
      </c>
      <c r="AB132" s="228">
        <f>T132+V132</f>
        <v>1035200972.7918</v>
      </c>
    </row>
    <row r="133" spans="2:28" x14ac:dyDescent="0.35">
      <c r="B133" s="226" t="str">
        <f>C69</f>
        <v>AGPC:DPK-SKB</v>
      </c>
      <c r="C133" s="326">
        <f t="shared" ref="C133:H133" si="130">C77</f>
        <v>1368900000</v>
      </c>
      <c r="D133" s="222">
        <f t="shared" si="130"/>
        <v>92</v>
      </c>
      <c r="E133" s="222">
        <f t="shared" si="130"/>
        <v>85</v>
      </c>
      <c r="F133" s="331">
        <f t="shared" si="130"/>
        <v>729266143.77509999</v>
      </c>
      <c r="G133" s="332">
        <f t="shared" si="130"/>
        <v>13308468.4683</v>
      </c>
      <c r="H133" s="326">
        <f t="shared" si="130"/>
        <v>0</v>
      </c>
      <c r="I133" s="326">
        <f>F133-G133</f>
        <v>715957675.30680001</v>
      </c>
      <c r="J133" s="326">
        <f t="shared" si="121"/>
        <v>-652942324.69319999</v>
      </c>
      <c r="K133" s="172">
        <f t="shared" si="122"/>
        <v>0.52301678377295635</v>
      </c>
      <c r="L133" s="226">
        <f t="shared" si="123"/>
        <v>715957675.30680001</v>
      </c>
      <c r="M133" s="333">
        <f t="shared" si="124"/>
        <v>0.52301678377295635</v>
      </c>
      <c r="N133" s="228">
        <f>F133+H133</f>
        <v>729266143.77509999</v>
      </c>
      <c r="P133" s="250" t="str">
        <f>Q69</f>
        <v>RAYFAHMI</v>
      </c>
      <c r="Q133" s="226">
        <f t="shared" ref="Q133:V133" si="131">Q77</f>
        <v>1291680000</v>
      </c>
      <c r="R133" s="251">
        <f t="shared" si="131"/>
        <v>98</v>
      </c>
      <c r="S133" s="165">
        <f t="shared" si="131"/>
        <v>90</v>
      </c>
      <c r="T133" s="226">
        <f t="shared" si="131"/>
        <v>920761115.31270003</v>
      </c>
      <c r="U133" s="252">
        <f t="shared" si="131"/>
        <v>941304.5046000001</v>
      </c>
      <c r="V133" s="226">
        <f t="shared" si="131"/>
        <v>0</v>
      </c>
      <c r="W133" s="226">
        <f>T133-U133</f>
        <v>919819810.80809999</v>
      </c>
      <c r="X133" s="226">
        <f t="shared" si="126"/>
        <v>-371860189.19190001</v>
      </c>
      <c r="Y133" s="172">
        <f t="shared" si="127"/>
        <v>0.71211121238085284</v>
      </c>
      <c r="Z133" s="171">
        <f>V133+W133</f>
        <v>919819810.80809999</v>
      </c>
      <c r="AA133" s="227">
        <f t="shared" si="129"/>
        <v>0.71211121238085284</v>
      </c>
      <c r="AB133" s="228">
        <f>T133+V133</f>
        <v>920761115.31270003</v>
      </c>
    </row>
    <row r="134" spans="2:28" x14ac:dyDescent="0.35">
      <c r="B134" s="226" t="str">
        <f>C80</f>
        <v>NURRAHMAN</v>
      </c>
      <c r="C134" s="326">
        <f t="shared" ref="C134:H134" si="132">C88</f>
        <v>985608000</v>
      </c>
      <c r="D134" s="222">
        <f t="shared" si="132"/>
        <v>77</v>
      </c>
      <c r="E134" s="222">
        <f t="shared" si="132"/>
        <v>61</v>
      </c>
      <c r="F134" s="331">
        <f t="shared" si="132"/>
        <v>393837947.92949998</v>
      </c>
      <c r="G134" s="332">
        <f t="shared" si="132"/>
        <v>2119009.0088999998</v>
      </c>
      <c r="H134" s="326">
        <f t="shared" si="132"/>
        <v>0</v>
      </c>
      <c r="I134" s="326">
        <f>F134-G134</f>
        <v>391718938.9206</v>
      </c>
      <c r="J134" s="326">
        <f t="shared" si="121"/>
        <v>-593889061.07940006</v>
      </c>
      <c r="K134" s="172">
        <f t="shared" si="122"/>
        <v>0.39743887927106925</v>
      </c>
      <c r="L134" s="226">
        <f t="shared" si="123"/>
        <v>391718938.9206</v>
      </c>
      <c r="M134" s="333">
        <f t="shared" si="124"/>
        <v>0.39743887927106925</v>
      </c>
      <c r="N134" s="228">
        <f>F134+H134</f>
        <v>393837947.92949998</v>
      </c>
      <c r="P134" s="250" t="str">
        <f>Q80</f>
        <v>AGPS:JAKTIM-CKR</v>
      </c>
      <c r="Q134" s="166">
        <f t="shared" ref="Q134:V134" si="133">Q88</f>
        <v>954720000.00000012</v>
      </c>
      <c r="R134" s="230">
        <f t="shared" si="133"/>
        <v>52</v>
      </c>
      <c r="S134" s="167">
        <f t="shared" si="133"/>
        <v>48</v>
      </c>
      <c r="T134" s="166">
        <f t="shared" si="133"/>
        <v>407999680.1789999</v>
      </c>
      <c r="U134" s="231">
        <f t="shared" si="133"/>
        <v>605405.40540000005</v>
      </c>
      <c r="V134" s="166">
        <f t="shared" si="133"/>
        <v>0</v>
      </c>
      <c r="W134" s="226">
        <f>T134-U134</f>
        <v>407394274.77359992</v>
      </c>
      <c r="X134" s="226">
        <f t="shared" si="126"/>
        <v>-547325725.22640014</v>
      </c>
      <c r="Y134" s="172">
        <f t="shared" si="127"/>
        <v>0.42671597407993955</v>
      </c>
      <c r="Z134" s="171">
        <f t="shared" si="128"/>
        <v>407394274.77359992</v>
      </c>
      <c r="AA134" s="227">
        <f t="shared" si="129"/>
        <v>0.42671597407993955</v>
      </c>
      <c r="AB134" s="228">
        <f>T134+V134</f>
        <v>407999680.1789999</v>
      </c>
    </row>
    <row r="135" spans="2:28" x14ac:dyDescent="0.35">
      <c r="B135" s="226" t="str">
        <f>C91</f>
        <v>IPNU</v>
      </c>
      <c r="C135" s="326">
        <f t="shared" ref="C135:H135" si="134">C99</f>
        <v>1040364000</v>
      </c>
      <c r="D135" s="222">
        <f t="shared" si="134"/>
        <v>105</v>
      </c>
      <c r="E135" s="222">
        <f t="shared" si="134"/>
        <v>91</v>
      </c>
      <c r="F135" s="331">
        <f t="shared" si="134"/>
        <v>899634891.21979988</v>
      </c>
      <c r="G135" s="332">
        <f t="shared" si="134"/>
        <v>14533333.3333</v>
      </c>
      <c r="H135" s="326">
        <f t="shared" si="134"/>
        <v>0</v>
      </c>
      <c r="I135" s="326">
        <f>F135-G135</f>
        <v>885101557.88649988</v>
      </c>
      <c r="J135" s="326">
        <f t="shared" si="121"/>
        <v>-155262442.11350012</v>
      </c>
      <c r="K135" s="172">
        <f t="shared" si="122"/>
        <v>0.85076142377715869</v>
      </c>
      <c r="L135" s="226">
        <f t="shared" si="123"/>
        <v>885101557.88649988</v>
      </c>
      <c r="M135" s="333">
        <f t="shared" si="124"/>
        <v>0.85076142377715869</v>
      </c>
      <c r="N135" s="228">
        <f>F135+H135</f>
        <v>899634891.21979988</v>
      </c>
      <c r="P135" s="250" t="str">
        <f>Q91</f>
        <v>SUHERI</v>
      </c>
      <c r="Q135" s="166">
        <f t="shared" ref="Q135:V135" si="135">Q99</f>
        <v>1010880000</v>
      </c>
      <c r="R135" s="230">
        <f t="shared" si="135"/>
        <v>76</v>
      </c>
      <c r="S135" s="167">
        <f t="shared" si="135"/>
        <v>62</v>
      </c>
      <c r="T135" s="166">
        <f t="shared" si="135"/>
        <v>712599158.55720019</v>
      </c>
      <c r="U135" s="231">
        <f t="shared" si="135"/>
        <v>0</v>
      </c>
      <c r="V135" s="166">
        <f t="shared" si="135"/>
        <v>0</v>
      </c>
      <c r="W135" s="226">
        <f>T135-U135</f>
        <v>712599158.55720019</v>
      </c>
      <c r="X135" s="226">
        <f t="shared" si="126"/>
        <v>-298280841.44279981</v>
      </c>
      <c r="Y135" s="172">
        <f t="shared" si="127"/>
        <v>0.70492952532170006</v>
      </c>
      <c r="Z135" s="171">
        <f t="shared" si="128"/>
        <v>712599158.55720019</v>
      </c>
      <c r="AA135" s="227">
        <f t="shared" si="129"/>
        <v>0.70492952532170006</v>
      </c>
      <c r="AB135" s="228">
        <f>T135+V135</f>
        <v>712599158.55720019</v>
      </c>
    </row>
    <row r="136" spans="2:28" x14ac:dyDescent="0.35">
      <c r="B136" s="226" t="str">
        <f>C102</f>
        <v>SYAEPULLOH</v>
      </c>
      <c r="C136" s="326">
        <f t="shared" ref="C136:H136" si="136">C110</f>
        <v>1040364000</v>
      </c>
      <c r="D136" s="222">
        <f t="shared" si="136"/>
        <v>78</v>
      </c>
      <c r="E136" s="222">
        <f t="shared" si="136"/>
        <v>71</v>
      </c>
      <c r="F136" s="331">
        <f t="shared" si="136"/>
        <v>564182181.6839</v>
      </c>
      <c r="G136" s="332">
        <f t="shared" si="136"/>
        <v>3654099.0989999999</v>
      </c>
      <c r="H136" s="326">
        <f t="shared" si="136"/>
        <v>0</v>
      </c>
      <c r="I136" s="326">
        <f>F136-G136</f>
        <v>560528082.58490002</v>
      </c>
      <c r="J136" s="326">
        <f t="shared" si="121"/>
        <v>-479835917.41509998</v>
      </c>
      <c r="K136" s="172">
        <f t="shared" si="122"/>
        <v>0.5387807369198665</v>
      </c>
      <c r="L136" s="226">
        <f t="shared" si="123"/>
        <v>560528082.58490002</v>
      </c>
      <c r="M136" s="333">
        <f t="shared" si="124"/>
        <v>0.5387807369198665</v>
      </c>
      <c r="N136" s="228">
        <f>F136+H136</f>
        <v>564182181.6839</v>
      </c>
      <c r="P136" s="253" t="str">
        <f>Q102</f>
        <v>DEVANI</v>
      </c>
      <c r="Q136" s="254">
        <f t="shared" ref="Q136:V136" si="137">Q110</f>
        <v>1067040000</v>
      </c>
      <c r="R136" s="255">
        <f t="shared" si="137"/>
        <v>72</v>
      </c>
      <c r="S136" s="256">
        <f t="shared" si="137"/>
        <v>74</v>
      </c>
      <c r="T136" s="254">
        <f t="shared" si="137"/>
        <v>553907416.21379995</v>
      </c>
      <c r="U136" s="231">
        <f t="shared" si="137"/>
        <v>1365405.4054</v>
      </c>
      <c r="V136" s="166">
        <f t="shared" si="137"/>
        <v>0</v>
      </c>
      <c r="W136" s="226">
        <f>T136-U136</f>
        <v>552542010.80839992</v>
      </c>
      <c r="X136" s="226">
        <f t="shared" si="126"/>
        <v>-514497989.19160008</v>
      </c>
      <c r="Y136" s="172">
        <f t="shared" si="127"/>
        <v>0.51782689571937313</v>
      </c>
      <c r="Z136" s="171">
        <f t="shared" si="128"/>
        <v>552542010.80839992</v>
      </c>
      <c r="AA136" s="227">
        <f t="shared" si="129"/>
        <v>0.51782689571937313</v>
      </c>
      <c r="AB136" s="228">
        <f>T136+V136</f>
        <v>553907416.21379995</v>
      </c>
    </row>
    <row r="137" spans="2:28" x14ac:dyDescent="0.35">
      <c r="B137" s="352" t="s">
        <v>77</v>
      </c>
      <c r="C137" s="329">
        <f t="shared" ref="C137:H137" si="138">SUM(C132:C136)</f>
        <v>5475600000</v>
      </c>
      <c r="D137" s="178">
        <f>SUM(D132:D136)</f>
        <v>447</v>
      </c>
      <c r="E137" s="178">
        <f t="shared" si="138"/>
        <v>388</v>
      </c>
      <c r="F137" s="334">
        <f>SUM(F132:F136)</f>
        <v>3101576499.4260998</v>
      </c>
      <c r="G137" s="335">
        <f t="shared" si="138"/>
        <v>37503198.197700001</v>
      </c>
      <c r="H137" s="329">
        <f t="shared" si="138"/>
        <v>0</v>
      </c>
      <c r="I137" s="329">
        <f>SUM(I132:I136)</f>
        <v>3064073301.2283998</v>
      </c>
      <c r="J137" s="329">
        <f t="shared" si="121"/>
        <v>-2411526698.7716002</v>
      </c>
      <c r="K137" s="305">
        <f t="shared" si="122"/>
        <v>0.55958676697136378</v>
      </c>
      <c r="L137" s="353">
        <f t="shared" si="123"/>
        <v>3064073301.2283998</v>
      </c>
      <c r="M137" s="305">
        <f t="shared" si="124"/>
        <v>0.55958676697136378</v>
      </c>
      <c r="P137" s="204" t="s">
        <v>77</v>
      </c>
      <c r="Q137" s="205">
        <f t="shared" ref="Q137:V137" si="139">SUM(Q132:Q136)</f>
        <v>5616000000</v>
      </c>
      <c r="R137" s="312">
        <f>SUM(R132:R136)</f>
        <v>391</v>
      </c>
      <c r="S137" s="206">
        <f t="shared" si="139"/>
        <v>354</v>
      </c>
      <c r="T137" s="205">
        <f t="shared" si="139"/>
        <v>3630468343.0545001</v>
      </c>
      <c r="U137" s="208">
        <f t="shared" si="139"/>
        <v>3064115.3154000002</v>
      </c>
      <c r="V137" s="205">
        <f t="shared" si="139"/>
        <v>0</v>
      </c>
      <c r="W137" s="205">
        <f>SUM(W132:W136)</f>
        <v>3627404227.7391005</v>
      </c>
      <c r="X137" s="205">
        <f t="shared" si="126"/>
        <v>-1988595772.2608995</v>
      </c>
      <c r="Y137" s="209">
        <f t="shared" si="127"/>
        <v>0.64590531120710482</v>
      </c>
      <c r="Z137" s="314">
        <f t="shared" si="128"/>
        <v>3627404227.7391005</v>
      </c>
      <c r="AA137" s="209">
        <f t="shared" si="129"/>
        <v>0.64590531120710482</v>
      </c>
    </row>
    <row r="138" spans="2:28" x14ac:dyDescent="0.35">
      <c r="C138" s="202"/>
      <c r="D138" s="245"/>
      <c r="E138" s="245"/>
      <c r="F138" s="245"/>
      <c r="G138" s="245"/>
      <c r="H138" s="245"/>
      <c r="I138" s="245"/>
      <c r="J138" s="245"/>
      <c r="K138" s="245"/>
      <c r="L138" s="197"/>
      <c r="M138" s="246"/>
      <c r="Q138" s="202"/>
      <c r="R138" s="245"/>
      <c r="S138" s="245"/>
      <c r="T138" s="245"/>
      <c r="U138" s="245"/>
      <c r="V138" s="245"/>
      <c r="W138" s="202"/>
      <c r="X138" s="247"/>
      <c r="Y138" s="248"/>
      <c r="Z138" s="197"/>
      <c r="AA138" s="246"/>
    </row>
    <row r="139" spans="2:28" ht="15" customHeight="1" x14ac:dyDescent="0.35"/>
    <row r="140" spans="2:28" ht="15" customHeight="1" x14ac:dyDescent="0.35">
      <c r="B140" s="580" t="s">
        <v>131</v>
      </c>
      <c r="C140" s="581"/>
      <c r="D140" s="581"/>
      <c r="E140" s="581"/>
      <c r="F140" s="581"/>
      <c r="G140" s="581"/>
      <c r="H140" s="581"/>
      <c r="I140" s="581"/>
      <c r="J140" s="581"/>
      <c r="K140" s="581"/>
      <c r="L140" s="581"/>
      <c r="M140" s="582"/>
      <c r="P140" s="580" t="s">
        <v>132</v>
      </c>
      <c r="Q140" s="581"/>
      <c r="R140" s="581"/>
      <c r="S140" s="581"/>
      <c r="T140" s="581"/>
      <c r="U140" s="581"/>
      <c r="V140" s="581"/>
      <c r="W140" s="581"/>
      <c r="X140" s="581"/>
      <c r="Y140" s="581"/>
      <c r="Z140" s="581"/>
      <c r="AA140" s="582"/>
    </row>
    <row r="141" spans="2:28" ht="15" customHeight="1" x14ac:dyDescent="0.35">
      <c r="B141" s="583"/>
      <c r="C141" s="584"/>
      <c r="D141" s="584"/>
      <c r="E141" s="584"/>
      <c r="F141" s="584"/>
      <c r="G141" s="584"/>
      <c r="H141" s="584"/>
      <c r="I141" s="584"/>
      <c r="J141" s="584"/>
      <c r="K141" s="584"/>
      <c r="L141" s="584"/>
      <c r="M141" s="585"/>
      <c r="P141" s="583"/>
      <c r="Q141" s="584"/>
      <c r="R141" s="584"/>
      <c r="S141" s="584"/>
      <c r="T141" s="584"/>
      <c r="U141" s="584"/>
      <c r="V141" s="584"/>
      <c r="W141" s="584"/>
      <c r="X141" s="584"/>
      <c r="Y141" s="584"/>
      <c r="Z141" s="584"/>
      <c r="AA141" s="585"/>
    </row>
    <row r="142" spans="2:28" ht="15" customHeight="1" x14ac:dyDescent="0.35">
      <c r="B142" s="586" t="s">
        <v>133</v>
      </c>
      <c r="C142" s="587" t="s">
        <v>94</v>
      </c>
      <c r="D142" s="586" t="s">
        <v>91</v>
      </c>
      <c r="E142" s="586" t="s">
        <v>62</v>
      </c>
      <c r="F142" s="588" t="str">
        <f>F130</f>
        <v>OMSET JAN
 (1-31)</v>
      </c>
      <c r="G142" s="588" t="s">
        <v>95</v>
      </c>
      <c r="H142" s="587" t="s">
        <v>63</v>
      </c>
      <c r="I142" s="587" t="s">
        <v>64</v>
      </c>
      <c r="J142" s="587" t="s">
        <v>126</v>
      </c>
      <c r="K142" s="586" t="s">
        <v>66</v>
      </c>
      <c r="L142" s="590" t="s">
        <v>127</v>
      </c>
      <c r="M142" s="301" t="s">
        <v>128</v>
      </c>
      <c r="P142" s="601" t="s">
        <v>133</v>
      </c>
      <c r="Q142" s="601" t="s">
        <v>94</v>
      </c>
      <c r="R142" s="602" t="s">
        <v>91</v>
      </c>
      <c r="S142" s="601" t="s">
        <v>62</v>
      </c>
      <c r="T142" s="629" t="str">
        <f>T130</f>
        <v>OMSET JAN
 (1-31)</v>
      </c>
      <c r="U142" s="629" t="s">
        <v>95</v>
      </c>
      <c r="V142" s="603" t="s">
        <v>63</v>
      </c>
      <c r="W142" s="603" t="s">
        <v>64</v>
      </c>
      <c r="X142" s="603" t="s">
        <v>126</v>
      </c>
      <c r="Y142" s="601" t="str">
        <f>Y130</f>
        <v>PERCENTAGE</v>
      </c>
      <c r="Z142" s="579" t="s">
        <v>127</v>
      </c>
      <c r="AA142" s="310" t="s">
        <v>128</v>
      </c>
    </row>
    <row r="143" spans="2:28" x14ac:dyDescent="0.35">
      <c r="B143" s="586"/>
      <c r="C143" s="587"/>
      <c r="D143" s="586"/>
      <c r="E143" s="586"/>
      <c r="F143" s="588"/>
      <c r="G143" s="588"/>
      <c r="H143" s="587"/>
      <c r="I143" s="587"/>
      <c r="J143" s="587"/>
      <c r="K143" s="586"/>
      <c r="L143" s="590"/>
      <c r="M143" s="302">
        <f>100/DAY(EOMONTH($B$1,0))*DAY($B$1)/100</f>
        <v>1</v>
      </c>
      <c r="P143" s="601"/>
      <c r="Q143" s="601"/>
      <c r="R143" s="602"/>
      <c r="S143" s="601"/>
      <c r="T143" s="629"/>
      <c r="U143" s="629"/>
      <c r="V143" s="603"/>
      <c r="W143" s="603"/>
      <c r="X143" s="603"/>
      <c r="Y143" s="601"/>
      <c r="Z143" s="579"/>
      <c r="AA143" s="311">
        <f>K4</f>
        <v>1</v>
      </c>
    </row>
    <row r="144" spans="2:28" x14ac:dyDescent="0.35">
      <c r="B144" s="257" t="s">
        <v>134</v>
      </c>
      <c r="C144" s="166">
        <f t="shared" ref="C144:H144" si="140">C125</f>
        <v>8564400000</v>
      </c>
      <c r="D144" s="167">
        <f t="shared" si="140"/>
        <v>532</v>
      </c>
      <c r="E144" s="222">
        <f t="shared" si="140"/>
        <v>457</v>
      </c>
      <c r="F144" s="223">
        <f t="shared" si="140"/>
        <v>6843088531.213501</v>
      </c>
      <c r="G144" s="224">
        <f t="shared" si="140"/>
        <v>101867878.37820001</v>
      </c>
      <c r="H144" s="166">
        <f t="shared" si="140"/>
        <v>0</v>
      </c>
      <c r="I144" s="166">
        <f>F144-G144</f>
        <v>6741220652.8353014</v>
      </c>
      <c r="J144" s="166">
        <f>I144-C144</f>
        <v>-1823179347.1646986</v>
      </c>
      <c r="K144" s="172">
        <f>I144/C144</f>
        <v>0.78712118220018934</v>
      </c>
      <c r="L144" s="226">
        <f>H144+I144</f>
        <v>6741220652.8353014</v>
      </c>
      <c r="M144" s="227">
        <f>L144/C144</f>
        <v>0.78712118220018934</v>
      </c>
      <c r="P144" s="257" t="s">
        <v>135</v>
      </c>
      <c r="Q144" s="166">
        <f t="shared" ref="Q144:V144" si="141">Q125</f>
        <v>8424000000</v>
      </c>
      <c r="R144" s="230">
        <f t="shared" si="141"/>
        <v>425</v>
      </c>
      <c r="S144" s="167">
        <f t="shared" si="141"/>
        <v>365</v>
      </c>
      <c r="T144" s="223">
        <f t="shared" si="141"/>
        <v>5270965802.3813</v>
      </c>
      <c r="U144" s="224">
        <f t="shared" si="141"/>
        <v>10053765.766100001</v>
      </c>
      <c r="V144" s="166">
        <f t="shared" si="141"/>
        <v>0</v>
      </c>
      <c r="W144" s="166">
        <f>T144-U144</f>
        <v>5260912036.6152</v>
      </c>
      <c r="X144" s="166">
        <f>W144-Q144</f>
        <v>-3163087963.3848</v>
      </c>
      <c r="Y144" s="172">
        <f>Y125</f>
        <v>0.62451472419458687</v>
      </c>
      <c r="Z144" s="171">
        <f>V144+W144</f>
        <v>5260912036.6152</v>
      </c>
      <c r="AA144" s="227">
        <f>Z144/Q144</f>
        <v>0.62451472419458687</v>
      </c>
    </row>
    <row r="145" spans="2:27" x14ac:dyDescent="0.35">
      <c r="B145" s="257" t="s">
        <v>136</v>
      </c>
      <c r="C145" s="166">
        <f t="shared" ref="C145:H145" si="142">C137</f>
        <v>5475600000</v>
      </c>
      <c r="D145" s="167">
        <f t="shared" si="142"/>
        <v>447</v>
      </c>
      <c r="E145" s="222">
        <f t="shared" si="142"/>
        <v>388</v>
      </c>
      <c r="F145" s="223">
        <f t="shared" si="142"/>
        <v>3101576499.4260998</v>
      </c>
      <c r="G145" s="224">
        <f t="shared" si="142"/>
        <v>37503198.197700001</v>
      </c>
      <c r="H145" s="166">
        <f t="shared" si="142"/>
        <v>0</v>
      </c>
      <c r="I145" s="166">
        <f>F145-G145</f>
        <v>3064073301.2283998</v>
      </c>
      <c r="J145" s="166">
        <f>I145-C145</f>
        <v>-2411526698.7716002</v>
      </c>
      <c r="K145" s="172">
        <f>I145/C145</f>
        <v>0.55958676697136378</v>
      </c>
      <c r="L145" s="226">
        <f>H145+I145</f>
        <v>3064073301.2283998</v>
      </c>
      <c r="M145" s="227">
        <f>L145/C145</f>
        <v>0.55958676697136378</v>
      </c>
      <c r="P145" s="257" t="s">
        <v>137</v>
      </c>
      <c r="Q145" s="166">
        <f t="shared" ref="Q145:V145" si="143">Q137</f>
        <v>5616000000</v>
      </c>
      <c r="R145" s="230">
        <f t="shared" si="143"/>
        <v>391</v>
      </c>
      <c r="S145" s="167">
        <f t="shared" si="143"/>
        <v>354</v>
      </c>
      <c r="T145" s="223">
        <f t="shared" si="143"/>
        <v>3630468343.0545001</v>
      </c>
      <c r="U145" s="224">
        <f t="shared" si="143"/>
        <v>3064115.3154000002</v>
      </c>
      <c r="V145" s="166">
        <f t="shared" si="143"/>
        <v>0</v>
      </c>
      <c r="W145" s="166">
        <f>T145-U145</f>
        <v>3627404227.7391</v>
      </c>
      <c r="X145" s="166">
        <f>W145-Q145</f>
        <v>-1988595772.2609</v>
      </c>
      <c r="Y145" s="172">
        <f>Y137</f>
        <v>0.64590531120710482</v>
      </c>
      <c r="Z145" s="171">
        <f>V145+W145</f>
        <v>3627404227.7391</v>
      </c>
      <c r="AA145" s="227">
        <f>Z145/Q145</f>
        <v>0.6459053112071047</v>
      </c>
    </row>
    <row r="146" spans="2:27" x14ac:dyDescent="0.35">
      <c r="B146" s="175" t="s">
        <v>77</v>
      </c>
      <c r="C146" s="176">
        <f>SUM(C144:C145)</f>
        <v>14040000000</v>
      </c>
      <c r="D146" s="177">
        <f t="shared" ref="D146:I146" si="144">SUM(D144:D145)</f>
        <v>979</v>
      </c>
      <c r="E146" s="178">
        <f t="shared" si="144"/>
        <v>845</v>
      </c>
      <c r="F146" s="303">
        <f t="shared" si="144"/>
        <v>9944665030.6396008</v>
      </c>
      <c r="G146" s="304">
        <f t="shared" si="144"/>
        <v>139371076.57590002</v>
      </c>
      <c r="H146" s="176">
        <f t="shared" si="144"/>
        <v>0</v>
      </c>
      <c r="I146" s="176">
        <f t="shared" si="144"/>
        <v>9805293954.0637016</v>
      </c>
      <c r="J146" s="176">
        <f>I146-C146</f>
        <v>-4234706045.9362984</v>
      </c>
      <c r="K146" s="306">
        <f>I146/C146</f>
        <v>0.69838276026094737</v>
      </c>
      <c r="L146" s="353">
        <f>H146+I146</f>
        <v>9805293954.0637016</v>
      </c>
      <c r="M146" s="180">
        <f>L146/C146</f>
        <v>0.69838276026094737</v>
      </c>
      <c r="P146" s="204" t="s">
        <v>77</v>
      </c>
      <c r="Q146" s="205">
        <f t="shared" ref="Q146:W146" si="145">SUM(Q144:Q145)</f>
        <v>14040000000</v>
      </c>
      <c r="R146" s="312">
        <f t="shared" si="145"/>
        <v>816</v>
      </c>
      <c r="S146" s="206">
        <f t="shared" si="145"/>
        <v>719</v>
      </c>
      <c r="T146" s="315">
        <f t="shared" si="145"/>
        <v>8901434145.4358006</v>
      </c>
      <c r="U146" s="316">
        <f t="shared" si="145"/>
        <v>13117881.081500001</v>
      </c>
      <c r="V146" s="205">
        <f t="shared" si="145"/>
        <v>0</v>
      </c>
      <c r="W146" s="205">
        <f t="shared" si="145"/>
        <v>8888316264.3542995</v>
      </c>
      <c r="X146" s="205">
        <f>W146-Q146</f>
        <v>-5151683735.6457005</v>
      </c>
      <c r="Y146" s="317">
        <f>W146/Q146</f>
        <v>0.63307095899959398</v>
      </c>
      <c r="Z146" s="314">
        <f>V146+W146</f>
        <v>8888316264.3542995</v>
      </c>
      <c r="AA146" s="209">
        <f>Z146/Q146</f>
        <v>0.63307095899959398</v>
      </c>
    </row>
  </sheetData>
  <mergeCells count="192">
    <mergeCell ref="B140:M141"/>
    <mergeCell ref="P140:AA141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L142:L143"/>
    <mergeCell ref="P142:P143"/>
    <mergeCell ref="Q142:Q143"/>
    <mergeCell ref="R142:R143"/>
    <mergeCell ref="S142:S143"/>
    <mergeCell ref="T142:T143"/>
    <mergeCell ref="U142:U143"/>
    <mergeCell ref="V142:V143"/>
    <mergeCell ref="W142:W143"/>
    <mergeCell ref="X142:X143"/>
    <mergeCell ref="Y142:Y143"/>
    <mergeCell ref="Z142:Z143"/>
    <mergeCell ref="A14:A22"/>
    <mergeCell ref="D14:D15"/>
    <mergeCell ref="E14:E15"/>
    <mergeCell ref="A3:A11"/>
    <mergeCell ref="D3:D4"/>
    <mergeCell ref="E3:E4"/>
    <mergeCell ref="F3:I3"/>
    <mergeCell ref="J3:J4"/>
    <mergeCell ref="D12:H12"/>
    <mergeCell ref="F14:I14"/>
    <mergeCell ref="J14:J15"/>
    <mergeCell ref="A58:A66"/>
    <mergeCell ref="D58:D59"/>
    <mergeCell ref="E58:E59"/>
    <mergeCell ref="A25:A33"/>
    <mergeCell ref="D25:D26"/>
    <mergeCell ref="E25:E26"/>
    <mergeCell ref="A47:A55"/>
    <mergeCell ref="D47:D48"/>
    <mergeCell ref="E47:E48"/>
    <mergeCell ref="A36:A44"/>
    <mergeCell ref="D36:D37"/>
    <mergeCell ref="E36:E37"/>
    <mergeCell ref="D34:H34"/>
    <mergeCell ref="F47:I47"/>
    <mergeCell ref="A80:A88"/>
    <mergeCell ref="A102:A110"/>
    <mergeCell ref="A69:A77"/>
    <mergeCell ref="D102:D103"/>
    <mergeCell ref="E102:E103"/>
    <mergeCell ref="A91:A99"/>
    <mergeCell ref="D91:D92"/>
    <mergeCell ref="E91:E92"/>
    <mergeCell ref="D80:D81"/>
    <mergeCell ref="E80:E81"/>
    <mergeCell ref="D89:H89"/>
    <mergeCell ref="F80:I80"/>
    <mergeCell ref="O3:O11"/>
    <mergeCell ref="R3:R4"/>
    <mergeCell ref="S3:S4"/>
    <mergeCell ref="T3:W3"/>
    <mergeCell ref="X3:X4"/>
    <mergeCell ref="R12:V12"/>
    <mergeCell ref="O14:O22"/>
    <mergeCell ref="R14:R15"/>
    <mergeCell ref="S14:S15"/>
    <mergeCell ref="T14:W14"/>
    <mergeCell ref="X14:X15"/>
    <mergeCell ref="D23:H23"/>
    <mergeCell ref="R23:V23"/>
    <mergeCell ref="F25:I25"/>
    <mergeCell ref="J25:J26"/>
    <mergeCell ref="O25:O33"/>
    <mergeCell ref="R25:R26"/>
    <mergeCell ref="S25:S26"/>
    <mergeCell ref="T25:W25"/>
    <mergeCell ref="X25:X26"/>
    <mergeCell ref="R34:V34"/>
    <mergeCell ref="F36:I36"/>
    <mergeCell ref="J36:J37"/>
    <mergeCell ref="O36:O44"/>
    <mergeCell ref="R36:R37"/>
    <mergeCell ref="S36:S37"/>
    <mergeCell ref="T36:W36"/>
    <mergeCell ref="X36:X37"/>
    <mergeCell ref="D45:H45"/>
    <mergeCell ref="R45:V45"/>
    <mergeCell ref="J47:J48"/>
    <mergeCell ref="O47:O55"/>
    <mergeCell ref="R47:R48"/>
    <mergeCell ref="S47:S48"/>
    <mergeCell ref="T47:W47"/>
    <mergeCell ref="X47:X48"/>
    <mergeCell ref="D56:H56"/>
    <mergeCell ref="R56:V56"/>
    <mergeCell ref="F58:I58"/>
    <mergeCell ref="J58:J59"/>
    <mergeCell ref="O58:O66"/>
    <mergeCell ref="R58:R59"/>
    <mergeCell ref="S58:S59"/>
    <mergeCell ref="T58:W58"/>
    <mergeCell ref="X58:X59"/>
    <mergeCell ref="D67:H67"/>
    <mergeCell ref="R67:V67"/>
    <mergeCell ref="O69:O77"/>
    <mergeCell ref="R69:R70"/>
    <mergeCell ref="S69:S70"/>
    <mergeCell ref="T69:W69"/>
    <mergeCell ref="X69:X70"/>
    <mergeCell ref="D78:H78"/>
    <mergeCell ref="R78:V78"/>
    <mergeCell ref="J80:J81"/>
    <mergeCell ref="O80:O88"/>
    <mergeCell ref="R80:R81"/>
    <mergeCell ref="S80:S81"/>
    <mergeCell ref="T80:W80"/>
    <mergeCell ref="X80:X81"/>
    <mergeCell ref="D69:D70"/>
    <mergeCell ref="E69:E70"/>
    <mergeCell ref="F69:I69"/>
    <mergeCell ref="J69:J70"/>
    <mergeCell ref="R89:V89"/>
    <mergeCell ref="F91:I91"/>
    <mergeCell ref="J91:J92"/>
    <mergeCell ref="O91:O99"/>
    <mergeCell ref="R91:R92"/>
    <mergeCell ref="S91:S92"/>
    <mergeCell ref="T91:W91"/>
    <mergeCell ref="X91:X92"/>
    <mergeCell ref="W118:W119"/>
    <mergeCell ref="X118:X119"/>
    <mergeCell ref="D100:H100"/>
    <mergeCell ref="R100:V100"/>
    <mergeCell ref="F102:I102"/>
    <mergeCell ref="J102:J103"/>
    <mergeCell ref="O102:O110"/>
    <mergeCell ref="R102:R103"/>
    <mergeCell ref="S102:S103"/>
    <mergeCell ref="T102:W102"/>
    <mergeCell ref="X102:X103"/>
    <mergeCell ref="W130:W131"/>
    <mergeCell ref="X130:X131"/>
    <mergeCell ref="D111:H111"/>
    <mergeCell ref="R111:V111"/>
    <mergeCell ref="B116:M117"/>
    <mergeCell ref="P116:AA117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J119"/>
    <mergeCell ref="K118:K119"/>
    <mergeCell ref="L118:L119"/>
    <mergeCell ref="P118:P119"/>
    <mergeCell ref="Q118:Q119"/>
    <mergeCell ref="R118:R119"/>
    <mergeCell ref="S118:S119"/>
    <mergeCell ref="T118:T119"/>
    <mergeCell ref="U118:U119"/>
    <mergeCell ref="V118:V119"/>
    <mergeCell ref="Y130:Y131"/>
    <mergeCell ref="Z130:Z131"/>
    <mergeCell ref="Y118:Y119"/>
    <mergeCell ref="Z118:Z119"/>
    <mergeCell ref="B128:M129"/>
    <mergeCell ref="P128:AA129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J131"/>
    <mergeCell ref="K130:K131"/>
    <mergeCell ref="L130:L131"/>
    <mergeCell ref="P130:P131"/>
    <mergeCell ref="Q130:Q131"/>
    <mergeCell ref="R130:R131"/>
    <mergeCell ref="S130:S131"/>
    <mergeCell ref="T130:T131"/>
    <mergeCell ref="U130:U131"/>
    <mergeCell ref="V130:V131"/>
  </mergeCells>
  <phoneticPr fontId="9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0DD1E-E6E7-4558-BF4D-7E05A6A6CA92}">
  <sheetPr>
    <tabColor rgb="FFFFFF00"/>
  </sheetPr>
  <dimension ref="A1:AI146"/>
  <sheetViews>
    <sheetView showGridLines="0" topLeftCell="C1" zoomScale="70" zoomScaleNormal="70" workbookViewId="0">
      <selection activeCell="E5" sqref="E5:F10"/>
    </sheetView>
  </sheetViews>
  <sheetFormatPr defaultColWidth="8.7265625" defaultRowHeight="14.5" x14ac:dyDescent="0.35"/>
  <cols>
    <col min="1" max="1" width="8.7265625" style="194"/>
    <col min="2" max="2" width="17" style="194" customWidth="1"/>
    <col min="3" max="3" width="14.81640625" style="186" bestFit="1" customWidth="1"/>
    <col min="4" max="4" width="8.1796875" style="187" customWidth="1"/>
    <col min="5" max="5" width="8" style="188" customWidth="1"/>
    <col min="6" max="6" width="16.1796875" style="189" customWidth="1"/>
    <col min="7" max="7" width="16.1796875" style="190" customWidth="1"/>
    <col min="8" max="9" width="16.1796875" style="186" customWidth="1"/>
    <col min="10" max="10" width="15.1796875" style="191" customWidth="1"/>
    <col min="11" max="11" width="16.1796875" style="187" customWidth="1"/>
    <col min="12" max="12" width="16.453125" style="192" customWidth="1"/>
    <col min="13" max="13" width="18.7265625" style="193" bestFit="1" customWidth="1"/>
    <col min="14" max="14" width="18.54296875" style="194" customWidth="1"/>
    <col min="15" max="15" width="11.81640625" style="194" bestFit="1" customWidth="1"/>
    <col min="16" max="16" width="17.1796875" style="194" customWidth="1"/>
    <col min="17" max="17" width="15.1796875" style="187" customWidth="1"/>
    <col min="18" max="18" width="8.1796875" style="195" customWidth="1"/>
    <col min="19" max="19" width="8.1796875" style="187" customWidth="1"/>
    <col min="20" max="20" width="15.1796875" style="189" customWidth="1"/>
    <col min="21" max="21" width="15.1796875" style="190" customWidth="1"/>
    <col min="22" max="24" width="15.1796875" style="186" customWidth="1"/>
    <col min="25" max="25" width="16.1796875" style="187" customWidth="1"/>
    <col min="26" max="26" width="15.7265625" style="186" customWidth="1"/>
    <col min="27" max="27" width="18.54296875" style="196" customWidth="1"/>
    <col min="28" max="28" width="14" style="194" bestFit="1" customWidth="1"/>
    <col min="29" max="29" width="12.54296875" style="194" customWidth="1"/>
    <col min="30" max="30" width="13" style="194" bestFit="1" customWidth="1"/>
    <col min="31" max="33" width="9.1796875" style="194" hidden="1" customWidth="1"/>
    <col min="34" max="34" width="7.7265625" style="194" hidden="1" customWidth="1"/>
    <col min="35" max="35" width="22.1796875" style="194" hidden="1" customWidth="1"/>
    <col min="36" max="36" width="24.1796875" style="194" customWidth="1"/>
    <col min="37" max="37" width="16" style="194" customWidth="1"/>
    <col min="38" max="38" width="12.54296875" style="194" bestFit="1" customWidth="1"/>
    <col min="39" max="40" width="18.26953125" style="194" customWidth="1"/>
    <col min="41" max="41" width="12.54296875" style="194" bestFit="1" customWidth="1"/>
    <col min="42" max="42" width="13.81640625" style="194" bestFit="1" customWidth="1"/>
    <col min="43" max="43" width="14.54296875" style="194" customWidth="1"/>
    <col min="44" max="16384" width="8.7265625" style="194"/>
  </cols>
  <sheetData>
    <row r="1" spans="1:28" ht="15" thickBot="1" x14ac:dyDescent="0.4">
      <c r="A1" s="184" t="s">
        <v>88</v>
      </c>
      <c r="B1" s="185">
        <v>46081</v>
      </c>
    </row>
    <row r="2" spans="1:28" ht="15" thickBot="1" x14ac:dyDescent="0.4">
      <c r="G2" s="190" t="s">
        <v>89</v>
      </c>
      <c r="W2" s="194"/>
    </row>
    <row r="3" spans="1:28" ht="19.5" customHeight="1" x14ac:dyDescent="0.35">
      <c r="A3" s="627">
        <v>1</v>
      </c>
      <c r="B3" s="352" t="s">
        <v>57</v>
      </c>
      <c r="C3" s="353" t="s">
        <v>90</v>
      </c>
      <c r="D3" s="616" t="s">
        <v>91</v>
      </c>
      <c r="E3" s="616" t="s">
        <v>62</v>
      </c>
      <c r="F3" s="604" t="s">
        <v>92</v>
      </c>
      <c r="G3" s="605"/>
      <c r="H3" s="605"/>
      <c r="I3" s="606"/>
      <c r="J3" s="587" t="s">
        <v>65</v>
      </c>
      <c r="K3" s="352" t="s">
        <v>66</v>
      </c>
      <c r="O3" s="613">
        <v>1</v>
      </c>
      <c r="P3" s="354" t="s">
        <v>57</v>
      </c>
      <c r="Q3" s="355" t="s">
        <v>49</v>
      </c>
      <c r="R3" s="591" t="s">
        <v>91</v>
      </c>
      <c r="S3" s="591" t="s">
        <v>62</v>
      </c>
      <c r="T3" s="610" t="s">
        <v>92</v>
      </c>
      <c r="U3" s="611"/>
      <c r="V3" s="611"/>
      <c r="W3" s="612"/>
      <c r="X3" s="595" t="s">
        <v>65</v>
      </c>
      <c r="Y3" s="354" t="s">
        <v>66</v>
      </c>
    </row>
    <row r="4" spans="1:28" s="199" customFormat="1" ht="36" customHeight="1" x14ac:dyDescent="0.35">
      <c r="A4" s="628"/>
      <c r="B4" s="352" t="s">
        <v>93</v>
      </c>
      <c r="C4" s="353" t="s">
        <v>94</v>
      </c>
      <c r="D4" s="617"/>
      <c r="E4" s="617"/>
      <c r="F4" s="163" t="str">
        <f>"OMSET "&amp;UPPER(TEXT($B$1,"MMM"))&amp;CHAR(10)&amp;" (1-"&amp;DAY($B$1)&amp;")"</f>
        <v>OMSET FEB
 (1-28)</v>
      </c>
      <c r="G4" s="163" t="s">
        <v>95</v>
      </c>
      <c r="H4" s="353" t="s">
        <v>63</v>
      </c>
      <c r="I4" s="353" t="s">
        <v>64</v>
      </c>
      <c r="J4" s="587"/>
      <c r="K4" s="164">
        <f>100/DAY(EOMONTH($B$1,0))*DAY($B$1)/100</f>
        <v>1</v>
      </c>
      <c r="L4" s="197"/>
      <c r="M4" s="198"/>
      <c r="O4" s="614"/>
      <c r="P4" s="354" t="s">
        <v>93</v>
      </c>
      <c r="Q4" s="355" t="s">
        <v>94</v>
      </c>
      <c r="R4" s="592"/>
      <c r="S4" s="592"/>
      <c r="T4" s="200" t="str">
        <f>F4</f>
        <v>OMSET FEB
 (1-28)</v>
      </c>
      <c r="U4" s="200" t="str">
        <f>G4</f>
        <v>OMSET PRODUK</v>
      </c>
      <c r="V4" s="355" t="s">
        <v>63</v>
      </c>
      <c r="W4" s="355" t="s">
        <v>64</v>
      </c>
      <c r="X4" s="596"/>
      <c r="Y4" s="201">
        <f>K4</f>
        <v>1</v>
      </c>
      <c r="Z4" s="202"/>
      <c r="AA4" s="203"/>
    </row>
    <row r="5" spans="1:28" x14ac:dyDescent="0.35">
      <c r="A5" s="628"/>
      <c r="B5" s="325" t="s">
        <v>96</v>
      </c>
      <c r="C5" s="326">
        <v>164436480</v>
      </c>
      <c r="D5" s="222">
        <v>18</v>
      </c>
      <c r="E5" s="308">
        <v>14</v>
      </c>
      <c r="F5" s="169">
        <v>130953406.93659997</v>
      </c>
      <c r="G5" s="169"/>
      <c r="H5" s="326"/>
      <c r="I5" s="326">
        <f t="shared" ref="I5:I11" si="0">F5-G5</f>
        <v>130953406.93659997</v>
      </c>
      <c r="J5" s="226">
        <f t="shared" ref="J5:J10" si="1">I5-C5</f>
        <v>-33483073.06340003</v>
      </c>
      <c r="K5" s="172">
        <f t="shared" ref="K5:K12" si="2">I5/C5</f>
        <v>0.79637685589353391</v>
      </c>
      <c r="L5" s="369" t="str">
        <f>IF(K5&gt;120%,"0,55%", IF(K5&gt;100%,"0,45%", IF(K5&gt;80%,"0,35%", IF(K5&gt;60%,"0,2%", 0))))</f>
        <v>0,2%</v>
      </c>
      <c r="O5" s="614"/>
      <c r="P5" s="165" t="s">
        <v>96</v>
      </c>
      <c r="Q5" s="166">
        <v>202176000</v>
      </c>
      <c r="R5" s="167">
        <v>15</v>
      </c>
      <c r="S5" s="308">
        <v>10</v>
      </c>
      <c r="T5" s="169">
        <v>84189972.072599977</v>
      </c>
      <c r="U5" s="170">
        <v>19479726.847300004</v>
      </c>
      <c r="V5" s="166"/>
      <c r="W5" s="166">
        <f t="shared" ref="W5:W11" si="3">T5-U5</f>
        <v>64710245.225299969</v>
      </c>
      <c r="X5" s="171">
        <f>W5-Q5</f>
        <v>-137465754.77470005</v>
      </c>
      <c r="Y5" s="172">
        <f>W5/Q5</f>
        <v>0.32006887674748719</v>
      </c>
      <c r="Z5" s="369">
        <f>IF(Y5&gt;120%,"0,55%", IF(Y5&gt;100%,"0,45%", IF(Y5&gt;80%,"0,35%", IF(Y5&gt;60%,"0,2%", 0))))</f>
        <v>0</v>
      </c>
    </row>
    <row r="6" spans="1:28" x14ac:dyDescent="0.35">
      <c r="A6" s="628"/>
      <c r="B6" s="325" t="s">
        <v>97</v>
      </c>
      <c r="C6" s="327">
        <v>274060800</v>
      </c>
      <c r="D6" s="222">
        <v>19</v>
      </c>
      <c r="E6" s="308">
        <v>16</v>
      </c>
      <c r="F6" s="169">
        <v>294943464.41329998</v>
      </c>
      <c r="G6" s="328">
        <v>5129279.2791999998</v>
      </c>
      <c r="H6" s="327"/>
      <c r="I6" s="326">
        <f t="shared" si="0"/>
        <v>289814185.13409996</v>
      </c>
      <c r="J6" s="226">
        <f t="shared" si="1"/>
        <v>15753385.13409996</v>
      </c>
      <c r="K6" s="172">
        <f t="shared" si="2"/>
        <v>1.0574813513428405</v>
      </c>
      <c r="L6" s="369" t="str">
        <f t="shared" ref="L6:L10" si="4">IF(K6&gt;120%,"0,55%", IF(K6&gt;100%,"0,45%", IF(K6&gt;80%,"0,35%", IF(K6&gt;60%,"0,2%", 0))))</f>
        <v>0,45%</v>
      </c>
      <c r="O6" s="614"/>
      <c r="P6" s="165" t="s">
        <v>97</v>
      </c>
      <c r="Q6" s="173">
        <v>157248000.00000003</v>
      </c>
      <c r="R6" s="167">
        <v>10</v>
      </c>
      <c r="S6" s="308">
        <v>10</v>
      </c>
      <c r="T6" s="169">
        <v>101325427.92850001</v>
      </c>
      <c r="U6" s="174">
        <v>3941441.4416999999</v>
      </c>
      <c r="V6" s="173"/>
      <c r="W6" s="166">
        <f t="shared" si="3"/>
        <v>97383986.486800015</v>
      </c>
      <c r="X6" s="171">
        <f>W6-Q6</f>
        <v>-59864013.513200015</v>
      </c>
      <c r="Y6" s="172">
        <f>W6/Q6</f>
        <v>0.61930190836640209</v>
      </c>
      <c r="Z6" s="369" t="str">
        <f t="shared" ref="Z6:Z10" si="5">IF(Y6&gt;120%,"0,55%", IF(Y6&gt;100%,"0,45%", IF(Y6&gt;80%,"0,35%", IF(Y6&gt;60%,"0,2%", 0))))</f>
        <v>0,2%</v>
      </c>
    </row>
    <row r="7" spans="1:28" x14ac:dyDescent="0.35">
      <c r="A7" s="628"/>
      <c r="B7" s="325" t="s">
        <v>98</v>
      </c>
      <c r="C7" s="327">
        <v>109624320</v>
      </c>
      <c r="D7" s="222">
        <v>17</v>
      </c>
      <c r="E7" s="308">
        <v>16</v>
      </c>
      <c r="F7" s="169">
        <v>110147716.70100001</v>
      </c>
      <c r="G7" s="169">
        <v>319819.8198</v>
      </c>
      <c r="H7" s="327"/>
      <c r="I7" s="326">
        <f t="shared" si="0"/>
        <v>109827896.8812</v>
      </c>
      <c r="J7" s="226">
        <f t="shared" si="1"/>
        <v>203576.88120000064</v>
      </c>
      <c r="K7" s="172">
        <f t="shared" si="2"/>
        <v>1.0018570412222398</v>
      </c>
      <c r="L7" s="369" t="str">
        <f t="shared" si="4"/>
        <v>0,45%</v>
      </c>
      <c r="O7" s="614"/>
      <c r="P7" s="165" t="s">
        <v>98</v>
      </c>
      <c r="Q7" s="173">
        <v>179712000</v>
      </c>
      <c r="R7" s="167">
        <v>15</v>
      </c>
      <c r="S7" s="308">
        <v>11</v>
      </c>
      <c r="T7" s="169">
        <v>104355702.70330001</v>
      </c>
      <c r="U7" s="170">
        <v>22596846.847399995</v>
      </c>
      <c r="V7" s="173"/>
      <c r="W7" s="166">
        <f t="shared" si="3"/>
        <v>81758855.855900019</v>
      </c>
      <c r="X7" s="171">
        <f t="shared" ref="X7:X11" si="6">W7-Q7</f>
        <v>-97953144.144099981</v>
      </c>
      <c r="Y7" s="172">
        <f t="shared" ref="Y7:Y11" si="7">W7/Q7</f>
        <v>0.4549437759075633</v>
      </c>
      <c r="Z7" s="369">
        <f t="shared" si="5"/>
        <v>0</v>
      </c>
    </row>
    <row r="8" spans="1:28" x14ac:dyDescent="0.35">
      <c r="A8" s="628"/>
      <c r="B8" s="325" t="s">
        <v>99</v>
      </c>
      <c r="C8" s="327">
        <v>150733440</v>
      </c>
      <c r="D8" s="222">
        <v>19</v>
      </c>
      <c r="E8" s="308">
        <v>15</v>
      </c>
      <c r="F8" s="169">
        <v>105634959.23349994</v>
      </c>
      <c r="G8" s="169"/>
      <c r="H8" s="327"/>
      <c r="I8" s="326">
        <f>F8-G8</f>
        <v>105634959.23349994</v>
      </c>
      <c r="J8" s="226">
        <f t="shared" si="1"/>
        <v>-45098480.766500056</v>
      </c>
      <c r="K8" s="172">
        <f t="shared" si="2"/>
        <v>0.70080639859012006</v>
      </c>
      <c r="L8" s="369" t="str">
        <f t="shared" si="4"/>
        <v>0,2%</v>
      </c>
      <c r="O8" s="614"/>
      <c r="P8" s="165" t="s">
        <v>99</v>
      </c>
      <c r="Q8" s="173">
        <v>348192000</v>
      </c>
      <c r="R8" s="167">
        <v>22</v>
      </c>
      <c r="S8" s="308">
        <v>16</v>
      </c>
      <c r="T8" s="169">
        <v>281575551.26170003</v>
      </c>
      <c r="U8" s="170">
        <v>39961710.99120003</v>
      </c>
      <c r="V8" s="173"/>
      <c r="W8" s="166">
        <f t="shared" si="3"/>
        <v>241613840.2705</v>
      </c>
      <c r="X8" s="171">
        <f t="shared" si="6"/>
        <v>-106578159.7295</v>
      </c>
      <c r="Y8" s="172">
        <f t="shared" si="7"/>
        <v>0.69390979767053806</v>
      </c>
      <c r="Z8" s="369" t="str">
        <f t="shared" si="5"/>
        <v>0,2%</v>
      </c>
    </row>
    <row r="9" spans="1:28" x14ac:dyDescent="0.35">
      <c r="A9" s="628"/>
      <c r="B9" s="325" t="s">
        <v>100</v>
      </c>
      <c r="C9" s="327">
        <v>205545600</v>
      </c>
      <c r="D9" s="222">
        <v>12</v>
      </c>
      <c r="E9" s="308">
        <v>8</v>
      </c>
      <c r="F9" s="169">
        <v>193732774.32370001</v>
      </c>
      <c r="G9" s="169"/>
      <c r="H9" s="327"/>
      <c r="I9" s="326">
        <f>F9-G9</f>
        <v>193732774.32370001</v>
      </c>
      <c r="J9" s="226">
        <f t="shared" si="1"/>
        <v>-11812825.676299989</v>
      </c>
      <c r="K9" s="172">
        <f t="shared" si="2"/>
        <v>0.94252941597241691</v>
      </c>
      <c r="L9" s="369" t="str">
        <f t="shared" si="4"/>
        <v>0,35%</v>
      </c>
      <c r="O9" s="614"/>
      <c r="P9" s="165" t="s">
        <v>100</v>
      </c>
      <c r="Q9" s="173">
        <v>123552000</v>
      </c>
      <c r="R9" s="167">
        <v>13</v>
      </c>
      <c r="S9" s="308">
        <v>11</v>
      </c>
      <c r="T9" s="169">
        <v>81050360.360699967</v>
      </c>
      <c r="U9" s="170">
        <v>3941441.4416999999</v>
      </c>
      <c r="V9" s="173"/>
      <c r="W9" s="166">
        <f t="shared" si="3"/>
        <v>77108918.91899997</v>
      </c>
      <c r="X9" s="171">
        <f t="shared" si="6"/>
        <v>-46443081.08100003</v>
      </c>
      <c r="Y9" s="172">
        <f t="shared" si="7"/>
        <v>0.6241009366015926</v>
      </c>
      <c r="Z9" s="369" t="str">
        <f t="shared" si="5"/>
        <v>0,2%</v>
      </c>
    </row>
    <row r="10" spans="1:28" x14ac:dyDescent="0.35">
      <c r="A10" s="628"/>
      <c r="B10" s="325" t="s">
        <v>101</v>
      </c>
      <c r="C10" s="327">
        <v>465903360.00000006</v>
      </c>
      <c r="D10" s="222">
        <v>21</v>
      </c>
      <c r="E10" s="308">
        <v>21</v>
      </c>
      <c r="F10" s="169">
        <v>470082995.51420009</v>
      </c>
      <c r="G10" s="169">
        <v>2009459.4594000001</v>
      </c>
      <c r="H10" s="327"/>
      <c r="I10" s="326">
        <f t="shared" si="0"/>
        <v>468073536.05480009</v>
      </c>
      <c r="J10" s="226">
        <f t="shared" si="1"/>
        <v>2170176.0548000336</v>
      </c>
      <c r="K10" s="172">
        <f t="shared" si="2"/>
        <v>1.0046579961449518</v>
      </c>
      <c r="L10" s="369" t="str">
        <f t="shared" si="4"/>
        <v>0,45%</v>
      </c>
      <c r="O10" s="614"/>
      <c r="P10" s="165" t="s">
        <v>101</v>
      </c>
      <c r="Q10" s="173">
        <v>112320000</v>
      </c>
      <c r="R10" s="167">
        <v>14</v>
      </c>
      <c r="S10" s="308">
        <v>5</v>
      </c>
      <c r="T10" s="169">
        <v>27554549.549600005</v>
      </c>
      <c r="U10" s="170">
        <v>3981981.9820999997</v>
      </c>
      <c r="V10" s="173"/>
      <c r="W10" s="166">
        <f t="shared" si="3"/>
        <v>23572567.567500006</v>
      </c>
      <c r="X10" s="171">
        <f t="shared" si="6"/>
        <v>-88747432.43249999</v>
      </c>
      <c r="Y10" s="172">
        <f t="shared" si="7"/>
        <v>0.209869725494124</v>
      </c>
      <c r="Z10" s="369">
        <f t="shared" si="5"/>
        <v>0</v>
      </c>
    </row>
    <row r="11" spans="1:28" s="199" customFormat="1" ht="14.5" customHeight="1" thickBot="1" x14ac:dyDescent="0.4">
      <c r="A11" s="628"/>
      <c r="B11" s="352" t="s">
        <v>77</v>
      </c>
      <c r="C11" s="329">
        <f t="shared" ref="C11:H11" si="8">SUM(C5:C10)</f>
        <v>1370304000</v>
      </c>
      <c r="D11" s="178">
        <f>SUM(D5:D10)</f>
        <v>106</v>
      </c>
      <c r="E11" s="178">
        <f t="shared" si="8"/>
        <v>90</v>
      </c>
      <c r="F11" s="329">
        <f>SUM(F5:F10)</f>
        <v>1305495317.1223001</v>
      </c>
      <c r="G11" s="330">
        <f t="shared" si="8"/>
        <v>7458558.5583999995</v>
      </c>
      <c r="H11" s="329">
        <f t="shared" si="8"/>
        <v>0</v>
      </c>
      <c r="I11" s="329">
        <f t="shared" si="0"/>
        <v>1298036758.5639002</v>
      </c>
      <c r="J11" s="329">
        <f>I11-C11</f>
        <v>-72267241.436099768</v>
      </c>
      <c r="K11" s="305">
        <f>I11/C11</f>
        <v>0.94726189120363091</v>
      </c>
      <c r="L11" s="369" t="str">
        <f>IF(K11&gt;100%,"CAPAI 100%",IF(K11&gt;90%,"CAPAI 90%","BELUM CAPAI"))</f>
        <v>CAPAI 90%</v>
      </c>
      <c r="M11" s="198"/>
      <c r="O11" s="615"/>
      <c r="P11" s="204" t="s">
        <v>77</v>
      </c>
      <c r="Q11" s="205">
        <f>SUM(Q5:Q10)</f>
        <v>1123200000</v>
      </c>
      <c r="R11" s="206">
        <f t="shared" ref="R11:V11" si="9">SUM(R5:R10)</f>
        <v>89</v>
      </c>
      <c r="S11" s="207">
        <f t="shared" si="9"/>
        <v>63</v>
      </c>
      <c r="T11" s="205">
        <f t="shared" si="9"/>
        <v>680051563.87639999</v>
      </c>
      <c r="U11" s="208">
        <f t="shared" si="9"/>
        <v>93903149.551400021</v>
      </c>
      <c r="V11" s="205">
        <f t="shared" si="9"/>
        <v>0</v>
      </c>
      <c r="W11" s="205">
        <f t="shared" si="3"/>
        <v>586148414.32499993</v>
      </c>
      <c r="X11" s="205">
        <f t="shared" si="6"/>
        <v>-537051585.67500007</v>
      </c>
      <c r="Y11" s="209">
        <f t="shared" si="7"/>
        <v>0.52185578198450844</v>
      </c>
      <c r="Z11" s="369" t="str">
        <f>IF(Y11&gt;100%,"CAPAI 100%",IF(Y11&gt;90%,"CAPAI 90%","BELUM CAPAI"))</f>
        <v>BELUM CAPAI</v>
      </c>
      <c r="AA11" s="203"/>
      <c r="AB11" s="194"/>
    </row>
    <row r="12" spans="1:28" ht="14.5" customHeight="1" x14ac:dyDescent="0.55000000000000004">
      <c r="B12" s="324" t="s">
        <v>83</v>
      </c>
      <c r="C12" s="243">
        <v>1233273600</v>
      </c>
      <c r="D12" s="597"/>
      <c r="E12" s="598"/>
      <c r="F12" s="598"/>
      <c r="G12" s="598"/>
      <c r="H12" s="599"/>
      <c r="I12" s="243">
        <f>I11</f>
        <v>1298036758.5639002</v>
      </c>
      <c r="J12" s="243">
        <f>I12-C12</f>
        <v>64763158.563900232</v>
      </c>
      <c r="K12" s="183">
        <f t="shared" si="2"/>
        <v>1.0525132124484788</v>
      </c>
      <c r="O12" s="309"/>
      <c r="P12" s="324" t="str">
        <f>$B$12</f>
        <v>TARGET Q1</v>
      </c>
      <c r="Q12" s="243">
        <v>1010880000</v>
      </c>
      <c r="R12" s="597"/>
      <c r="S12" s="598"/>
      <c r="T12" s="598"/>
      <c r="U12" s="598"/>
      <c r="V12" s="599"/>
      <c r="W12" s="243">
        <f>W11</f>
        <v>586148414.32499993</v>
      </c>
      <c r="X12" s="243">
        <f>W12-Q12</f>
        <v>-424731585.67500007</v>
      </c>
      <c r="Y12" s="183">
        <f>W12/Q12</f>
        <v>0.57983975776056496</v>
      </c>
      <c r="Z12" s="192"/>
    </row>
    <row r="13" spans="1:28" ht="24" thickBot="1" x14ac:dyDescent="0.6">
      <c r="C13" s="210">
        <f>C12/C11</f>
        <v>0.9</v>
      </c>
      <c r="O13" s="309"/>
      <c r="Q13" s="210">
        <f>Q12/Q11</f>
        <v>0.9</v>
      </c>
    </row>
    <row r="14" spans="1:28" ht="19.5" customHeight="1" x14ac:dyDescent="0.35">
      <c r="A14" s="623">
        <v>2</v>
      </c>
      <c r="B14" s="352" t="s">
        <v>57</v>
      </c>
      <c r="C14" s="353" t="s">
        <v>102</v>
      </c>
      <c r="D14" s="616" t="s">
        <v>91</v>
      </c>
      <c r="E14" s="616" t="s">
        <v>62</v>
      </c>
      <c r="F14" s="604" t="s">
        <v>103</v>
      </c>
      <c r="G14" s="605"/>
      <c r="H14" s="605"/>
      <c r="I14" s="606"/>
      <c r="J14" s="587" t="s">
        <v>65</v>
      </c>
      <c r="K14" s="352" t="s">
        <v>66</v>
      </c>
      <c r="O14" s="607">
        <v>2</v>
      </c>
      <c r="P14" s="354" t="s">
        <v>57</v>
      </c>
      <c r="Q14" s="355" t="s">
        <v>104</v>
      </c>
      <c r="R14" s="591" t="s">
        <v>91</v>
      </c>
      <c r="S14" s="591" t="s">
        <v>62</v>
      </c>
      <c r="T14" s="610" t="s">
        <v>103</v>
      </c>
      <c r="U14" s="611"/>
      <c r="V14" s="611"/>
      <c r="W14" s="612"/>
      <c r="X14" s="595" t="s">
        <v>65</v>
      </c>
      <c r="Y14" s="354" t="s">
        <v>66</v>
      </c>
    </row>
    <row r="15" spans="1:28" ht="36" customHeight="1" x14ac:dyDescent="0.35">
      <c r="A15" s="623"/>
      <c r="B15" s="352" t="s">
        <v>93</v>
      </c>
      <c r="C15" s="353" t="str">
        <f>C4</f>
        <v>TARGET 100%</v>
      </c>
      <c r="D15" s="617"/>
      <c r="E15" s="617"/>
      <c r="F15" s="163" t="str">
        <f>F4</f>
        <v>OMSET FEB
 (1-28)</v>
      </c>
      <c r="G15" s="163" t="str">
        <f>G4</f>
        <v>OMSET PRODUK</v>
      </c>
      <c r="H15" s="353" t="s">
        <v>63</v>
      </c>
      <c r="I15" s="353" t="s">
        <v>64</v>
      </c>
      <c r="J15" s="587"/>
      <c r="K15" s="164">
        <f>K4</f>
        <v>1</v>
      </c>
      <c r="L15" s="211"/>
      <c r="M15" s="212"/>
      <c r="O15" s="608"/>
      <c r="P15" s="354" t="s">
        <v>93</v>
      </c>
      <c r="Q15" s="355" t="str">
        <f>Q4</f>
        <v>TARGET 100%</v>
      </c>
      <c r="R15" s="592"/>
      <c r="S15" s="592"/>
      <c r="T15" s="200" t="str">
        <f>T4</f>
        <v>OMSET FEB
 (1-28)</v>
      </c>
      <c r="U15" s="200" t="str">
        <f>G4</f>
        <v>OMSET PRODUK</v>
      </c>
      <c r="V15" s="355" t="s">
        <v>63</v>
      </c>
      <c r="W15" s="355" t="s">
        <v>64</v>
      </c>
      <c r="X15" s="596"/>
      <c r="Y15" s="201">
        <f>K15</f>
        <v>1</v>
      </c>
    </row>
    <row r="16" spans="1:28" ht="14.5" customHeight="1" x14ac:dyDescent="0.35">
      <c r="A16" s="623"/>
      <c r="B16" s="325" t="s">
        <v>96</v>
      </c>
      <c r="C16" s="326">
        <v>395865600</v>
      </c>
      <c r="D16" s="222">
        <v>20</v>
      </c>
      <c r="E16" s="308">
        <v>20</v>
      </c>
      <c r="F16" s="169">
        <v>368346143.69330001</v>
      </c>
      <c r="G16" s="169"/>
      <c r="H16" s="326"/>
      <c r="I16" s="326">
        <f t="shared" ref="I16:I22" si="10">F16-G16</f>
        <v>368346143.69330001</v>
      </c>
      <c r="J16" s="226">
        <f t="shared" ref="J16:J22" si="11">I16-C16</f>
        <v>-27519456.306699991</v>
      </c>
      <c r="K16" s="172">
        <f t="shared" ref="K16:K23" si="12">I16/C16</f>
        <v>0.93048282976166663</v>
      </c>
      <c r="L16" s="369" t="str">
        <f>IF(K16&gt;120%,"0,55%", IF(K16&gt;100%,"0,45%", IF(K16&gt;80%,"0,35%", IF(K16&gt;60%,"0,2%", 0))))</f>
        <v>0,35%</v>
      </c>
      <c r="O16" s="608"/>
      <c r="P16" s="325" t="s">
        <v>96</v>
      </c>
      <c r="Q16" s="166">
        <v>227635200</v>
      </c>
      <c r="R16" s="167">
        <v>10</v>
      </c>
      <c r="S16" s="308">
        <v>10</v>
      </c>
      <c r="T16" s="169">
        <v>110144468.46890001</v>
      </c>
      <c r="U16" s="170">
        <v>21959459.459700007</v>
      </c>
      <c r="V16" s="166"/>
      <c r="W16" s="326">
        <f t="shared" ref="W16:W22" si="13">T16-U16</f>
        <v>88185009.009200007</v>
      </c>
      <c r="X16" s="226">
        <f t="shared" ref="X16:X22" si="14">W16-Q16</f>
        <v>-139450190.99079999</v>
      </c>
      <c r="Y16" s="172">
        <f t="shared" ref="Y16:Y21" si="15">W16/Q16</f>
        <v>0.38739618920623881</v>
      </c>
      <c r="Z16" s="369">
        <f>IF(Y16&gt;120%,"0,55%", IF(Y16&gt;100%,"0,45%", IF(Y16&gt;80%,"0,35%", IF(Y16&gt;60%,"0,2%", 0))))</f>
        <v>0</v>
      </c>
    </row>
    <row r="17" spans="1:26" ht="14.5" customHeight="1" x14ac:dyDescent="0.35">
      <c r="A17" s="623"/>
      <c r="B17" s="325" t="s">
        <v>97</v>
      </c>
      <c r="C17" s="327">
        <v>258835200.00000003</v>
      </c>
      <c r="D17" s="222">
        <v>15</v>
      </c>
      <c r="E17" s="308">
        <v>10</v>
      </c>
      <c r="F17" s="169">
        <v>129235811.69860001</v>
      </c>
      <c r="G17" s="328">
        <v>1279279.2793000001</v>
      </c>
      <c r="H17" s="327"/>
      <c r="I17" s="326">
        <f t="shared" si="10"/>
        <v>127956532.4193</v>
      </c>
      <c r="J17" s="226">
        <f t="shared" si="11"/>
        <v>-130878667.58070002</v>
      </c>
      <c r="K17" s="172">
        <f t="shared" si="12"/>
        <v>0.4943552206937078</v>
      </c>
      <c r="L17" s="369">
        <f t="shared" ref="L17:L21" si="16">IF(K17&gt;120%,"0,55%", IF(K17&gt;100%,"0,45%", IF(K17&gt;80%,"0,35%", IF(K17&gt;60%,"0,2%", 0))))</f>
        <v>0</v>
      </c>
      <c r="O17" s="608"/>
      <c r="P17" s="325" t="s">
        <v>97</v>
      </c>
      <c r="Q17" s="173">
        <v>199180800.00000003</v>
      </c>
      <c r="R17" s="167">
        <v>14</v>
      </c>
      <c r="S17" s="308">
        <v>14</v>
      </c>
      <c r="T17" s="169">
        <v>118044135.13509993</v>
      </c>
      <c r="U17" s="174">
        <v>11006756.756600004</v>
      </c>
      <c r="V17" s="173"/>
      <c r="W17" s="326">
        <f t="shared" si="13"/>
        <v>107037378.37849993</v>
      </c>
      <c r="X17" s="226">
        <f t="shared" si="14"/>
        <v>-92143421.621500105</v>
      </c>
      <c r="Y17" s="172">
        <f t="shared" si="15"/>
        <v>0.53738803327680129</v>
      </c>
      <c r="Z17" s="369">
        <f t="shared" ref="Z17:Z21" si="17">IF(Y17&gt;120%,"0,55%", IF(Y17&gt;100%,"0,45%", IF(Y17&gt;80%,"0,35%", IF(Y17&gt;60%,"0,2%", 0))))</f>
        <v>0</v>
      </c>
    </row>
    <row r="18" spans="1:26" ht="14.5" customHeight="1" x14ac:dyDescent="0.35">
      <c r="A18" s="623"/>
      <c r="B18" s="325" t="s">
        <v>98</v>
      </c>
      <c r="C18" s="327">
        <v>228384000</v>
      </c>
      <c r="D18" s="222">
        <v>22</v>
      </c>
      <c r="E18" s="308">
        <v>22</v>
      </c>
      <c r="F18" s="169">
        <v>134108363.42339996</v>
      </c>
      <c r="G18" s="169">
        <v>639639.63959999999</v>
      </c>
      <c r="H18" s="327"/>
      <c r="I18" s="326">
        <f t="shared" si="10"/>
        <v>133468723.78379996</v>
      </c>
      <c r="J18" s="226">
        <f t="shared" si="11"/>
        <v>-94915276.216200039</v>
      </c>
      <c r="K18" s="172">
        <f t="shared" si="12"/>
        <v>0.5844048785545396</v>
      </c>
      <c r="L18" s="369">
        <f t="shared" si="16"/>
        <v>0</v>
      </c>
      <c r="M18" s="213"/>
      <c r="O18" s="608"/>
      <c r="P18" s="325" t="s">
        <v>98</v>
      </c>
      <c r="Q18" s="173">
        <v>327225600</v>
      </c>
      <c r="R18" s="167">
        <v>19</v>
      </c>
      <c r="S18" s="308">
        <v>15</v>
      </c>
      <c r="T18" s="169">
        <v>246767631.35289991</v>
      </c>
      <c r="U18" s="170">
        <v>35878364.685300007</v>
      </c>
      <c r="V18" s="173"/>
      <c r="W18" s="326">
        <f t="shared" si="13"/>
        <v>210889266.66759992</v>
      </c>
      <c r="X18" s="226">
        <f t="shared" si="14"/>
        <v>-116336333.33240008</v>
      </c>
      <c r="Y18" s="172">
        <f t="shared" si="15"/>
        <v>0.64447667501442407</v>
      </c>
      <c r="Z18" s="369" t="str">
        <f t="shared" si="17"/>
        <v>0,2%</v>
      </c>
    </row>
    <row r="19" spans="1:26" ht="14.5" customHeight="1" x14ac:dyDescent="0.35">
      <c r="A19" s="623"/>
      <c r="B19" s="325" t="s">
        <v>99</v>
      </c>
      <c r="C19" s="327">
        <v>243609600</v>
      </c>
      <c r="D19" s="222">
        <v>11</v>
      </c>
      <c r="E19" s="308">
        <v>10</v>
      </c>
      <c r="F19" s="169">
        <v>144153377.50510004</v>
      </c>
      <c r="G19" s="169"/>
      <c r="H19" s="327"/>
      <c r="I19" s="326">
        <f t="shared" si="10"/>
        <v>144153377.50510004</v>
      </c>
      <c r="J19" s="226">
        <f t="shared" si="11"/>
        <v>-99456222.494899958</v>
      </c>
      <c r="K19" s="172">
        <f t="shared" si="12"/>
        <v>0.59173931366046351</v>
      </c>
      <c r="L19" s="369">
        <f t="shared" si="16"/>
        <v>0</v>
      </c>
      <c r="O19" s="608"/>
      <c r="P19" s="325" t="s">
        <v>99</v>
      </c>
      <c r="Q19" s="173">
        <v>227635200</v>
      </c>
      <c r="R19" s="167">
        <v>14</v>
      </c>
      <c r="S19" s="308">
        <v>11</v>
      </c>
      <c r="T19" s="169">
        <v>77478234.234899998</v>
      </c>
      <c r="U19" s="170">
        <v>7364864.8652999997</v>
      </c>
      <c r="V19" s="173"/>
      <c r="W19" s="326">
        <f t="shared" si="13"/>
        <v>70113369.369599998</v>
      </c>
      <c r="X19" s="226">
        <f t="shared" si="14"/>
        <v>-157521830.6304</v>
      </c>
      <c r="Y19" s="172">
        <f t="shared" si="15"/>
        <v>0.30800759008097167</v>
      </c>
      <c r="Z19" s="369">
        <f t="shared" si="17"/>
        <v>0</v>
      </c>
    </row>
    <row r="20" spans="1:26" ht="14.5" customHeight="1" x14ac:dyDescent="0.35">
      <c r="A20" s="623"/>
      <c r="B20" s="325" t="s">
        <v>100</v>
      </c>
      <c r="C20" s="327">
        <v>182707200</v>
      </c>
      <c r="D20" s="222">
        <v>15</v>
      </c>
      <c r="E20" s="308">
        <v>12</v>
      </c>
      <c r="F20" s="169">
        <v>149993746.39649999</v>
      </c>
      <c r="G20" s="169">
        <v>2649099.0991000002</v>
      </c>
      <c r="H20" s="327"/>
      <c r="I20" s="326">
        <f t="shared" si="10"/>
        <v>147344647.2974</v>
      </c>
      <c r="J20" s="226">
        <f t="shared" si="11"/>
        <v>-35362552.702600002</v>
      </c>
      <c r="K20" s="172">
        <f t="shared" si="12"/>
        <v>0.80645233081892775</v>
      </c>
      <c r="L20" s="369" t="str">
        <f t="shared" si="16"/>
        <v>0,35%</v>
      </c>
      <c r="O20" s="608"/>
      <c r="P20" s="325" t="s">
        <v>100</v>
      </c>
      <c r="Q20" s="173">
        <v>213408000</v>
      </c>
      <c r="R20" s="167">
        <v>9</v>
      </c>
      <c r="S20" s="308">
        <v>10</v>
      </c>
      <c r="T20" s="169">
        <v>116505162.16169995</v>
      </c>
      <c r="U20" s="170">
        <v>4788288.2882999992</v>
      </c>
      <c r="V20" s="173"/>
      <c r="W20" s="326">
        <f>T20-U20</f>
        <v>111716873.87339996</v>
      </c>
      <c r="X20" s="226">
        <f t="shared" si="14"/>
        <v>-101691126.12660004</v>
      </c>
      <c r="Y20" s="172">
        <f t="shared" si="15"/>
        <v>0.52348962491284279</v>
      </c>
      <c r="Z20" s="369">
        <f t="shared" si="17"/>
        <v>0</v>
      </c>
    </row>
    <row r="21" spans="1:26" ht="14.5" customHeight="1" x14ac:dyDescent="0.35">
      <c r="A21" s="623"/>
      <c r="B21" s="325" t="s">
        <v>101</v>
      </c>
      <c r="C21" s="327">
        <v>213158400.00000003</v>
      </c>
      <c r="D21" s="222">
        <v>17</v>
      </c>
      <c r="E21" s="308">
        <v>13</v>
      </c>
      <c r="F21" s="169">
        <v>153208609.46810001</v>
      </c>
      <c r="G21" s="169">
        <v>639639.63959999999</v>
      </c>
      <c r="H21" s="327"/>
      <c r="I21" s="326">
        <f t="shared" si="10"/>
        <v>152568969.8285</v>
      </c>
      <c r="J21" s="226">
        <f t="shared" si="11"/>
        <v>-60589430.171500027</v>
      </c>
      <c r="K21" s="172">
        <f t="shared" si="12"/>
        <v>0.71575396432183758</v>
      </c>
      <c r="L21" s="369" t="str">
        <f t="shared" si="16"/>
        <v>0,2%</v>
      </c>
      <c r="O21" s="608"/>
      <c r="P21" s="325" t="s">
        <v>101</v>
      </c>
      <c r="Q21" s="173">
        <v>227635200</v>
      </c>
      <c r="R21" s="167">
        <v>13</v>
      </c>
      <c r="S21" s="308">
        <v>12</v>
      </c>
      <c r="T21" s="169">
        <v>113307013.51290002</v>
      </c>
      <c r="U21" s="170">
        <v>2354504.5044999998</v>
      </c>
      <c r="V21" s="173"/>
      <c r="W21" s="326">
        <f t="shared" si="13"/>
        <v>110952509.00840002</v>
      </c>
      <c r="X21" s="226">
        <f t="shared" si="14"/>
        <v>-116682690.99159998</v>
      </c>
      <c r="Y21" s="172">
        <f t="shared" si="15"/>
        <v>0.48741367331765922</v>
      </c>
      <c r="Z21" s="369">
        <f t="shared" si="17"/>
        <v>0</v>
      </c>
    </row>
    <row r="22" spans="1:26" ht="14.5" customHeight="1" thickBot="1" x14ac:dyDescent="0.4">
      <c r="A22" s="623"/>
      <c r="B22" s="352" t="s">
        <v>77</v>
      </c>
      <c r="C22" s="329">
        <f t="shared" ref="C22:H22" si="18">SUM(C16:C21)</f>
        <v>1522560000</v>
      </c>
      <c r="D22" s="178">
        <f>SUM(D16:D21)</f>
        <v>100</v>
      </c>
      <c r="E22" s="178">
        <f t="shared" si="18"/>
        <v>87</v>
      </c>
      <c r="F22" s="329">
        <f>SUM(F16:F21)</f>
        <v>1079046052.1849999</v>
      </c>
      <c r="G22" s="330">
        <f t="shared" si="18"/>
        <v>5207657.6576000005</v>
      </c>
      <c r="H22" s="329">
        <f t="shared" si="18"/>
        <v>0</v>
      </c>
      <c r="I22" s="329">
        <f t="shared" si="10"/>
        <v>1073838394.5274</v>
      </c>
      <c r="J22" s="329">
        <f t="shared" si="11"/>
        <v>-448721605.47259998</v>
      </c>
      <c r="K22" s="305">
        <f t="shared" si="12"/>
        <v>0.70528477992814731</v>
      </c>
      <c r="L22" s="369" t="str">
        <f>IF(K22&gt;100%,"CAPAI 100%",IF(K22&gt;90%,"CAPAI 90%","BELUM CAPAI"))</f>
        <v>BELUM CAPAI</v>
      </c>
      <c r="O22" s="609"/>
      <c r="P22" s="354" t="s">
        <v>77</v>
      </c>
      <c r="Q22" s="336">
        <f t="shared" ref="Q22:V22" si="19">SUM(Q16:Q21)</f>
        <v>1422720000</v>
      </c>
      <c r="R22" s="207">
        <f>SUM(R16:R21)</f>
        <v>79</v>
      </c>
      <c r="S22" s="207">
        <f t="shared" si="19"/>
        <v>72</v>
      </c>
      <c r="T22" s="336">
        <f t="shared" si="19"/>
        <v>782246644.86639988</v>
      </c>
      <c r="U22" s="337">
        <f t="shared" si="19"/>
        <v>83352238.559700012</v>
      </c>
      <c r="V22" s="336">
        <f t="shared" si="19"/>
        <v>0</v>
      </c>
      <c r="W22" s="336">
        <f t="shared" si="13"/>
        <v>698894406.30669987</v>
      </c>
      <c r="X22" s="336">
        <f t="shared" si="14"/>
        <v>-723825593.69330013</v>
      </c>
      <c r="Y22" s="313">
        <f>W22/Q22</f>
        <v>0.49123819606577535</v>
      </c>
      <c r="Z22" s="369" t="str">
        <f>IF(Y22&gt;100%,"CAPAI 100%",IF(Y22&gt;90%,"CAPAI 90%","BELUM CAPAI"))</f>
        <v>BELUM CAPAI</v>
      </c>
    </row>
    <row r="23" spans="1:26" ht="14.5" customHeight="1" x14ac:dyDescent="0.55000000000000004">
      <c r="B23" s="324" t="str">
        <f>$B$12</f>
        <v>TARGET Q1</v>
      </c>
      <c r="C23" s="243">
        <v>1370304000</v>
      </c>
      <c r="D23" s="597"/>
      <c r="E23" s="598"/>
      <c r="F23" s="598"/>
      <c r="G23" s="598"/>
      <c r="H23" s="599"/>
      <c r="I23" s="243">
        <f>I22</f>
        <v>1073838394.5274</v>
      </c>
      <c r="J23" s="243">
        <f>I23-C23</f>
        <v>-296465605.47259998</v>
      </c>
      <c r="K23" s="183">
        <f t="shared" si="12"/>
        <v>0.78364975547571925</v>
      </c>
      <c r="O23" s="309"/>
      <c r="P23" s="324" t="str">
        <f>$B$12</f>
        <v>TARGET Q1</v>
      </c>
      <c r="Q23" s="243">
        <v>1280448000</v>
      </c>
      <c r="R23" s="597"/>
      <c r="S23" s="598"/>
      <c r="T23" s="598"/>
      <c r="U23" s="598"/>
      <c r="V23" s="599"/>
      <c r="W23" s="243">
        <f>W22</f>
        <v>698894406.30669987</v>
      </c>
      <c r="X23" s="243">
        <f>W23-Q23</f>
        <v>-581553593.69330013</v>
      </c>
      <c r="Y23" s="183">
        <f>W23/Q23</f>
        <v>0.54582021785086143</v>
      </c>
      <c r="Z23" s="192"/>
    </row>
    <row r="24" spans="1:26" ht="24" thickBot="1" x14ac:dyDescent="0.6">
      <c r="C24" s="210">
        <f>C23/C22</f>
        <v>0.9</v>
      </c>
      <c r="O24" s="309"/>
      <c r="Q24" s="210">
        <f>Q23/Q22</f>
        <v>0.9</v>
      </c>
    </row>
    <row r="25" spans="1:26" ht="19.5" customHeight="1" x14ac:dyDescent="0.35">
      <c r="A25" s="623">
        <v>3</v>
      </c>
      <c r="B25" s="352" t="s">
        <v>57</v>
      </c>
      <c r="C25" s="353" t="s">
        <v>105</v>
      </c>
      <c r="D25" s="616" t="s">
        <v>91</v>
      </c>
      <c r="E25" s="616" t="s">
        <v>62</v>
      </c>
      <c r="F25" s="604" t="s">
        <v>106</v>
      </c>
      <c r="G25" s="605"/>
      <c r="H25" s="605"/>
      <c r="I25" s="606"/>
      <c r="J25" s="587" t="s">
        <v>65</v>
      </c>
      <c r="K25" s="352" t="s">
        <v>66</v>
      </c>
      <c r="O25" s="613">
        <v>3</v>
      </c>
      <c r="P25" s="354" t="s">
        <v>57</v>
      </c>
      <c r="Q25" s="355" t="s">
        <v>54</v>
      </c>
      <c r="R25" s="591" t="s">
        <v>91</v>
      </c>
      <c r="S25" s="591" t="s">
        <v>62</v>
      </c>
      <c r="T25" s="610" t="s">
        <v>107</v>
      </c>
      <c r="U25" s="611"/>
      <c r="V25" s="611"/>
      <c r="W25" s="612"/>
      <c r="X25" s="603" t="s">
        <v>65</v>
      </c>
      <c r="Y25" s="354" t="s">
        <v>66</v>
      </c>
    </row>
    <row r="26" spans="1:26" ht="36" customHeight="1" x14ac:dyDescent="0.35">
      <c r="A26" s="623"/>
      <c r="B26" s="352" t="s">
        <v>93</v>
      </c>
      <c r="C26" s="353" t="str">
        <f>C15</f>
        <v>TARGET 100%</v>
      </c>
      <c r="D26" s="617"/>
      <c r="E26" s="617"/>
      <c r="F26" s="163" t="str">
        <f>F4</f>
        <v>OMSET FEB
 (1-28)</v>
      </c>
      <c r="G26" s="163" t="str">
        <f>G4</f>
        <v>OMSET PRODUK</v>
      </c>
      <c r="H26" s="353" t="s">
        <v>63</v>
      </c>
      <c r="I26" s="353" t="s">
        <v>64</v>
      </c>
      <c r="J26" s="587"/>
      <c r="K26" s="164">
        <f>K15</f>
        <v>1</v>
      </c>
      <c r="O26" s="614"/>
      <c r="P26" s="354" t="s">
        <v>93</v>
      </c>
      <c r="Q26" s="355" t="str">
        <f>Q15</f>
        <v>TARGET 100%</v>
      </c>
      <c r="R26" s="592"/>
      <c r="S26" s="592"/>
      <c r="T26" s="200" t="str">
        <f>T4</f>
        <v>OMSET FEB
 (1-28)</v>
      </c>
      <c r="U26" s="200" t="str">
        <f>G4</f>
        <v>OMSET PRODUK</v>
      </c>
      <c r="V26" s="355" t="s">
        <v>63</v>
      </c>
      <c r="W26" s="355" t="s">
        <v>64</v>
      </c>
      <c r="X26" s="603"/>
      <c r="Y26" s="201">
        <f>K26</f>
        <v>1</v>
      </c>
    </row>
    <row r="27" spans="1:26" ht="14.5" customHeight="1" x14ac:dyDescent="0.35">
      <c r="A27" s="623"/>
      <c r="B27" s="325" t="s">
        <v>96</v>
      </c>
      <c r="C27" s="326">
        <v>361608000</v>
      </c>
      <c r="D27" s="222">
        <v>15</v>
      </c>
      <c r="E27" s="308">
        <v>14</v>
      </c>
      <c r="F27" s="169">
        <v>487988381.5314002</v>
      </c>
      <c r="G27" s="169"/>
      <c r="H27" s="326"/>
      <c r="I27" s="326">
        <f t="shared" ref="I27:I33" si="20">F27-G27</f>
        <v>487988381.5314002</v>
      </c>
      <c r="J27" s="226">
        <f t="shared" ref="J27:J33" si="21">I27-C27</f>
        <v>126380381.5314002</v>
      </c>
      <c r="K27" s="172">
        <f t="shared" ref="K27:K34" si="22">I27/C27</f>
        <v>1.3494955353072946</v>
      </c>
      <c r="L27" s="369" t="str">
        <f>IF(K27&gt;120%,"0,55%", IF(K27&gt;100%,"0,45%", IF(K27&gt;80%,"0,35%", IF(K27&gt;60%,"0,2%", 0))))</f>
        <v>0,55%</v>
      </c>
      <c r="O27" s="614"/>
      <c r="P27" s="325" t="s">
        <v>96</v>
      </c>
      <c r="Q27" s="166">
        <v>229132800.00000003</v>
      </c>
      <c r="R27" s="167">
        <v>16</v>
      </c>
      <c r="S27" s="308">
        <v>10</v>
      </c>
      <c r="T27" s="169">
        <v>119912465.31529997</v>
      </c>
      <c r="U27" s="170">
        <v>8513513.5139000006</v>
      </c>
      <c r="V27" s="166"/>
      <c r="W27" s="326">
        <f t="shared" ref="W27:W33" si="23">T27-U27</f>
        <v>111398951.80139998</v>
      </c>
      <c r="X27" s="226">
        <f t="shared" ref="X27:X33" si="24">W27-Q27</f>
        <v>-117733848.19860005</v>
      </c>
      <c r="Y27" s="172">
        <f t="shared" ref="Y27:Y33" si="25">W27/Q27</f>
        <v>0.48617636497873706</v>
      </c>
      <c r="Z27" s="369">
        <f>IF(Y27&gt;120%,"0,55%", IF(Y27&gt;100%,"0,45%", IF(Y27&gt;80%,"0,35%", IF(Y27&gt;60%,"0,2%", 0))))</f>
        <v>0</v>
      </c>
    </row>
    <row r="28" spans="1:26" ht="14.5" customHeight="1" x14ac:dyDescent="0.35">
      <c r="A28" s="623"/>
      <c r="B28" s="325" t="s">
        <v>97</v>
      </c>
      <c r="C28" s="327">
        <v>245893440.00000003</v>
      </c>
      <c r="D28" s="222">
        <v>20</v>
      </c>
      <c r="E28" s="308">
        <v>18</v>
      </c>
      <c r="F28" s="169">
        <v>275566051.37560004</v>
      </c>
      <c r="G28" s="328">
        <v>319819.8198</v>
      </c>
      <c r="H28" s="327"/>
      <c r="I28" s="326">
        <f t="shared" si="20"/>
        <v>275246231.55580002</v>
      </c>
      <c r="J28" s="226">
        <f t="shared" si="21"/>
        <v>29352791.555799991</v>
      </c>
      <c r="K28" s="172">
        <f t="shared" si="22"/>
        <v>1.1193719993335325</v>
      </c>
      <c r="L28" s="369" t="str">
        <f t="shared" ref="L28:L32" si="26">IF(K28&gt;120%,"0,55%", IF(K28&gt;100%,"0,45%", IF(K28&gt;80%,"0,35%", IF(K28&gt;60%,"0,2%", 0))))</f>
        <v>0,45%</v>
      </c>
      <c r="M28" s="389">
        <v>1257428387.3196995</v>
      </c>
      <c r="O28" s="614"/>
      <c r="P28" s="325" t="s">
        <v>97</v>
      </c>
      <c r="Q28" s="173">
        <v>404352000</v>
      </c>
      <c r="R28" s="167">
        <v>16</v>
      </c>
      <c r="S28" s="308">
        <v>12</v>
      </c>
      <c r="T28" s="169">
        <v>318356779.28010011</v>
      </c>
      <c r="U28" s="174">
        <v>2815315.3155</v>
      </c>
      <c r="V28" s="173"/>
      <c r="W28" s="326">
        <f t="shared" si="23"/>
        <v>315541463.96460009</v>
      </c>
      <c r="X28" s="226">
        <f t="shared" si="24"/>
        <v>-88810536.035399914</v>
      </c>
      <c r="Y28" s="172">
        <f t="shared" si="25"/>
        <v>0.78036330712992663</v>
      </c>
      <c r="Z28" s="369" t="str">
        <f t="shared" ref="Z28:Z32" si="27">IF(Y28&gt;120%,"0,55%", IF(Y28&gt;100%,"0,45%", IF(Y28&gt;80%,"0,35%", IF(Y28&gt;60%,"0,2%", 0))))</f>
        <v>0,2%</v>
      </c>
    </row>
    <row r="29" spans="1:26" ht="14.5" customHeight="1" x14ac:dyDescent="0.35">
      <c r="A29" s="623"/>
      <c r="B29" s="325" t="s">
        <v>98</v>
      </c>
      <c r="C29" s="327">
        <v>173571840</v>
      </c>
      <c r="D29" s="222">
        <v>23</v>
      </c>
      <c r="E29" s="308">
        <v>21</v>
      </c>
      <c r="F29" s="169">
        <v>205048468.13529992</v>
      </c>
      <c r="G29" s="169">
        <v>1629279.2792</v>
      </c>
      <c r="H29" s="327"/>
      <c r="I29" s="326">
        <f t="shared" si="20"/>
        <v>203419188.85609993</v>
      </c>
      <c r="J29" s="226">
        <f t="shared" si="21"/>
        <v>29847348.856099933</v>
      </c>
      <c r="K29" s="172">
        <f t="shared" si="22"/>
        <v>1.1719596269538879</v>
      </c>
      <c r="L29" s="369" t="str">
        <f t="shared" si="26"/>
        <v>0,45%</v>
      </c>
      <c r="O29" s="614"/>
      <c r="P29" s="325" t="s">
        <v>98</v>
      </c>
      <c r="Q29" s="173">
        <v>202176000</v>
      </c>
      <c r="R29" s="167">
        <v>11</v>
      </c>
      <c r="S29" s="308">
        <v>11</v>
      </c>
      <c r="T29" s="169">
        <v>92525810.802100033</v>
      </c>
      <c r="U29" s="170">
        <v>9578828.8292999994</v>
      </c>
      <c r="V29" s="173"/>
      <c r="W29" s="326">
        <f t="shared" si="23"/>
        <v>82946981.972800031</v>
      </c>
      <c r="X29" s="226">
        <f t="shared" si="24"/>
        <v>-119229018.02719997</v>
      </c>
      <c r="Y29" s="172">
        <f t="shared" si="25"/>
        <v>0.41027115964704036</v>
      </c>
      <c r="Z29" s="369">
        <f t="shared" si="27"/>
        <v>0</v>
      </c>
    </row>
    <row r="30" spans="1:26" ht="14.5" customHeight="1" x14ac:dyDescent="0.35">
      <c r="A30" s="623"/>
      <c r="B30" s="325" t="s">
        <v>99</v>
      </c>
      <c r="C30" s="327">
        <v>188036160</v>
      </c>
      <c r="D30" s="222">
        <v>8</v>
      </c>
      <c r="E30" s="308">
        <v>8</v>
      </c>
      <c r="F30" s="169">
        <v>126220165.90989999</v>
      </c>
      <c r="G30" s="169"/>
      <c r="H30" s="327"/>
      <c r="I30" s="326">
        <f t="shared" si="20"/>
        <v>126220165.90989999</v>
      </c>
      <c r="J30" s="226">
        <f t="shared" si="21"/>
        <v>-61815994.090100005</v>
      </c>
      <c r="K30" s="172">
        <f t="shared" si="22"/>
        <v>0.6712547517982711</v>
      </c>
      <c r="L30" s="369" t="str">
        <f t="shared" si="26"/>
        <v>0,2%</v>
      </c>
      <c r="O30" s="614"/>
      <c r="P30" s="325" t="s">
        <v>99</v>
      </c>
      <c r="Q30" s="173">
        <v>148262400</v>
      </c>
      <c r="R30" s="167">
        <v>12</v>
      </c>
      <c r="S30" s="308">
        <v>13</v>
      </c>
      <c r="T30" s="169">
        <v>42230023.423799999</v>
      </c>
      <c r="U30" s="170">
        <v>5509414.4147000015</v>
      </c>
      <c r="V30" s="173"/>
      <c r="W30" s="326">
        <f t="shared" si="23"/>
        <v>36720609.009099998</v>
      </c>
      <c r="X30" s="226">
        <f t="shared" si="24"/>
        <v>-111541790.99090001</v>
      </c>
      <c r="Y30" s="172">
        <f t="shared" si="25"/>
        <v>0.24767310531260789</v>
      </c>
      <c r="Z30" s="369">
        <f t="shared" si="27"/>
        <v>0</v>
      </c>
    </row>
    <row r="31" spans="1:26" ht="14.5" customHeight="1" x14ac:dyDescent="0.35">
      <c r="A31" s="623"/>
      <c r="B31" s="325" t="s">
        <v>100</v>
      </c>
      <c r="C31" s="327">
        <v>159107520</v>
      </c>
      <c r="D31" s="222">
        <v>17</v>
      </c>
      <c r="E31" s="308">
        <v>14</v>
      </c>
      <c r="F31" s="169">
        <v>81474223.423400059</v>
      </c>
      <c r="G31" s="169"/>
      <c r="H31" s="327"/>
      <c r="I31" s="326">
        <f t="shared" si="20"/>
        <v>81474223.423400059</v>
      </c>
      <c r="J31" s="226">
        <f t="shared" si="21"/>
        <v>-77633296.576599941</v>
      </c>
      <c r="K31" s="172">
        <f t="shared" si="22"/>
        <v>0.51207022410631542</v>
      </c>
      <c r="L31" s="369">
        <f t="shared" si="26"/>
        <v>0</v>
      </c>
      <c r="O31" s="614"/>
      <c r="P31" s="325" t="s">
        <v>100</v>
      </c>
      <c r="Q31" s="173">
        <v>202176000</v>
      </c>
      <c r="R31" s="167">
        <v>14</v>
      </c>
      <c r="S31" s="308">
        <v>17</v>
      </c>
      <c r="T31" s="169">
        <v>120401131.98169999</v>
      </c>
      <c r="U31" s="170">
        <v>2894144.1442</v>
      </c>
      <c r="V31" s="173"/>
      <c r="W31" s="326">
        <f t="shared" si="23"/>
        <v>117506987.83749999</v>
      </c>
      <c r="X31" s="226">
        <f t="shared" si="24"/>
        <v>-84669012.162500009</v>
      </c>
      <c r="Y31" s="172">
        <f>W31/Q31</f>
        <v>0.58121135959510517</v>
      </c>
      <c r="Z31" s="369">
        <f t="shared" si="27"/>
        <v>0</v>
      </c>
    </row>
    <row r="32" spans="1:26" ht="14.5" customHeight="1" x14ac:dyDescent="0.35">
      <c r="A32" s="623"/>
      <c r="B32" s="325" t="s">
        <v>101</v>
      </c>
      <c r="C32" s="327">
        <v>318215040</v>
      </c>
      <c r="D32" s="222">
        <v>21</v>
      </c>
      <c r="E32" s="308">
        <v>16</v>
      </c>
      <c r="F32" s="169">
        <v>436998939.8592</v>
      </c>
      <c r="G32" s="169">
        <v>319819.8198</v>
      </c>
      <c r="H32" s="327"/>
      <c r="I32" s="326">
        <f t="shared" si="20"/>
        <v>436679120.03939998</v>
      </c>
      <c r="J32" s="226">
        <f t="shared" si="21"/>
        <v>118464080.03939998</v>
      </c>
      <c r="K32" s="172">
        <f t="shared" si="22"/>
        <v>1.3722768101702547</v>
      </c>
      <c r="L32" s="369" t="str">
        <f t="shared" si="26"/>
        <v>0,55%</v>
      </c>
      <c r="O32" s="614"/>
      <c r="P32" s="325" t="s">
        <v>101</v>
      </c>
      <c r="Q32" s="173">
        <v>161740800</v>
      </c>
      <c r="R32" s="167">
        <v>13</v>
      </c>
      <c r="S32" s="308">
        <v>12</v>
      </c>
      <c r="T32" s="169">
        <v>54976006.30659999</v>
      </c>
      <c r="U32" s="170">
        <v>7905405.4058999997</v>
      </c>
      <c r="V32" s="173"/>
      <c r="W32" s="326">
        <f t="shared" si="23"/>
        <v>47070600.900699988</v>
      </c>
      <c r="X32" s="226">
        <f t="shared" si="24"/>
        <v>-114670199.09930001</v>
      </c>
      <c r="Y32" s="172">
        <f t="shared" si="25"/>
        <v>0.2910249046666023</v>
      </c>
      <c r="Z32" s="369">
        <f t="shared" si="27"/>
        <v>0</v>
      </c>
    </row>
    <row r="33" spans="1:26" ht="14.5" customHeight="1" thickBot="1" x14ac:dyDescent="0.4">
      <c r="A33" s="623"/>
      <c r="B33" s="352" t="s">
        <v>77</v>
      </c>
      <c r="C33" s="329">
        <f t="shared" ref="C33:H33" si="28">SUM(C27:C32)</f>
        <v>1446432000</v>
      </c>
      <c r="D33" s="178">
        <f>SUM(D27:D32)</f>
        <v>104</v>
      </c>
      <c r="E33" s="178">
        <f>SUM(E27:E32)</f>
        <v>91</v>
      </c>
      <c r="F33" s="329">
        <f t="shared" si="28"/>
        <v>1613296230.2348003</v>
      </c>
      <c r="G33" s="330">
        <f t="shared" si="28"/>
        <v>2268918.9188000001</v>
      </c>
      <c r="H33" s="329">
        <f t="shared" si="28"/>
        <v>0</v>
      </c>
      <c r="I33" s="329">
        <f t="shared" si="20"/>
        <v>1611027311.3160002</v>
      </c>
      <c r="J33" s="329">
        <f t="shared" si="21"/>
        <v>164595311.31600022</v>
      </c>
      <c r="K33" s="305">
        <f t="shared" si="22"/>
        <v>1.1137940195709168</v>
      </c>
      <c r="L33" s="369" t="str">
        <f>IF(K33&gt;100%,"CAPAI 100%",IF(K33&gt;90%,"CAPAI 90%","BELUM CAPAI"))</f>
        <v>CAPAI 100%</v>
      </c>
      <c r="O33" s="615"/>
      <c r="P33" s="354" t="s">
        <v>77</v>
      </c>
      <c r="Q33" s="336">
        <f t="shared" ref="Q33:V33" si="29">SUM(Q27:Q32)</f>
        <v>1347840000</v>
      </c>
      <c r="R33" s="207">
        <f>SUM(R27:R32)</f>
        <v>82</v>
      </c>
      <c r="S33" s="207">
        <f t="shared" si="29"/>
        <v>75</v>
      </c>
      <c r="T33" s="336">
        <f>SUM(T27:T32)</f>
        <v>748402217.10960007</v>
      </c>
      <c r="U33" s="337">
        <f t="shared" si="29"/>
        <v>37216621.623500004</v>
      </c>
      <c r="V33" s="336">
        <f t="shared" si="29"/>
        <v>0</v>
      </c>
      <c r="W33" s="336">
        <f t="shared" si="23"/>
        <v>711185595.48610008</v>
      </c>
      <c r="X33" s="336">
        <f t="shared" si="24"/>
        <v>-636654404.51389992</v>
      </c>
      <c r="Y33" s="313">
        <f t="shared" si="25"/>
        <v>0.52764838221606425</v>
      </c>
      <c r="Z33" s="369" t="str">
        <f>IF(Y33&gt;100%,"CAPAI 100%",IF(Y33&gt;90%,"CAPAI 90%","BELUM CAPAI"))</f>
        <v>BELUM CAPAI</v>
      </c>
    </row>
    <row r="34" spans="1:26" ht="14.5" customHeight="1" x14ac:dyDescent="0.55000000000000004">
      <c r="B34" s="324" t="str">
        <f>$B$12</f>
        <v>TARGET Q1</v>
      </c>
      <c r="C34" s="243">
        <v>1301788800</v>
      </c>
      <c r="D34" s="597"/>
      <c r="E34" s="598"/>
      <c r="F34" s="598"/>
      <c r="G34" s="598"/>
      <c r="H34" s="599"/>
      <c r="I34" s="243">
        <f>I33</f>
        <v>1611027311.3160002</v>
      </c>
      <c r="J34" s="243">
        <f>I34-C34</f>
        <v>309238511.31600022</v>
      </c>
      <c r="K34" s="183">
        <f t="shared" si="22"/>
        <v>1.237548910634352</v>
      </c>
      <c r="O34" s="309"/>
      <c r="P34" s="324" t="str">
        <f>$B$12</f>
        <v>TARGET Q1</v>
      </c>
      <c r="Q34" s="243">
        <v>1213056000</v>
      </c>
      <c r="R34" s="597"/>
      <c r="S34" s="598"/>
      <c r="T34" s="598"/>
      <c r="U34" s="598"/>
      <c r="V34" s="599"/>
      <c r="W34" s="243">
        <f>W33</f>
        <v>711185595.48610008</v>
      </c>
      <c r="X34" s="243">
        <f>W34-Q34</f>
        <v>-501870404.51389992</v>
      </c>
      <c r="Y34" s="183">
        <f>W34/Q34</f>
        <v>0.58627598024007144</v>
      </c>
      <c r="Z34" s="192"/>
    </row>
    <row r="35" spans="1:26" ht="24" thickBot="1" x14ac:dyDescent="0.6">
      <c r="C35" s="210">
        <f>C34/C33</f>
        <v>0.9</v>
      </c>
      <c r="O35" s="309"/>
      <c r="Q35" s="210">
        <f>Q34/Q33</f>
        <v>0.9</v>
      </c>
    </row>
    <row r="36" spans="1:26" ht="19.5" customHeight="1" x14ac:dyDescent="0.35">
      <c r="A36" s="623">
        <v>4</v>
      </c>
      <c r="B36" s="352" t="s">
        <v>57</v>
      </c>
      <c r="C36" s="353" t="s">
        <v>108</v>
      </c>
      <c r="D36" s="616" t="s">
        <v>91</v>
      </c>
      <c r="E36" s="616" t="s">
        <v>62</v>
      </c>
      <c r="F36" s="604" t="s">
        <v>109</v>
      </c>
      <c r="G36" s="605"/>
      <c r="H36" s="605"/>
      <c r="I36" s="606"/>
      <c r="J36" s="621" t="s">
        <v>65</v>
      </c>
      <c r="K36" s="352" t="s">
        <v>66</v>
      </c>
      <c r="O36" s="607">
        <v>4</v>
      </c>
      <c r="P36" s="354" t="s">
        <v>57</v>
      </c>
      <c r="Q36" s="355" t="s">
        <v>53</v>
      </c>
      <c r="R36" s="591" t="s">
        <v>91</v>
      </c>
      <c r="S36" s="591" t="s">
        <v>62</v>
      </c>
      <c r="T36" s="610" t="s">
        <v>109</v>
      </c>
      <c r="U36" s="611"/>
      <c r="V36" s="611"/>
      <c r="W36" s="612"/>
      <c r="X36" s="603" t="s">
        <v>65</v>
      </c>
      <c r="Y36" s="354" t="s">
        <v>66</v>
      </c>
    </row>
    <row r="37" spans="1:26" ht="36" customHeight="1" x14ac:dyDescent="0.35">
      <c r="A37" s="623"/>
      <c r="B37" s="352" t="s">
        <v>93</v>
      </c>
      <c r="C37" s="353" t="str">
        <f>C26</f>
        <v>TARGET 100%</v>
      </c>
      <c r="D37" s="617"/>
      <c r="E37" s="617"/>
      <c r="F37" s="163" t="str">
        <f>F4</f>
        <v>OMSET FEB
 (1-28)</v>
      </c>
      <c r="G37" s="163" t="str">
        <f>G4</f>
        <v>OMSET PRODUK</v>
      </c>
      <c r="H37" s="353" t="s">
        <v>63</v>
      </c>
      <c r="I37" s="353" t="s">
        <v>64</v>
      </c>
      <c r="J37" s="622"/>
      <c r="K37" s="164">
        <f>K26</f>
        <v>1</v>
      </c>
      <c r="L37" s="214"/>
      <c r="M37" s="212"/>
      <c r="O37" s="608"/>
      <c r="P37" s="354" t="s">
        <v>93</v>
      </c>
      <c r="Q37" s="355" t="str">
        <f>Q26</f>
        <v>TARGET 100%</v>
      </c>
      <c r="R37" s="592"/>
      <c r="S37" s="592"/>
      <c r="T37" s="200" t="str">
        <f>T4</f>
        <v>OMSET FEB
 (1-28)</v>
      </c>
      <c r="U37" s="200" t="str">
        <f>G4</f>
        <v>OMSET PRODUK</v>
      </c>
      <c r="V37" s="355" t="s">
        <v>63</v>
      </c>
      <c r="W37" s="355" t="s">
        <v>64</v>
      </c>
      <c r="X37" s="603"/>
      <c r="Y37" s="201">
        <f>K37</f>
        <v>1</v>
      </c>
    </row>
    <row r="38" spans="1:26" x14ac:dyDescent="0.35">
      <c r="A38" s="623"/>
      <c r="B38" s="325" t="s">
        <v>96</v>
      </c>
      <c r="C38" s="326">
        <v>117237120.00000001</v>
      </c>
      <c r="D38" s="222">
        <v>20</v>
      </c>
      <c r="E38" s="308">
        <v>18</v>
      </c>
      <c r="F38" s="169">
        <v>126952817.11769997</v>
      </c>
      <c r="G38" s="169"/>
      <c r="H38" s="326"/>
      <c r="I38" s="326">
        <f t="shared" ref="I38:I44" si="30">F38-G38</f>
        <v>126952817.11769997</v>
      </c>
      <c r="J38" s="226">
        <f t="shared" ref="J38:J44" si="31">I38-C38</f>
        <v>9715697.1176999509</v>
      </c>
      <c r="K38" s="172">
        <f t="shared" ref="K38:K45" si="32">I38/C38</f>
        <v>1.0828721919960158</v>
      </c>
      <c r="L38" s="369" t="str">
        <f>IF(K38&gt;120%,"0,55%", IF(K38&gt;100%,"0,45%", IF(K38&gt;80%,"0,35%", IF(K38&gt;60%,"0,2%", 0))))</f>
        <v>0,45%</v>
      </c>
      <c r="M38" s="215"/>
      <c r="N38" s="216"/>
      <c r="O38" s="608"/>
      <c r="P38" s="325" t="s">
        <v>96</v>
      </c>
      <c r="Q38" s="166">
        <v>318240000</v>
      </c>
      <c r="R38" s="167">
        <v>10</v>
      </c>
      <c r="S38" s="308">
        <v>11</v>
      </c>
      <c r="T38" s="169">
        <v>272561089.54949993</v>
      </c>
      <c r="U38" s="170">
        <v>8702697.6578000002</v>
      </c>
      <c r="V38" s="166"/>
      <c r="W38" s="326">
        <f>T38-U38</f>
        <v>263858391.89169994</v>
      </c>
      <c r="X38" s="226">
        <f t="shared" ref="X38:X44" si="33">W38-Q38</f>
        <v>-54381608.10830006</v>
      </c>
      <c r="Y38" s="172">
        <f t="shared" ref="Y38:Y44" si="34">W38/Q38</f>
        <v>0.82911762158025371</v>
      </c>
      <c r="Z38" s="369" t="str">
        <f>IF(Y38&gt;120%,"0,55%", IF(Y38&gt;100%,"0,45%", IF(Y38&gt;80%,"0,35%", IF(Y38&gt;60%,"0,2%", 0))))</f>
        <v>0,35%</v>
      </c>
    </row>
    <row r="39" spans="1:26" x14ac:dyDescent="0.35">
      <c r="A39" s="623"/>
      <c r="B39" s="325" t="s">
        <v>97</v>
      </c>
      <c r="C39" s="327">
        <v>502444800</v>
      </c>
      <c r="D39" s="222">
        <v>13</v>
      </c>
      <c r="E39" s="308">
        <v>13</v>
      </c>
      <c r="F39" s="169">
        <v>462006062.16330004</v>
      </c>
      <c r="G39" s="328">
        <v>3198198.1982</v>
      </c>
      <c r="H39" s="327"/>
      <c r="I39" s="326">
        <f t="shared" si="30"/>
        <v>458807863.96510005</v>
      </c>
      <c r="J39" s="226">
        <f t="shared" si="31"/>
        <v>-43636936.03489995</v>
      </c>
      <c r="K39" s="172">
        <f t="shared" si="32"/>
        <v>0.91315078584771914</v>
      </c>
      <c r="L39" s="369" t="str">
        <f t="shared" ref="L39:L43" si="35">IF(K39&gt;120%,"0,55%", IF(K39&gt;100%,"0,45%", IF(K39&gt;80%,"0,35%", IF(K39&gt;60%,"0,2%", 0))))</f>
        <v>0,35%</v>
      </c>
      <c r="M39" s="215"/>
      <c r="N39" s="216"/>
      <c r="O39" s="608"/>
      <c r="P39" s="325" t="s">
        <v>97</v>
      </c>
      <c r="Q39" s="173">
        <v>187200000</v>
      </c>
      <c r="R39" s="167">
        <v>9</v>
      </c>
      <c r="S39" s="308">
        <v>7</v>
      </c>
      <c r="T39" s="169">
        <v>30266518.423500001</v>
      </c>
      <c r="U39" s="174">
        <v>3623873.1532000001</v>
      </c>
      <c r="V39" s="173"/>
      <c r="W39" s="326">
        <f>T39-U39</f>
        <v>26642645.270300001</v>
      </c>
      <c r="X39" s="226">
        <f t="shared" si="33"/>
        <v>-160557354.7297</v>
      </c>
      <c r="Y39" s="172">
        <f t="shared" si="34"/>
        <v>0.14232182302510685</v>
      </c>
      <c r="Z39" s="369">
        <f t="shared" ref="Z39:Z43" si="36">IF(Y39&gt;120%,"0,55%", IF(Y39&gt;100%,"0,45%", IF(Y39&gt;80%,"0,35%", IF(Y39&gt;60%,"0,2%", 0))))</f>
        <v>0</v>
      </c>
    </row>
    <row r="40" spans="1:26" x14ac:dyDescent="0.35">
      <c r="A40" s="623"/>
      <c r="B40" s="325" t="s">
        <v>98</v>
      </c>
      <c r="C40" s="327">
        <v>485696639.99999994</v>
      </c>
      <c r="D40" s="222">
        <v>15</v>
      </c>
      <c r="E40" s="308">
        <v>14</v>
      </c>
      <c r="F40" s="169">
        <v>381649690.86530018</v>
      </c>
      <c r="G40" s="169">
        <v>1297297.2971999999</v>
      </c>
      <c r="H40" s="327"/>
      <c r="I40" s="326">
        <f t="shared" si="30"/>
        <v>380352393.56810015</v>
      </c>
      <c r="J40" s="226">
        <f t="shared" si="31"/>
        <v>-105344246.43189979</v>
      </c>
      <c r="K40" s="172">
        <f t="shared" si="32"/>
        <v>0.78310690715937459</v>
      </c>
      <c r="L40" s="369" t="str">
        <f t="shared" si="35"/>
        <v>0,2%</v>
      </c>
      <c r="M40" s="215"/>
      <c r="N40" s="216"/>
      <c r="O40" s="608"/>
      <c r="P40" s="325" t="s">
        <v>98</v>
      </c>
      <c r="Q40" s="173">
        <v>299520000</v>
      </c>
      <c r="R40" s="167">
        <v>14</v>
      </c>
      <c r="S40" s="308">
        <v>12</v>
      </c>
      <c r="T40" s="169">
        <v>129096621.62159997</v>
      </c>
      <c r="U40" s="170">
        <v>40250000.000100009</v>
      </c>
      <c r="V40" s="173"/>
      <c r="W40" s="326">
        <f t="shared" ref="W40:W44" si="37">T40-U40</f>
        <v>88846621.621499956</v>
      </c>
      <c r="X40" s="226">
        <f t="shared" si="33"/>
        <v>-210673378.37850004</v>
      </c>
      <c r="Y40" s="172">
        <f t="shared" si="34"/>
        <v>0.29663001342648221</v>
      </c>
      <c r="Z40" s="369">
        <f t="shared" si="36"/>
        <v>0</v>
      </c>
    </row>
    <row r="41" spans="1:26" x14ac:dyDescent="0.35">
      <c r="A41" s="623"/>
      <c r="B41" s="325" t="s">
        <v>99</v>
      </c>
      <c r="C41" s="327">
        <v>217726080</v>
      </c>
      <c r="D41" s="222">
        <v>14</v>
      </c>
      <c r="E41" s="308">
        <v>13</v>
      </c>
      <c r="F41" s="169">
        <v>204074260.34279984</v>
      </c>
      <c r="G41" s="169"/>
      <c r="H41" s="327"/>
      <c r="I41" s="326">
        <f t="shared" si="30"/>
        <v>204074260.34279984</v>
      </c>
      <c r="J41" s="226">
        <f t="shared" si="31"/>
        <v>-13651819.657200158</v>
      </c>
      <c r="K41" s="172">
        <f t="shared" si="32"/>
        <v>0.9372981883603464</v>
      </c>
      <c r="L41" s="369" t="str">
        <f t="shared" si="35"/>
        <v>0,35%</v>
      </c>
      <c r="M41" s="215"/>
      <c r="N41" s="216"/>
      <c r="O41" s="608"/>
      <c r="P41" s="325" t="s">
        <v>99</v>
      </c>
      <c r="Q41" s="173">
        <v>655200000</v>
      </c>
      <c r="R41" s="167">
        <v>19</v>
      </c>
      <c r="S41" s="308">
        <v>16</v>
      </c>
      <c r="T41" s="169">
        <v>665513243.60520005</v>
      </c>
      <c r="U41" s="170">
        <v>82506756.757800058</v>
      </c>
      <c r="V41" s="173"/>
      <c r="W41" s="326">
        <f t="shared" si="37"/>
        <v>583006486.84739995</v>
      </c>
      <c r="X41" s="226">
        <f t="shared" si="33"/>
        <v>-72193513.15260005</v>
      </c>
      <c r="Y41" s="172">
        <f t="shared" si="34"/>
        <v>0.88981454036538454</v>
      </c>
      <c r="Z41" s="369" t="str">
        <f t="shared" si="36"/>
        <v>0,35%</v>
      </c>
    </row>
    <row r="42" spans="1:26" x14ac:dyDescent="0.35">
      <c r="A42" s="623"/>
      <c r="B42" s="325" t="s">
        <v>100</v>
      </c>
      <c r="C42" s="327">
        <v>167481600</v>
      </c>
      <c r="D42" s="222">
        <v>13</v>
      </c>
      <c r="E42" s="308">
        <v>10</v>
      </c>
      <c r="F42" s="169">
        <v>104190758.109</v>
      </c>
      <c r="G42" s="169"/>
      <c r="H42" s="327"/>
      <c r="I42" s="326">
        <f t="shared" si="30"/>
        <v>104190758.109</v>
      </c>
      <c r="J42" s="226">
        <f t="shared" si="31"/>
        <v>-63290841.891000003</v>
      </c>
      <c r="K42" s="172">
        <f t="shared" si="32"/>
        <v>0.62210271521767169</v>
      </c>
      <c r="L42" s="369" t="str">
        <f t="shared" si="35"/>
        <v>0,2%</v>
      </c>
      <c r="M42" s="215"/>
      <c r="N42" s="216"/>
      <c r="O42" s="608"/>
      <c r="P42" s="325" t="s">
        <v>100</v>
      </c>
      <c r="Q42" s="173">
        <v>224640000</v>
      </c>
      <c r="R42" s="167">
        <v>10</v>
      </c>
      <c r="S42" s="308">
        <v>11</v>
      </c>
      <c r="T42" s="169">
        <v>170229527.02739999</v>
      </c>
      <c r="U42" s="170">
        <v>30022522.523199998</v>
      </c>
      <c r="V42" s="173"/>
      <c r="W42" s="326">
        <f t="shared" si="37"/>
        <v>140207004.50419998</v>
      </c>
      <c r="X42" s="226">
        <f t="shared" si="33"/>
        <v>-84432995.495800018</v>
      </c>
      <c r="Y42" s="172">
        <f t="shared" si="34"/>
        <v>0.62414086762909537</v>
      </c>
      <c r="Z42" s="369" t="str">
        <f t="shared" si="36"/>
        <v>0,2%</v>
      </c>
    </row>
    <row r="43" spans="1:26" x14ac:dyDescent="0.35">
      <c r="A43" s="623"/>
      <c r="B43" s="325" t="s">
        <v>101</v>
      </c>
      <c r="C43" s="327">
        <v>184229760</v>
      </c>
      <c r="D43" s="222">
        <v>17</v>
      </c>
      <c r="E43" s="308">
        <v>14</v>
      </c>
      <c r="F43" s="169">
        <v>179242191.61960003</v>
      </c>
      <c r="G43" s="169"/>
      <c r="H43" s="327"/>
      <c r="I43" s="326">
        <f t="shared" si="30"/>
        <v>179242191.61960003</v>
      </c>
      <c r="J43" s="226">
        <f t="shared" si="31"/>
        <v>-4987568.3803999722</v>
      </c>
      <c r="K43" s="172">
        <f t="shared" si="32"/>
        <v>0.97292745547516335</v>
      </c>
      <c r="L43" s="369" t="str">
        <f t="shared" si="35"/>
        <v>0,35%</v>
      </c>
      <c r="M43" s="215"/>
      <c r="N43" s="216"/>
      <c r="O43" s="608"/>
      <c r="P43" s="325" t="s">
        <v>101</v>
      </c>
      <c r="Q43" s="173">
        <v>187200000</v>
      </c>
      <c r="R43" s="167">
        <v>7</v>
      </c>
      <c r="S43" s="308">
        <v>6</v>
      </c>
      <c r="T43" s="169">
        <v>104132117.47729999</v>
      </c>
      <c r="U43" s="170"/>
      <c r="V43" s="173"/>
      <c r="W43" s="326">
        <f t="shared" si="37"/>
        <v>104132117.47729999</v>
      </c>
      <c r="X43" s="226">
        <f t="shared" si="33"/>
        <v>-83067882.522700012</v>
      </c>
      <c r="Y43" s="172">
        <f t="shared" si="34"/>
        <v>0.55626131131036316</v>
      </c>
      <c r="Z43" s="369">
        <f t="shared" si="36"/>
        <v>0</v>
      </c>
    </row>
    <row r="44" spans="1:26" ht="14.5" customHeight="1" thickBot="1" x14ac:dyDescent="0.4">
      <c r="A44" s="623"/>
      <c r="B44" s="352" t="s">
        <v>77</v>
      </c>
      <c r="C44" s="329">
        <f>SUM(C38:C43)</f>
        <v>1674816000</v>
      </c>
      <c r="D44" s="178">
        <f>SUM(D38:D43)</f>
        <v>92</v>
      </c>
      <c r="E44" s="178">
        <f t="shared" ref="E44:H44" si="38">SUM(E38:E43)</f>
        <v>82</v>
      </c>
      <c r="F44" s="329">
        <f>SUM(F38:F43)</f>
        <v>1458115780.2177</v>
      </c>
      <c r="G44" s="330">
        <f>SUM(G38:G43)</f>
        <v>4495495.4954000004</v>
      </c>
      <c r="H44" s="329">
        <f t="shared" si="38"/>
        <v>0</v>
      </c>
      <c r="I44" s="329">
        <f t="shared" si="30"/>
        <v>1453620284.7223001</v>
      </c>
      <c r="J44" s="329">
        <f t="shared" si="31"/>
        <v>-221195715.27769995</v>
      </c>
      <c r="K44" s="305">
        <f t="shared" si="32"/>
        <v>0.86792834838113564</v>
      </c>
      <c r="L44" s="369" t="str">
        <f>IF(K44&gt;100%,"CAPAI 100%",IF(K44&gt;90%,"CAPAI 90%","BELUM CAPAI"))</f>
        <v>BELUM CAPAI</v>
      </c>
      <c r="O44" s="609"/>
      <c r="P44" s="354" t="s">
        <v>77</v>
      </c>
      <c r="Q44" s="336">
        <f t="shared" ref="Q44:V44" si="39">SUM(Q38:Q43)</f>
        <v>1872000000</v>
      </c>
      <c r="R44" s="207">
        <f>SUM(R38:R43)</f>
        <v>69</v>
      </c>
      <c r="S44" s="207">
        <f t="shared" si="39"/>
        <v>63</v>
      </c>
      <c r="T44" s="336">
        <f t="shared" si="39"/>
        <v>1371799117.7045</v>
      </c>
      <c r="U44" s="337">
        <f>SUM(U38:U43)</f>
        <v>165105850.09210005</v>
      </c>
      <c r="V44" s="336">
        <f t="shared" si="39"/>
        <v>0</v>
      </c>
      <c r="W44" s="336">
        <f t="shared" si="37"/>
        <v>1206693267.6123998</v>
      </c>
      <c r="X44" s="336">
        <f t="shared" si="33"/>
        <v>-665306732.38760018</v>
      </c>
      <c r="Y44" s="313">
        <f t="shared" si="34"/>
        <v>0.64460110449380337</v>
      </c>
      <c r="Z44" s="369" t="str">
        <f>IF(Y44&gt;100%,"CAPAI 100%",IF(Y44&gt;90%,"CAPAI 90%","BELUM CAPAI"))</f>
        <v>BELUM CAPAI</v>
      </c>
    </row>
    <row r="45" spans="1:26" ht="14.5" customHeight="1" x14ac:dyDescent="0.55000000000000004">
      <c r="B45" s="324" t="str">
        <f>$B$12</f>
        <v>TARGET Q1</v>
      </c>
      <c r="C45" s="243">
        <v>1507334400</v>
      </c>
      <c r="D45" s="597"/>
      <c r="E45" s="598"/>
      <c r="F45" s="598"/>
      <c r="G45" s="598"/>
      <c r="H45" s="599"/>
      <c r="I45" s="243">
        <f>I44</f>
        <v>1453620284.7223001</v>
      </c>
      <c r="J45" s="243">
        <f>I45-C45</f>
        <v>-53714115.277699947</v>
      </c>
      <c r="K45" s="183">
        <f t="shared" si="32"/>
        <v>0.96436483153459518</v>
      </c>
      <c r="O45" s="309"/>
      <c r="P45" s="324" t="str">
        <f>$B$12</f>
        <v>TARGET Q1</v>
      </c>
      <c r="Q45" s="243">
        <v>1684800000</v>
      </c>
      <c r="R45" s="597"/>
      <c r="S45" s="598"/>
      <c r="T45" s="598"/>
      <c r="U45" s="598"/>
      <c r="V45" s="599"/>
      <c r="W45" s="243">
        <f>W44</f>
        <v>1206693267.6123998</v>
      </c>
      <c r="X45" s="243">
        <f>W45-Q45</f>
        <v>-478106732.38760018</v>
      </c>
      <c r="Y45" s="183">
        <f>W45/Q45</f>
        <v>0.71622344943755922</v>
      </c>
      <c r="Z45" s="192"/>
    </row>
    <row r="46" spans="1:26" ht="24" thickBot="1" x14ac:dyDescent="0.6">
      <c r="C46" s="210">
        <f>C45/C44</f>
        <v>0.9</v>
      </c>
      <c r="O46" s="309"/>
      <c r="Q46" s="210">
        <f>Q45/Q44</f>
        <v>0.9</v>
      </c>
    </row>
    <row r="47" spans="1:26" ht="19.5" customHeight="1" x14ac:dyDescent="0.35">
      <c r="A47" s="627">
        <v>5</v>
      </c>
      <c r="B47" s="352" t="s">
        <v>57</v>
      </c>
      <c r="C47" s="353" t="s">
        <v>35</v>
      </c>
      <c r="D47" s="616" t="s">
        <v>91</v>
      </c>
      <c r="E47" s="616" t="s">
        <v>62</v>
      </c>
      <c r="F47" s="604" t="s">
        <v>110</v>
      </c>
      <c r="G47" s="605"/>
      <c r="H47" s="605"/>
      <c r="I47" s="606"/>
      <c r="J47" s="587" t="s">
        <v>65</v>
      </c>
      <c r="K47" s="352" t="s">
        <v>66</v>
      </c>
      <c r="O47" s="613">
        <v>5</v>
      </c>
      <c r="P47" s="354" t="s">
        <v>57</v>
      </c>
      <c r="Q47" s="355" t="s">
        <v>111</v>
      </c>
      <c r="R47" s="591" t="s">
        <v>91</v>
      </c>
      <c r="S47" s="591" t="s">
        <v>62</v>
      </c>
      <c r="T47" s="610" t="s">
        <v>110</v>
      </c>
      <c r="U47" s="611"/>
      <c r="V47" s="611"/>
      <c r="W47" s="612"/>
      <c r="X47" s="603" t="s">
        <v>65</v>
      </c>
      <c r="Y47" s="354" t="s">
        <v>66</v>
      </c>
    </row>
    <row r="48" spans="1:26" ht="36" customHeight="1" x14ac:dyDescent="0.35">
      <c r="A48" s="628"/>
      <c r="B48" s="352" t="s">
        <v>93</v>
      </c>
      <c r="C48" s="353" t="str">
        <f>C37</f>
        <v>TARGET 100%</v>
      </c>
      <c r="D48" s="617"/>
      <c r="E48" s="617"/>
      <c r="F48" s="163" t="str">
        <f>F4</f>
        <v>OMSET FEB
 (1-28)</v>
      </c>
      <c r="G48" s="163" t="str">
        <f>G4</f>
        <v>OMSET PRODUK</v>
      </c>
      <c r="H48" s="353" t="s">
        <v>63</v>
      </c>
      <c r="I48" s="353" t="s">
        <v>64</v>
      </c>
      <c r="J48" s="587"/>
      <c r="K48" s="164">
        <f>K37</f>
        <v>1</v>
      </c>
      <c r="L48" s="211"/>
      <c r="M48" s="212"/>
      <c r="O48" s="614"/>
      <c r="P48" s="354" t="s">
        <v>93</v>
      </c>
      <c r="Q48" s="355" t="str">
        <f>Q37</f>
        <v>TARGET 100%</v>
      </c>
      <c r="R48" s="592"/>
      <c r="S48" s="592"/>
      <c r="T48" s="200" t="str">
        <f>T4</f>
        <v>OMSET FEB
 (1-28)</v>
      </c>
      <c r="U48" s="200" t="str">
        <f>G4</f>
        <v>OMSET PRODUK</v>
      </c>
      <c r="V48" s="355" t="s">
        <v>63</v>
      </c>
      <c r="W48" s="355" t="s">
        <v>64</v>
      </c>
      <c r="X48" s="603"/>
      <c r="Y48" s="201">
        <f>K48</f>
        <v>1</v>
      </c>
    </row>
    <row r="49" spans="1:26" ht="14.5" customHeight="1" x14ac:dyDescent="0.35">
      <c r="A49" s="628"/>
      <c r="B49" s="325" t="s">
        <v>96</v>
      </c>
      <c r="C49" s="326">
        <v>159868800</v>
      </c>
      <c r="D49" s="222">
        <v>19</v>
      </c>
      <c r="E49" s="308">
        <v>16</v>
      </c>
      <c r="F49" s="169">
        <v>170828088.69059995</v>
      </c>
      <c r="G49" s="169"/>
      <c r="H49" s="326"/>
      <c r="I49" s="326">
        <f t="shared" ref="I49:I55" si="40">F49-G49</f>
        <v>170828088.69059995</v>
      </c>
      <c r="J49" s="226">
        <f t="shared" ref="J49:J55" si="41">I49-C49</f>
        <v>10959288.690599948</v>
      </c>
      <c r="K49" s="172">
        <f t="shared" ref="K49:K56" si="42">I49/C49</f>
        <v>1.0685517667649971</v>
      </c>
      <c r="L49" s="369" t="str">
        <f>IF(K49&gt;120%,"0,55%", IF(K49&gt;100%,"0,45%", IF(K49&gt;80%,"0,35%", IF(K49&gt;60%,"0,2%", 0))))</f>
        <v>0,45%</v>
      </c>
      <c r="O49" s="614"/>
      <c r="P49" s="325" t="s">
        <v>96</v>
      </c>
      <c r="Q49" s="166">
        <v>688896000</v>
      </c>
      <c r="R49" s="167">
        <v>28</v>
      </c>
      <c r="S49" s="308">
        <v>18</v>
      </c>
      <c r="T49" s="169">
        <v>844958470.72089994</v>
      </c>
      <c r="U49" s="170"/>
      <c r="V49" s="166"/>
      <c r="W49" s="326">
        <f t="shared" ref="W49:W55" si="43">T49-U49</f>
        <v>844958470.72089994</v>
      </c>
      <c r="X49" s="226">
        <f t="shared" ref="X49:X55" si="44">W49-Q49</f>
        <v>156062470.72089994</v>
      </c>
      <c r="Y49" s="172">
        <f t="shared" ref="Y49:Y55" si="45">W49/Q49</f>
        <v>1.226539957730775</v>
      </c>
      <c r="Z49" s="369" t="str">
        <f>IF(Y49&gt;120%,"0,55%", IF(Y49&gt;100%,"0,45%", IF(Y49&gt;80%,"0,35%", IF(Y49&gt;60%,"0,2%", 0))))</f>
        <v>0,55%</v>
      </c>
    </row>
    <row r="50" spans="1:26" ht="14.5" customHeight="1" x14ac:dyDescent="0.35">
      <c r="A50" s="628"/>
      <c r="B50" s="325" t="s">
        <v>97</v>
      </c>
      <c r="C50" s="327">
        <v>623488320</v>
      </c>
      <c r="D50" s="222">
        <v>36</v>
      </c>
      <c r="E50" s="308">
        <v>28</v>
      </c>
      <c r="F50" s="169">
        <v>714498489.62870002</v>
      </c>
      <c r="G50" s="328">
        <v>7446396.3964</v>
      </c>
      <c r="H50" s="327"/>
      <c r="I50" s="326">
        <f t="shared" si="40"/>
        <v>707052093.23230004</v>
      </c>
      <c r="J50" s="226">
        <f t="shared" si="41"/>
        <v>83563773.232300043</v>
      </c>
      <c r="K50" s="172">
        <f t="shared" si="42"/>
        <v>1.1340262047447818</v>
      </c>
      <c r="L50" s="369" t="str">
        <f t="shared" ref="L50:L54" si="46">IF(K50&gt;120%,"0,55%", IF(K50&gt;100%,"0,45%", IF(K50&gt;80%,"0,35%", IF(K50&gt;60%,"0,2%", 0))))</f>
        <v>0,45%</v>
      </c>
      <c r="N50" s="216"/>
      <c r="O50" s="614"/>
      <c r="P50" s="325" t="s">
        <v>97</v>
      </c>
      <c r="Q50" s="173">
        <v>310003200</v>
      </c>
      <c r="R50" s="167">
        <v>14</v>
      </c>
      <c r="S50" s="308">
        <v>11</v>
      </c>
      <c r="T50" s="169">
        <v>111878001.36940004</v>
      </c>
      <c r="U50" s="174"/>
      <c r="V50" s="173"/>
      <c r="W50" s="326">
        <f t="shared" si="43"/>
        <v>111878001.36940004</v>
      </c>
      <c r="X50" s="226">
        <f t="shared" si="44"/>
        <v>-198125198.63059998</v>
      </c>
      <c r="Y50" s="172">
        <f t="shared" si="45"/>
        <v>0.36089305326332127</v>
      </c>
      <c r="Z50" s="369">
        <f t="shared" ref="Z50:Z54" si="47">IF(Y50&gt;120%,"0,55%", IF(Y50&gt;100%,"0,45%", IF(Y50&gt;80%,"0,35%", IF(Y50&gt;60%,"0,2%", 0))))</f>
        <v>0</v>
      </c>
    </row>
    <row r="51" spans="1:26" ht="14.5" customHeight="1" x14ac:dyDescent="0.35">
      <c r="A51" s="628"/>
      <c r="B51" s="325" t="s">
        <v>98</v>
      </c>
      <c r="C51" s="327">
        <v>335724480</v>
      </c>
      <c r="D51" s="222">
        <v>21</v>
      </c>
      <c r="E51" s="308">
        <v>23</v>
      </c>
      <c r="F51" s="169">
        <v>374000987.38019997</v>
      </c>
      <c r="G51" s="169">
        <v>319819.8198</v>
      </c>
      <c r="H51" s="327"/>
      <c r="I51" s="326">
        <f t="shared" si="40"/>
        <v>373681167.56039995</v>
      </c>
      <c r="J51" s="226">
        <f t="shared" si="41"/>
        <v>37956687.56039995</v>
      </c>
      <c r="K51" s="172">
        <f t="shared" si="42"/>
        <v>1.1130590404381591</v>
      </c>
      <c r="L51" s="369" t="str">
        <f t="shared" si="46"/>
        <v>0,45%</v>
      </c>
      <c r="M51" s="191"/>
      <c r="N51" s="216"/>
      <c r="O51" s="614"/>
      <c r="P51" s="325" t="s">
        <v>98</v>
      </c>
      <c r="Q51" s="173">
        <v>172224000</v>
      </c>
      <c r="R51" s="167">
        <v>14</v>
      </c>
      <c r="S51" s="308">
        <v>10</v>
      </c>
      <c r="T51" s="169">
        <v>94770536.036599979</v>
      </c>
      <c r="U51" s="170">
        <v>28749414.415199999</v>
      </c>
      <c r="V51" s="173"/>
      <c r="W51" s="326">
        <f t="shared" si="43"/>
        <v>66021121.621399984</v>
      </c>
      <c r="X51" s="226">
        <f t="shared" si="44"/>
        <v>-106202878.37860002</v>
      </c>
      <c r="Y51" s="172">
        <f t="shared" si="45"/>
        <v>0.38334449101983453</v>
      </c>
      <c r="Z51" s="369">
        <f t="shared" si="47"/>
        <v>0</v>
      </c>
    </row>
    <row r="52" spans="1:26" ht="14.5" customHeight="1" x14ac:dyDescent="0.35">
      <c r="A52" s="628"/>
      <c r="B52" s="325" t="s">
        <v>99</v>
      </c>
      <c r="C52" s="327">
        <v>207829440</v>
      </c>
      <c r="D52" s="222">
        <v>18</v>
      </c>
      <c r="E52" s="308">
        <v>15</v>
      </c>
      <c r="F52" s="169">
        <v>232015740.76469997</v>
      </c>
      <c r="G52" s="169">
        <v>319819.8198</v>
      </c>
      <c r="H52" s="327"/>
      <c r="I52" s="326">
        <f t="shared" si="40"/>
        <v>231695920.94489998</v>
      </c>
      <c r="J52" s="226">
        <f t="shared" si="41"/>
        <v>23866480.944899976</v>
      </c>
      <c r="K52" s="172">
        <f t="shared" si="42"/>
        <v>1.1148368630782048</v>
      </c>
      <c r="L52" s="369" t="str">
        <f t="shared" si="46"/>
        <v>0,45%</v>
      </c>
      <c r="N52" s="216"/>
      <c r="O52" s="614"/>
      <c r="P52" s="325" t="s">
        <v>99</v>
      </c>
      <c r="Q52" s="173">
        <v>172224000</v>
      </c>
      <c r="R52" s="167">
        <v>13</v>
      </c>
      <c r="S52" s="308">
        <v>11</v>
      </c>
      <c r="T52" s="169">
        <v>80476247.746899992</v>
      </c>
      <c r="U52" s="170">
        <v>4563063.0631999997</v>
      </c>
      <c r="V52" s="173"/>
      <c r="W52" s="326">
        <f t="shared" si="43"/>
        <v>75913184.683699995</v>
      </c>
      <c r="X52" s="226">
        <f t="shared" si="44"/>
        <v>-96310815.316300005</v>
      </c>
      <c r="Y52" s="172">
        <f t="shared" si="45"/>
        <v>0.440781683642814</v>
      </c>
      <c r="Z52" s="369">
        <f t="shared" si="47"/>
        <v>0</v>
      </c>
    </row>
    <row r="53" spans="1:26" ht="14.5" customHeight="1" x14ac:dyDescent="0.35">
      <c r="A53" s="628"/>
      <c r="B53" s="325" t="s">
        <v>100</v>
      </c>
      <c r="C53" s="327">
        <v>111908160.00000001</v>
      </c>
      <c r="D53" s="222">
        <v>17</v>
      </c>
      <c r="E53" s="308">
        <v>12</v>
      </c>
      <c r="F53" s="169">
        <v>79096906.957099989</v>
      </c>
      <c r="G53" s="169"/>
      <c r="H53" s="327"/>
      <c r="I53" s="326">
        <f t="shared" si="40"/>
        <v>79096906.957099989</v>
      </c>
      <c r="J53" s="226">
        <f t="shared" si="41"/>
        <v>-32811253.042900026</v>
      </c>
      <c r="K53" s="172">
        <f t="shared" si="42"/>
        <v>0.70680196115368155</v>
      </c>
      <c r="L53" s="369" t="str">
        <f t="shared" si="46"/>
        <v>0,2%</v>
      </c>
      <c r="N53" s="216"/>
      <c r="O53" s="614"/>
      <c r="P53" s="325" t="s">
        <v>100</v>
      </c>
      <c r="Q53" s="173">
        <v>189446400</v>
      </c>
      <c r="R53" s="167">
        <v>12</v>
      </c>
      <c r="S53" s="308">
        <v>11</v>
      </c>
      <c r="T53" s="169">
        <v>108496081.081</v>
      </c>
      <c r="U53" s="170">
        <v>2835585.5857000002</v>
      </c>
      <c r="V53" s="173"/>
      <c r="W53" s="326">
        <f t="shared" si="43"/>
        <v>105660495.49529999</v>
      </c>
      <c r="X53" s="226">
        <f t="shared" si="44"/>
        <v>-83785904.504700005</v>
      </c>
      <c r="Y53" s="172">
        <f t="shared" si="45"/>
        <v>0.5577329286558097</v>
      </c>
      <c r="Z53" s="369">
        <f t="shared" si="47"/>
        <v>0</v>
      </c>
    </row>
    <row r="54" spans="1:26" ht="14.5" customHeight="1" x14ac:dyDescent="0.35">
      <c r="A54" s="628"/>
      <c r="B54" s="325" t="s">
        <v>101</v>
      </c>
      <c r="C54" s="327">
        <v>159868800</v>
      </c>
      <c r="D54" s="222">
        <v>14</v>
      </c>
      <c r="E54" s="308">
        <v>13</v>
      </c>
      <c r="F54" s="169">
        <v>130409352.70299995</v>
      </c>
      <c r="G54" s="169"/>
      <c r="H54" s="327"/>
      <c r="I54" s="326">
        <f t="shared" si="40"/>
        <v>130409352.70299995</v>
      </c>
      <c r="J54" s="226">
        <f t="shared" si="41"/>
        <v>-29459447.297000051</v>
      </c>
      <c r="K54" s="172">
        <f t="shared" si="42"/>
        <v>0.81572735082142322</v>
      </c>
      <c r="L54" s="369" t="str">
        <f t="shared" si="46"/>
        <v>0,35%</v>
      </c>
      <c r="N54" s="216"/>
      <c r="O54" s="614"/>
      <c r="P54" s="325" t="s">
        <v>101</v>
      </c>
      <c r="Q54" s="173">
        <v>189446400</v>
      </c>
      <c r="R54" s="167">
        <v>11</v>
      </c>
      <c r="S54" s="308">
        <v>11</v>
      </c>
      <c r="T54" s="169">
        <v>59401914.864599988</v>
      </c>
      <c r="U54" s="170"/>
      <c r="V54" s="173"/>
      <c r="W54" s="326">
        <f t="shared" si="43"/>
        <v>59401914.864599988</v>
      </c>
      <c r="X54" s="226">
        <f t="shared" si="44"/>
        <v>-130044485.13540001</v>
      </c>
      <c r="Y54" s="172">
        <f t="shared" si="45"/>
        <v>0.31355525818701219</v>
      </c>
      <c r="Z54" s="369">
        <f t="shared" si="47"/>
        <v>0</v>
      </c>
    </row>
    <row r="55" spans="1:26" ht="14.5" customHeight="1" thickBot="1" x14ac:dyDescent="0.4">
      <c r="A55" s="628"/>
      <c r="B55" s="352" t="s">
        <v>77</v>
      </c>
      <c r="C55" s="329">
        <f t="shared" ref="C55:H55" si="48">SUM(C49:C54)</f>
        <v>1598688000</v>
      </c>
      <c r="D55" s="178">
        <f t="shared" si="48"/>
        <v>125</v>
      </c>
      <c r="E55" s="178">
        <f t="shared" si="48"/>
        <v>107</v>
      </c>
      <c r="F55" s="329">
        <f t="shared" si="48"/>
        <v>1700849566.1242995</v>
      </c>
      <c r="G55" s="330">
        <f t="shared" si="48"/>
        <v>8086036.0359999994</v>
      </c>
      <c r="H55" s="329">
        <f t="shared" si="48"/>
        <v>0</v>
      </c>
      <c r="I55" s="329">
        <f t="shared" si="40"/>
        <v>1692763530.0882995</v>
      </c>
      <c r="J55" s="329">
        <f t="shared" si="41"/>
        <v>94075530.088299513</v>
      </c>
      <c r="K55" s="305">
        <f t="shared" si="42"/>
        <v>1.0588454595820445</v>
      </c>
      <c r="L55" s="369" t="str">
        <f>IF(K55&gt;100%,"CAPAI 100%",IF(K55&gt;90%,"CAPAI 90%","BELUM CAPAI"))</f>
        <v>CAPAI 100%</v>
      </c>
      <c r="O55" s="615"/>
      <c r="P55" s="354" t="s">
        <v>77</v>
      </c>
      <c r="Q55" s="336">
        <f t="shared" ref="Q55:V55" si="49">SUM(Q49:Q54)</f>
        <v>1722240000</v>
      </c>
      <c r="R55" s="207">
        <f>SUM(R49:R54)</f>
        <v>92</v>
      </c>
      <c r="S55" s="207">
        <f t="shared" si="49"/>
        <v>72</v>
      </c>
      <c r="T55" s="336">
        <f>SUM(T49:T54)</f>
        <v>1299981251.8194001</v>
      </c>
      <c r="U55" s="337">
        <f t="shared" si="49"/>
        <v>36148063.064099997</v>
      </c>
      <c r="V55" s="336">
        <f t="shared" si="49"/>
        <v>0</v>
      </c>
      <c r="W55" s="336">
        <f t="shared" si="43"/>
        <v>1263833188.7553</v>
      </c>
      <c r="X55" s="336">
        <f t="shared" si="44"/>
        <v>-458406811.24469995</v>
      </c>
      <c r="Y55" s="313">
        <f t="shared" si="45"/>
        <v>0.73383105069868315</v>
      </c>
      <c r="Z55" s="369" t="str">
        <f>IF(Y55&gt;100%,"CAPAI 100%",IF(Y55&gt;90%,"CAPAI 90%","BELUM CAPAI"))</f>
        <v>BELUM CAPAI</v>
      </c>
    </row>
    <row r="56" spans="1:26" ht="14.5" customHeight="1" x14ac:dyDescent="0.55000000000000004">
      <c r="B56" s="324" t="str">
        <f>$B$12</f>
        <v>TARGET Q1</v>
      </c>
      <c r="C56" s="243">
        <v>1438819200</v>
      </c>
      <c r="D56" s="597"/>
      <c r="E56" s="598"/>
      <c r="F56" s="598"/>
      <c r="G56" s="598"/>
      <c r="H56" s="599"/>
      <c r="I56" s="243">
        <f>I55</f>
        <v>1692763530.0882995</v>
      </c>
      <c r="J56" s="243">
        <f>I56-C56</f>
        <v>253944330.08829951</v>
      </c>
      <c r="K56" s="183">
        <f t="shared" si="42"/>
        <v>1.1764949550911605</v>
      </c>
      <c r="O56" s="309"/>
      <c r="P56" s="324" t="str">
        <f>$B$12</f>
        <v>TARGET Q1</v>
      </c>
      <c r="Q56" s="243">
        <v>1550016000</v>
      </c>
      <c r="R56" s="597"/>
      <c r="S56" s="598"/>
      <c r="T56" s="598"/>
      <c r="U56" s="598"/>
      <c r="V56" s="599"/>
      <c r="W56" s="243">
        <f>W55</f>
        <v>1263833188.7553</v>
      </c>
      <c r="X56" s="243">
        <f>W56-Q56</f>
        <v>-286182811.24469995</v>
      </c>
      <c r="Y56" s="183">
        <f>W56/Q56</f>
        <v>0.81536783410964797</v>
      </c>
      <c r="Z56" s="192"/>
    </row>
    <row r="57" spans="1:26" ht="24" thickBot="1" x14ac:dyDescent="0.6">
      <c r="C57" s="210">
        <f>C56/C55</f>
        <v>0.9</v>
      </c>
      <c r="O57" s="309"/>
      <c r="Q57" s="210">
        <f>Q56/Q55</f>
        <v>0.9</v>
      </c>
    </row>
    <row r="58" spans="1:26" ht="19.5" customHeight="1" x14ac:dyDescent="0.35">
      <c r="A58" s="626">
        <v>6</v>
      </c>
      <c r="B58" s="352" t="s">
        <v>57</v>
      </c>
      <c r="C58" s="353" t="s">
        <v>34</v>
      </c>
      <c r="D58" s="616" t="s">
        <v>91</v>
      </c>
      <c r="E58" s="616" t="s">
        <v>62</v>
      </c>
      <c r="F58" s="604" t="s">
        <v>112</v>
      </c>
      <c r="G58" s="605"/>
      <c r="H58" s="605"/>
      <c r="I58" s="606"/>
      <c r="J58" s="587" t="s">
        <v>65</v>
      </c>
      <c r="K58" s="352" t="s">
        <v>66</v>
      </c>
      <c r="O58" s="618">
        <v>6</v>
      </c>
      <c r="P58" s="354" t="s">
        <v>57</v>
      </c>
      <c r="Q58" s="355" t="s">
        <v>51</v>
      </c>
      <c r="R58" s="591" t="s">
        <v>91</v>
      </c>
      <c r="S58" s="591" t="s">
        <v>62</v>
      </c>
      <c r="T58" s="610" t="s">
        <v>112</v>
      </c>
      <c r="U58" s="611"/>
      <c r="V58" s="611"/>
      <c r="W58" s="612"/>
      <c r="X58" s="603" t="s">
        <v>65</v>
      </c>
      <c r="Y58" s="354" t="s">
        <v>66</v>
      </c>
    </row>
    <row r="59" spans="1:26" ht="36" customHeight="1" x14ac:dyDescent="0.35">
      <c r="A59" s="626"/>
      <c r="B59" s="352" t="s">
        <v>93</v>
      </c>
      <c r="C59" s="353" t="str">
        <f>C48</f>
        <v>TARGET 100%</v>
      </c>
      <c r="D59" s="617"/>
      <c r="E59" s="617"/>
      <c r="F59" s="163" t="str">
        <f>F4</f>
        <v>OMSET FEB
 (1-28)</v>
      </c>
      <c r="G59" s="163" t="str">
        <f>G4</f>
        <v>OMSET PRODUK</v>
      </c>
      <c r="H59" s="353" t="s">
        <v>63</v>
      </c>
      <c r="I59" s="353" t="s">
        <v>64</v>
      </c>
      <c r="J59" s="587"/>
      <c r="K59" s="164">
        <f>K48</f>
        <v>1</v>
      </c>
      <c r="O59" s="619"/>
      <c r="P59" s="354" t="s">
        <v>93</v>
      </c>
      <c r="Q59" s="355" t="str">
        <f>Q48</f>
        <v>TARGET 100%</v>
      </c>
      <c r="R59" s="592"/>
      <c r="S59" s="592"/>
      <c r="T59" s="200" t="str">
        <f>T4</f>
        <v>OMSET FEB
 (1-28)</v>
      </c>
      <c r="U59" s="200" t="str">
        <f>G4</f>
        <v>OMSET PRODUK</v>
      </c>
      <c r="V59" s="355" t="s">
        <v>63</v>
      </c>
      <c r="W59" s="355" t="s">
        <v>64</v>
      </c>
      <c r="X59" s="603"/>
      <c r="Y59" s="201">
        <f>K59</f>
        <v>1</v>
      </c>
    </row>
    <row r="60" spans="1:26" ht="14.5" customHeight="1" x14ac:dyDescent="0.35">
      <c r="A60" s="626"/>
      <c r="B60" s="325" t="s">
        <v>96</v>
      </c>
      <c r="C60" s="326">
        <v>120219840</v>
      </c>
      <c r="D60" s="222">
        <v>18</v>
      </c>
      <c r="E60" s="308">
        <v>16</v>
      </c>
      <c r="F60" s="169">
        <v>112854818.80150007</v>
      </c>
      <c r="G60" s="169"/>
      <c r="H60" s="326"/>
      <c r="I60" s="326">
        <f t="shared" ref="I60:I66" si="50">F60-G60</f>
        <v>112854818.80150007</v>
      </c>
      <c r="J60" s="226">
        <f t="shared" ref="J60:J66" si="51">I60-C60</f>
        <v>-7365021.1984999329</v>
      </c>
      <c r="K60" s="172">
        <f t="shared" ref="K60:K67" si="52">I60/C60</f>
        <v>0.93873705705730492</v>
      </c>
      <c r="L60" s="369" t="str">
        <f>IF(K60&gt;120%,"0,55%", IF(K60&gt;100%,"0,45%", IF(K60&gt;80%,"0,35%", IF(K60&gt;60%,"0,2%", 0))))</f>
        <v>0,35%</v>
      </c>
      <c r="O60" s="619"/>
      <c r="P60" s="325" t="s">
        <v>96</v>
      </c>
      <c r="Q60" s="166">
        <v>206668800</v>
      </c>
      <c r="R60" s="167">
        <v>15</v>
      </c>
      <c r="S60" s="308">
        <v>12</v>
      </c>
      <c r="T60" s="169">
        <v>137158270.26939994</v>
      </c>
      <c r="U60" s="170">
        <v>7700450.4501000009</v>
      </c>
      <c r="V60" s="166"/>
      <c r="W60" s="326">
        <f t="shared" ref="W60:W66" si="53">T60-U60</f>
        <v>129457819.81929994</v>
      </c>
      <c r="X60" s="226">
        <f t="shared" ref="X60:X66" si="54">W60-Q60</f>
        <v>-77210980.180700064</v>
      </c>
      <c r="Y60" s="172">
        <f t="shared" ref="Y60:Y66" si="55">W60/Q60</f>
        <v>0.62640233948859203</v>
      </c>
      <c r="Z60" s="369" t="str">
        <f>IF(Y60&gt;120%,"0,55%", IF(Y60&gt;100%,"0,45%", IF(Y60&gt;80%,"0,35%", IF(Y60&gt;60%,"0,2%", 0))))</f>
        <v>0,2%</v>
      </c>
    </row>
    <row r="61" spans="1:26" ht="14.5" customHeight="1" x14ac:dyDescent="0.35">
      <c r="A61" s="626"/>
      <c r="B61" s="325" t="s">
        <v>97</v>
      </c>
      <c r="C61" s="327">
        <v>138715200</v>
      </c>
      <c r="D61" s="222">
        <v>11</v>
      </c>
      <c r="E61" s="308">
        <v>9</v>
      </c>
      <c r="F61" s="169">
        <v>158475587.83759996</v>
      </c>
      <c r="G61" s="328">
        <v>2739639.6395999999</v>
      </c>
      <c r="H61" s="327"/>
      <c r="I61" s="326">
        <f t="shared" si="50"/>
        <v>155735948.19799995</v>
      </c>
      <c r="J61" s="226">
        <f t="shared" si="51"/>
        <v>17020748.197999954</v>
      </c>
      <c r="K61" s="172">
        <f t="shared" si="52"/>
        <v>1.1227028342820393</v>
      </c>
      <c r="L61" s="369" t="str">
        <f t="shared" ref="L61:L65" si="56">IF(K61&gt;120%,"0,55%", IF(K61&gt;100%,"0,45%", IF(K61&gt;80%,"0,35%", IF(K61&gt;60%,"0,2%", 0))))</f>
        <v>0,45%</v>
      </c>
      <c r="O61" s="619"/>
      <c r="P61" s="325" t="s">
        <v>97</v>
      </c>
      <c r="Q61" s="173">
        <v>195187200</v>
      </c>
      <c r="R61" s="167">
        <v>22</v>
      </c>
      <c r="S61" s="308">
        <v>20</v>
      </c>
      <c r="T61" s="169">
        <v>177976418.91939998</v>
      </c>
      <c r="U61" s="174">
        <v>7840090.0900999987</v>
      </c>
      <c r="V61" s="173"/>
      <c r="W61" s="326">
        <f t="shared" si="53"/>
        <v>170136328.82929999</v>
      </c>
      <c r="X61" s="226">
        <f t="shared" si="54"/>
        <v>-25050871.170700014</v>
      </c>
      <c r="Y61" s="172">
        <f>W61/Q61</f>
        <v>0.871657203081452</v>
      </c>
      <c r="Z61" s="369" t="str">
        <f t="shared" ref="Z61:Z65" si="57">IF(Y61&gt;120%,"0,55%", IF(Y61&gt;100%,"0,45%", IF(Y61&gt;80%,"0,35%", IF(Y61&gt;60%,"0,2%", 0))))</f>
        <v>0,35%</v>
      </c>
    </row>
    <row r="62" spans="1:26" ht="14.5" customHeight="1" x14ac:dyDescent="0.35">
      <c r="A62" s="626"/>
      <c r="B62" s="325" t="s">
        <v>98</v>
      </c>
      <c r="C62" s="327">
        <v>212696640</v>
      </c>
      <c r="D62" s="222">
        <v>24</v>
      </c>
      <c r="E62" s="308">
        <v>20</v>
      </c>
      <c r="F62" s="169">
        <v>136642418.01749998</v>
      </c>
      <c r="G62" s="169">
        <v>2558558.5585000003</v>
      </c>
      <c r="H62" s="327"/>
      <c r="I62" s="326">
        <f t="shared" si="50"/>
        <v>134083859.45899998</v>
      </c>
      <c r="J62" s="226">
        <f t="shared" si="51"/>
        <v>-78612780.541000023</v>
      </c>
      <c r="K62" s="172">
        <f t="shared" si="52"/>
        <v>0.63039951857725618</v>
      </c>
      <c r="L62" s="369" t="str">
        <f t="shared" si="56"/>
        <v>0,2%</v>
      </c>
      <c r="O62" s="619"/>
      <c r="P62" s="325" t="s">
        <v>98</v>
      </c>
      <c r="Q62" s="173">
        <v>252595200</v>
      </c>
      <c r="R62" s="167">
        <v>15</v>
      </c>
      <c r="S62" s="308">
        <v>13</v>
      </c>
      <c r="T62" s="169">
        <v>260942900.90060011</v>
      </c>
      <c r="U62" s="170">
        <v>47663588.348999999</v>
      </c>
      <c r="V62" s="173"/>
      <c r="W62" s="326">
        <f t="shared" si="53"/>
        <v>213279312.5516001</v>
      </c>
      <c r="X62" s="226">
        <f t="shared" si="54"/>
        <v>-39315887.448399901</v>
      </c>
      <c r="Y62" s="172">
        <f t="shared" si="55"/>
        <v>0.84435219890005864</v>
      </c>
      <c r="Z62" s="369" t="str">
        <f t="shared" si="57"/>
        <v>0,35%</v>
      </c>
    </row>
    <row r="63" spans="1:26" ht="14.5" customHeight="1" x14ac:dyDescent="0.35">
      <c r="A63" s="626"/>
      <c r="B63" s="325" t="s">
        <v>99</v>
      </c>
      <c r="C63" s="327">
        <v>194201280</v>
      </c>
      <c r="D63" s="222">
        <v>17</v>
      </c>
      <c r="E63" s="308">
        <v>11</v>
      </c>
      <c r="F63" s="169">
        <v>93778244.711699963</v>
      </c>
      <c r="G63" s="169">
        <v>319819.8198</v>
      </c>
      <c r="H63" s="327"/>
      <c r="I63" s="326">
        <f t="shared" si="50"/>
        <v>93458424.891899958</v>
      </c>
      <c r="J63" s="226">
        <f t="shared" si="51"/>
        <v>-100742855.10810004</v>
      </c>
      <c r="K63" s="172">
        <f t="shared" si="52"/>
        <v>0.48124515395521572</v>
      </c>
      <c r="L63" s="369">
        <f t="shared" si="56"/>
        <v>0</v>
      </c>
      <c r="O63" s="619"/>
      <c r="P63" s="325" t="s">
        <v>99</v>
      </c>
      <c r="Q63" s="173">
        <v>229632000</v>
      </c>
      <c r="R63" s="167">
        <v>17</v>
      </c>
      <c r="S63" s="308">
        <v>15</v>
      </c>
      <c r="T63" s="169">
        <v>207853761.26190001</v>
      </c>
      <c r="U63" s="170"/>
      <c r="V63" s="173"/>
      <c r="W63" s="326">
        <f t="shared" si="53"/>
        <v>207853761.26190001</v>
      </c>
      <c r="X63" s="226">
        <f t="shared" si="54"/>
        <v>-21778238.738099992</v>
      </c>
      <c r="Y63" s="172">
        <f t="shared" si="55"/>
        <v>0.90516026190557064</v>
      </c>
      <c r="Z63" s="369" t="str">
        <f t="shared" si="57"/>
        <v>0,35%</v>
      </c>
    </row>
    <row r="64" spans="1:26" ht="14.5" customHeight="1" x14ac:dyDescent="0.35">
      <c r="A64" s="626"/>
      <c r="B64" s="325" t="s">
        <v>100</v>
      </c>
      <c r="C64" s="327">
        <v>120219840</v>
      </c>
      <c r="D64" s="222">
        <v>13</v>
      </c>
      <c r="E64" s="308">
        <v>13</v>
      </c>
      <c r="F64" s="169">
        <v>110092510.80999999</v>
      </c>
      <c r="G64" s="169">
        <v>959459.45940000005</v>
      </c>
      <c r="H64" s="327"/>
      <c r="I64" s="326">
        <f t="shared" si="50"/>
        <v>109133051.35059999</v>
      </c>
      <c r="J64" s="226">
        <f t="shared" si="51"/>
        <v>-11086788.649400011</v>
      </c>
      <c r="K64" s="172">
        <f t="shared" si="52"/>
        <v>0.90777904338085946</v>
      </c>
      <c r="L64" s="369" t="str">
        <f t="shared" si="56"/>
        <v>0,35%</v>
      </c>
      <c r="O64" s="619"/>
      <c r="P64" s="325" t="s">
        <v>100</v>
      </c>
      <c r="Q64" s="173">
        <v>126297600</v>
      </c>
      <c r="R64" s="167">
        <v>11</v>
      </c>
      <c r="S64" s="308">
        <v>7</v>
      </c>
      <c r="T64" s="169">
        <v>21442963.964200005</v>
      </c>
      <c r="U64" s="170">
        <v>2860360.3605</v>
      </c>
      <c r="V64" s="173"/>
      <c r="W64" s="326">
        <f t="shared" si="53"/>
        <v>18582603.603700005</v>
      </c>
      <c r="X64" s="226">
        <f t="shared" si="54"/>
        <v>-107714996.39629999</v>
      </c>
      <c r="Y64" s="172">
        <f t="shared" si="55"/>
        <v>0.14713346574835948</v>
      </c>
      <c r="Z64" s="369">
        <f t="shared" si="57"/>
        <v>0</v>
      </c>
    </row>
    <row r="65" spans="1:26" ht="14.5" customHeight="1" x14ac:dyDescent="0.35">
      <c r="A65" s="626"/>
      <c r="B65" s="325" t="s">
        <v>101</v>
      </c>
      <c r="C65" s="327">
        <v>138715200</v>
      </c>
      <c r="D65" s="222">
        <v>11</v>
      </c>
      <c r="E65" s="308">
        <v>9</v>
      </c>
      <c r="F65" s="169">
        <v>153473343.1092</v>
      </c>
      <c r="G65" s="169">
        <v>989639.63959999988</v>
      </c>
      <c r="H65" s="327"/>
      <c r="I65" s="326">
        <f t="shared" si="50"/>
        <v>152483703.46959999</v>
      </c>
      <c r="J65" s="226">
        <f t="shared" si="51"/>
        <v>13768503.469599992</v>
      </c>
      <c r="K65" s="172">
        <f t="shared" si="52"/>
        <v>1.0992573522555567</v>
      </c>
      <c r="L65" s="369" t="str">
        <f t="shared" si="56"/>
        <v>0,45%</v>
      </c>
      <c r="O65" s="619"/>
      <c r="P65" s="325" t="s">
        <v>101</v>
      </c>
      <c r="Q65" s="173">
        <v>137779200</v>
      </c>
      <c r="R65" s="167">
        <v>14</v>
      </c>
      <c r="S65" s="308">
        <v>10</v>
      </c>
      <c r="T65" s="169">
        <v>45588626.126100004</v>
      </c>
      <c r="U65" s="170">
        <v>1171171.1712</v>
      </c>
      <c r="V65" s="173"/>
      <c r="W65" s="326">
        <f t="shared" si="53"/>
        <v>44417454.954900004</v>
      </c>
      <c r="X65" s="226">
        <f t="shared" si="54"/>
        <v>-93361745.045100003</v>
      </c>
      <c r="Y65" s="172">
        <f t="shared" si="55"/>
        <v>0.32238142589665209</v>
      </c>
      <c r="Z65" s="369">
        <f t="shared" si="57"/>
        <v>0</v>
      </c>
    </row>
    <row r="66" spans="1:26" ht="15" customHeight="1" thickBot="1" x14ac:dyDescent="0.4">
      <c r="A66" s="626"/>
      <c r="B66" s="352" t="s">
        <v>77</v>
      </c>
      <c r="C66" s="329">
        <f t="shared" ref="C66:H66" si="58">SUM(C60:C65)</f>
        <v>924768000</v>
      </c>
      <c r="D66" s="178">
        <f t="shared" si="58"/>
        <v>94</v>
      </c>
      <c r="E66" s="178">
        <f t="shared" si="58"/>
        <v>78</v>
      </c>
      <c r="F66" s="329">
        <f t="shared" si="58"/>
        <v>765316923.2874999</v>
      </c>
      <c r="G66" s="330">
        <f t="shared" si="58"/>
        <v>7567117.1169000007</v>
      </c>
      <c r="H66" s="329">
        <f t="shared" si="58"/>
        <v>0</v>
      </c>
      <c r="I66" s="329">
        <f t="shared" si="50"/>
        <v>757749806.17059994</v>
      </c>
      <c r="J66" s="329">
        <f t="shared" si="51"/>
        <v>-167018193.82940006</v>
      </c>
      <c r="K66" s="305">
        <f t="shared" si="52"/>
        <v>0.81939449264096498</v>
      </c>
      <c r="L66" s="369" t="str">
        <f>IF(K66&gt;100%,"CAPAI 100%",IF(K66&gt;90%,"CAPAI 90%","BELUM CAPAI"))</f>
        <v>BELUM CAPAI</v>
      </c>
      <c r="O66" s="620"/>
      <c r="P66" s="354" t="s">
        <v>77</v>
      </c>
      <c r="Q66" s="336">
        <f t="shared" ref="Q66:V66" si="59">SUM(Q60:Q65)</f>
        <v>1148160000</v>
      </c>
      <c r="R66" s="207">
        <f>SUM(R60:R65)</f>
        <v>94</v>
      </c>
      <c r="S66" s="207">
        <f t="shared" si="59"/>
        <v>77</v>
      </c>
      <c r="T66" s="336">
        <f t="shared" si="59"/>
        <v>850962941.44160008</v>
      </c>
      <c r="U66" s="337">
        <f t="shared" si="59"/>
        <v>67235660.420900002</v>
      </c>
      <c r="V66" s="336">
        <f t="shared" si="59"/>
        <v>0</v>
      </c>
      <c r="W66" s="336">
        <f t="shared" si="53"/>
        <v>783727281.0207001</v>
      </c>
      <c r="X66" s="336">
        <f t="shared" si="54"/>
        <v>-364432718.9792999</v>
      </c>
      <c r="Y66" s="313">
        <f t="shared" si="55"/>
        <v>0.68259413411083825</v>
      </c>
      <c r="Z66" s="369" t="str">
        <f>IF(Y66&gt;100%,"CAPAI 100%",IF(Y66&gt;90%,"CAPAI 90%","BELUM CAPAI"))</f>
        <v>BELUM CAPAI</v>
      </c>
    </row>
    <row r="67" spans="1:26" ht="14.5" customHeight="1" x14ac:dyDescent="0.55000000000000004">
      <c r="B67" s="324" t="str">
        <f>$B$12</f>
        <v>TARGET Q1</v>
      </c>
      <c r="C67" s="243">
        <v>832291200</v>
      </c>
      <c r="D67" s="597"/>
      <c r="E67" s="598"/>
      <c r="F67" s="598"/>
      <c r="G67" s="598"/>
      <c r="H67" s="599"/>
      <c r="I67" s="243">
        <f>I66</f>
        <v>757749806.17059994</v>
      </c>
      <c r="J67" s="243">
        <f>I67-C67</f>
        <v>-74541393.829400063</v>
      </c>
      <c r="K67" s="183">
        <f t="shared" si="52"/>
        <v>0.91043832515662781</v>
      </c>
      <c r="O67" s="309"/>
      <c r="P67" s="324" t="str">
        <f>$B$12</f>
        <v>TARGET Q1</v>
      </c>
      <c r="Q67" s="243">
        <v>1033344000</v>
      </c>
      <c r="R67" s="597"/>
      <c r="S67" s="598"/>
      <c r="T67" s="598"/>
      <c r="U67" s="598"/>
      <c r="V67" s="599"/>
      <c r="W67" s="243">
        <f>W66</f>
        <v>783727281.0207001</v>
      </c>
      <c r="X67" s="243">
        <f>W67-Q67</f>
        <v>-249616718.9792999</v>
      </c>
      <c r="Y67" s="183">
        <f>W67/Q67</f>
        <v>0.75843792678982036</v>
      </c>
      <c r="Z67" s="192"/>
    </row>
    <row r="68" spans="1:26" ht="24" thickBot="1" x14ac:dyDescent="0.6">
      <c r="C68" s="210">
        <f>C67/C66</f>
        <v>0.9</v>
      </c>
      <c r="O68" s="309"/>
      <c r="Q68" s="210">
        <f>Q67/Q66</f>
        <v>0.9</v>
      </c>
    </row>
    <row r="69" spans="1:26" ht="19.5" customHeight="1" x14ac:dyDescent="0.35">
      <c r="A69" s="623">
        <v>7</v>
      </c>
      <c r="B69" s="352" t="s">
        <v>57</v>
      </c>
      <c r="C69" s="353" t="s">
        <v>113</v>
      </c>
      <c r="D69" s="616" t="s">
        <v>91</v>
      </c>
      <c r="E69" s="616" t="s">
        <v>62</v>
      </c>
      <c r="F69" s="604" t="s">
        <v>114</v>
      </c>
      <c r="G69" s="605"/>
      <c r="H69" s="605"/>
      <c r="I69" s="606"/>
      <c r="J69" s="587" t="s">
        <v>65</v>
      </c>
      <c r="K69" s="352" t="s">
        <v>66</v>
      </c>
      <c r="O69" s="607">
        <v>7</v>
      </c>
      <c r="P69" s="354" t="s">
        <v>57</v>
      </c>
      <c r="Q69" s="355" t="s">
        <v>115</v>
      </c>
      <c r="R69" s="591" t="s">
        <v>91</v>
      </c>
      <c r="S69" s="591" t="s">
        <v>62</v>
      </c>
      <c r="T69" s="610" t="s">
        <v>114</v>
      </c>
      <c r="U69" s="611"/>
      <c r="V69" s="611"/>
      <c r="W69" s="612"/>
      <c r="X69" s="603" t="s">
        <v>65</v>
      </c>
      <c r="Y69" s="354" t="s">
        <v>66</v>
      </c>
    </row>
    <row r="70" spans="1:26" ht="36" customHeight="1" x14ac:dyDescent="0.35">
      <c r="A70" s="623"/>
      <c r="B70" s="352" t="s">
        <v>93</v>
      </c>
      <c r="C70" s="353" t="str">
        <f>C59</f>
        <v>TARGET 100%</v>
      </c>
      <c r="D70" s="617"/>
      <c r="E70" s="617"/>
      <c r="F70" s="163" t="str">
        <f>F4</f>
        <v>OMSET FEB
 (1-28)</v>
      </c>
      <c r="G70" s="163" t="str">
        <f>G4</f>
        <v>OMSET PRODUK</v>
      </c>
      <c r="H70" s="353" t="s">
        <v>63</v>
      </c>
      <c r="I70" s="353" t="s">
        <v>64</v>
      </c>
      <c r="J70" s="587"/>
      <c r="K70" s="164">
        <f>K59</f>
        <v>1</v>
      </c>
      <c r="O70" s="608"/>
      <c r="P70" s="354" t="s">
        <v>93</v>
      </c>
      <c r="Q70" s="355" t="str">
        <f>Q59</f>
        <v>TARGET 100%</v>
      </c>
      <c r="R70" s="592"/>
      <c r="S70" s="592"/>
      <c r="T70" s="200" t="str">
        <f>T4</f>
        <v>OMSET FEB
 (1-28)</v>
      </c>
      <c r="U70" s="200" t="str">
        <f>G4</f>
        <v>OMSET PRODUK</v>
      </c>
      <c r="V70" s="355" t="s">
        <v>63</v>
      </c>
      <c r="W70" s="355" t="s">
        <v>64</v>
      </c>
      <c r="X70" s="603"/>
      <c r="Y70" s="201">
        <f>K70</f>
        <v>1</v>
      </c>
    </row>
    <row r="71" spans="1:26" ht="14.5" customHeight="1" x14ac:dyDescent="0.35">
      <c r="A71" s="623"/>
      <c r="B71" s="325" t="s">
        <v>96</v>
      </c>
      <c r="C71" s="326">
        <v>121680000</v>
      </c>
      <c r="D71" s="222">
        <v>16</v>
      </c>
      <c r="E71" s="308">
        <v>16</v>
      </c>
      <c r="F71" s="169">
        <v>79188835.044199944</v>
      </c>
      <c r="G71" s="169">
        <v>350000</v>
      </c>
      <c r="H71" s="326"/>
      <c r="I71" s="326">
        <f t="shared" ref="I71:I77" si="60">F71-G71</f>
        <v>78838835.044199944</v>
      </c>
      <c r="J71" s="226">
        <f t="shared" ref="J71:J77" si="61">I71-C71</f>
        <v>-42841164.955800056</v>
      </c>
      <c r="K71" s="172">
        <f t="shared" ref="K71:K78" si="62">I71/C71</f>
        <v>0.64791942015285953</v>
      </c>
      <c r="L71" s="369" t="str">
        <f>IF(K71&gt;120%,"0,55%", IF(K71&gt;100%,"0,45%", IF(K71&gt;80%,"0,35%", IF(K71&gt;60%,"0,2%", 0))))</f>
        <v>0,2%</v>
      </c>
      <c r="M71" s="191"/>
      <c r="N71" s="191"/>
      <c r="O71" s="608"/>
      <c r="P71" s="325" t="s">
        <v>96</v>
      </c>
      <c r="Q71" s="166">
        <v>206668800</v>
      </c>
      <c r="R71" s="167">
        <v>23</v>
      </c>
      <c r="S71" s="308">
        <v>23</v>
      </c>
      <c r="T71" s="169">
        <v>249006008.78289998</v>
      </c>
      <c r="U71" s="170">
        <v>28743216.216199998</v>
      </c>
      <c r="V71" s="166"/>
      <c r="W71" s="326">
        <f>T71-U71</f>
        <v>220262792.56669998</v>
      </c>
      <c r="X71" s="226">
        <f t="shared" ref="X71:X77" si="63">W71-Q71</f>
        <v>13593992.566699982</v>
      </c>
      <c r="Y71" s="172">
        <f t="shared" ref="Y71:Y77" si="64">W71/Q71</f>
        <v>1.0657767044019222</v>
      </c>
      <c r="Z71" s="369" t="str">
        <f>IF(Y71&gt;120%,"0,55%", IF(Y71&gt;100%,"0,45%", IF(Y71&gt;80%,"0,35%", IF(Y71&gt;60%,"0,2%", 0))))</f>
        <v>0,45%</v>
      </c>
    </row>
    <row r="72" spans="1:26" ht="14.5" customHeight="1" x14ac:dyDescent="0.35">
      <c r="A72" s="623"/>
      <c r="B72" s="325" t="s">
        <v>97</v>
      </c>
      <c r="C72" s="327">
        <v>146016000</v>
      </c>
      <c r="D72" s="222">
        <v>13</v>
      </c>
      <c r="E72" s="308">
        <v>15</v>
      </c>
      <c r="F72" s="169">
        <v>125686276.12490001</v>
      </c>
      <c r="G72" s="328">
        <v>1369819.8197999999</v>
      </c>
      <c r="H72" s="327"/>
      <c r="I72" s="326">
        <f t="shared" si="60"/>
        <v>124316456.30510001</v>
      </c>
      <c r="J72" s="226">
        <f t="shared" si="61"/>
        <v>-21699543.694899991</v>
      </c>
      <c r="K72" s="172">
        <f t="shared" si="62"/>
        <v>0.85138927449800028</v>
      </c>
      <c r="L72" s="369" t="str">
        <f t="shared" ref="L72:L76" si="65">IF(K72&gt;120%,"0,55%", IF(K72&gt;100%,"0,45%", IF(K72&gt;80%,"0,35%", IF(K72&gt;60%,"0,2%", 0))))</f>
        <v>0,35%</v>
      </c>
      <c r="M72" s="191"/>
      <c r="N72" s="191"/>
      <c r="O72" s="608"/>
      <c r="P72" s="325" t="s">
        <v>97</v>
      </c>
      <c r="Q72" s="173">
        <v>149260800</v>
      </c>
      <c r="R72" s="167">
        <v>18</v>
      </c>
      <c r="S72" s="308">
        <v>14</v>
      </c>
      <c r="T72" s="169">
        <v>67638446.072099984</v>
      </c>
      <c r="U72" s="174">
        <v>2945945.946</v>
      </c>
      <c r="V72" s="173"/>
      <c r="W72" s="326">
        <f t="shared" ref="W72:W77" si="66">T72-U72</f>
        <v>64692500.126099981</v>
      </c>
      <c r="X72" s="226">
        <f t="shared" si="63"/>
        <v>-84568299.873900026</v>
      </c>
      <c r="Y72" s="172">
        <f t="shared" si="64"/>
        <v>0.433419224110416</v>
      </c>
      <c r="Z72" s="369">
        <f t="shared" ref="Z72:Z76" si="67">IF(Y72&gt;120%,"0,55%", IF(Y72&gt;100%,"0,45%", IF(Y72&gt;80%,"0,35%", IF(Y72&gt;60%,"0,2%", 0))))</f>
        <v>0</v>
      </c>
    </row>
    <row r="73" spans="1:26" ht="14.5" customHeight="1" x14ac:dyDescent="0.35">
      <c r="A73" s="623"/>
      <c r="B73" s="325" t="s">
        <v>98</v>
      </c>
      <c r="C73" s="327">
        <v>206856000</v>
      </c>
      <c r="D73" s="222">
        <v>21</v>
      </c>
      <c r="E73" s="308">
        <v>15</v>
      </c>
      <c r="F73" s="169">
        <v>175344081.0801</v>
      </c>
      <c r="G73" s="169"/>
      <c r="H73" s="327"/>
      <c r="I73" s="326">
        <f t="shared" si="60"/>
        <v>175344081.0801</v>
      </c>
      <c r="J73" s="226">
        <f t="shared" si="61"/>
        <v>-31511918.9199</v>
      </c>
      <c r="K73" s="172">
        <f t="shared" si="62"/>
        <v>0.84766253374376377</v>
      </c>
      <c r="L73" s="369" t="str">
        <f t="shared" si="65"/>
        <v>0,35%</v>
      </c>
      <c r="M73" s="191"/>
      <c r="N73" s="191"/>
      <c r="O73" s="608"/>
      <c r="P73" s="325" t="s">
        <v>98</v>
      </c>
      <c r="Q73" s="173">
        <v>229632000</v>
      </c>
      <c r="R73" s="167">
        <v>14</v>
      </c>
      <c r="S73" s="308">
        <v>13</v>
      </c>
      <c r="T73" s="169">
        <v>121698891.89190003</v>
      </c>
      <c r="U73" s="170">
        <v>4090090.0902</v>
      </c>
      <c r="V73" s="173"/>
      <c r="W73" s="326">
        <f t="shared" si="66"/>
        <v>117608801.80170003</v>
      </c>
      <c r="X73" s="226">
        <f t="shared" si="63"/>
        <v>-112023198.19829997</v>
      </c>
      <c r="Y73" s="172">
        <f t="shared" si="64"/>
        <v>0.51216207585049134</v>
      </c>
      <c r="Z73" s="369">
        <f t="shared" si="67"/>
        <v>0</v>
      </c>
    </row>
    <row r="74" spans="1:26" ht="14.5" customHeight="1" x14ac:dyDescent="0.35">
      <c r="A74" s="623"/>
      <c r="B74" s="325" t="s">
        <v>99</v>
      </c>
      <c r="C74" s="327">
        <v>243360000</v>
      </c>
      <c r="D74" s="222">
        <v>16</v>
      </c>
      <c r="E74" s="308">
        <v>18</v>
      </c>
      <c r="F74" s="169">
        <v>243221425.4941</v>
      </c>
      <c r="G74" s="169">
        <v>8086036.0360000003</v>
      </c>
      <c r="H74" s="327"/>
      <c r="I74" s="326">
        <f t="shared" si="60"/>
        <v>235135389.45809999</v>
      </c>
      <c r="J74" s="226">
        <f t="shared" si="61"/>
        <v>-8224610.5419000089</v>
      </c>
      <c r="K74" s="172">
        <f t="shared" si="62"/>
        <v>0.96620393432815577</v>
      </c>
      <c r="L74" s="369" t="str">
        <f t="shared" si="65"/>
        <v>0,35%</v>
      </c>
      <c r="M74" s="191"/>
      <c r="N74" s="191"/>
      <c r="O74" s="608"/>
      <c r="P74" s="325" t="s">
        <v>99</v>
      </c>
      <c r="Q74" s="173">
        <v>114816000</v>
      </c>
      <c r="R74" s="167">
        <v>11</v>
      </c>
      <c r="S74" s="308">
        <v>11</v>
      </c>
      <c r="T74" s="169">
        <v>118895238.73929995</v>
      </c>
      <c r="U74" s="170">
        <v>17472972.973200001</v>
      </c>
      <c r="V74" s="173"/>
      <c r="W74" s="326">
        <f t="shared" si="66"/>
        <v>101422265.76609996</v>
      </c>
      <c r="X74" s="226">
        <f t="shared" si="63"/>
        <v>-13393734.23390004</v>
      </c>
      <c r="Y74" s="172">
        <f t="shared" si="64"/>
        <v>0.88334609955145593</v>
      </c>
      <c r="Z74" s="369" t="str">
        <f t="shared" si="67"/>
        <v>0,35%</v>
      </c>
    </row>
    <row r="75" spans="1:26" ht="14.5" customHeight="1" x14ac:dyDescent="0.35">
      <c r="A75" s="623"/>
      <c r="B75" s="325" t="s">
        <v>100</v>
      </c>
      <c r="C75" s="327">
        <v>219024000</v>
      </c>
      <c r="D75" s="222">
        <v>16</v>
      </c>
      <c r="E75" s="308">
        <v>20</v>
      </c>
      <c r="F75" s="169">
        <v>179165022.72370008</v>
      </c>
      <c r="G75" s="169"/>
      <c r="H75" s="327"/>
      <c r="I75" s="326">
        <f t="shared" si="60"/>
        <v>179165022.72370008</v>
      </c>
      <c r="J75" s="226">
        <f t="shared" si="61"/>
        <v>-39858977.276299924</v>
      </c>
      <c r="K75" s="172">
        <f t="shared" si="62"/>
        <v>0.81801548106006683</v>
      </c>
      <c r="L75" s="369" t="str">
        <f t="shared" si="65"/>
        <v>0,35%</v>
      </c>
      <c r="M75" s="191"/>
      <c r="N75" s="191"/>
      <c r="O75" s="608"/>
      <c r="P75" s="325" t="s">
        <v>100</v>
      </c>
      <c r="Q75" s="173">
        <v>206668800</v>
      </c>
      <c r="R75" s="167">
        <v>20</v>
      </c>
      <c r="S75" s="308">
        <v>17</v>
      </c>
      <c r="T75" s="169">
        <v>147399745.04530004</v>
      </c>
      <c r="U75" s="170"/>
      <c r="V75" s="173"/>
      <c r="W75" s="326">
        <f t="shared" si="66"/>
        <v>147399745.04530004</v>
      </c>
      <c r="X75" s="226">
        <f t="shared" si="63"/>
        <v>-59269054.954699963</v>
      </c>
      <c r="Y75" s="172">
        <f t="shared" si="64"/>
        <v>0.7132172105576654</v>
      </c>
      <c r="Z75" s="369" t="str">
        <f t="shared" si="67"/>
        <v>0,2%</v>
      </c>
    </row>
    <row r="76" spans="1:26" ht="14.5" customHeight="1" x14ac:dyDescent="0.35">
      <c r="A76" s="623"/>
      <c r="B76" s="325" t="s">
        <v>101</v>
      </c>
      <c r="C76" s="327">
        <v>279864000</v>
      </c>
      <c r="D76" s="222">
        <v>12</v>
      </c>
      <c r="E76" s="308">
        <v>14</v>
      </c>
      <c r="F76" s="169">
        <v>352678108.82059997</v>
      </c>
      <c r="G76" s="169">
        <v>2009459.4594000001</v>
      </c>
      <c r="H76" s="327"/>
      <c r="I76" s="326">
        <f t="shared" si="60"/>
        <v>350668649.36119998</v>
      </c>
      <c r="J76" s="226">
        <f t="shared" si="61"/>
        <v>70804649.361199975</v>
      </c>
      <c r="K76" s="172">
        <f t="shared" si="62"/>
        <v>1.2529966317968726</v>
      </c>
      <c r="L76" s="369" t="str">
        <f t="shared" si="65"/>
        <v>0,55%</v>
      </c>
      <c r="M76" s="191"/>
      <c r="N76" s="191"/>
      <c r="O76" s="608"/>
      <c r="P76" s="325" t="s">
        <v>101</v>
      </c>
      <c r="Q76" s="173">
        <v>241113600</v>
      </c>
      <c r="R76" s="167">
        <v>13</v>
      </c>
      <c r="S76" s="308">
        <v>12</v>
      </c>
      <c r="T76" s="169">
        <v>314664873.87419993</v>
      </c>
      <c r="U76" s="170">
        <v>67101351.351799987</v>
      </c>
      <c r="V76" s="173"/>
      <c r="W76" s="326">
        <f t="shared" si="66"/>
        <v>247563522.52239993</v>
      </c>
      <c r="X76" s="226">
        <f t="shared" si="63"/>
        <v>6449922.5223999321</v>
      </c>
      <c r="Y76" s="172">
        <f t="shared" si="64"/>
        <v>1.0267505546033071</v>
      </c>
      <c r="Z76" s="369" t="str">
        <f t="shared" si="67"/>
        <v>0,45%</v>
      </c>
    </row>
    <row r="77" spans="1:26" ht="14.5" customHeight="1" thickBot="1" x14ac:dyDescent="0.4">
      <c r="A77" s="623"/>
      <c r="B77" s="352" t="s">
        <v>77</v>
      </c>
      <c r="C77" s="329">
        <f t="shared" ref="C77:H77" si="68">SUM(C71:C76)</f>
        <v>1216800000</v>
      </c>
      <c r="D77" s="178">
        <f t="shared" si="68"/>
        <v>94</v>
      </c>
      <c r="E77" s="178">
        <f t="shared" si="68"/>
        <v>98</v>
      </c>
      <c r="F77" s="329">
        <f t="shared" si="68"/>
        <v>1155283749.2876</v>
      </c>
      <c r="G77" s="330">
        <f t="shared" si="68"/>
        <v>11815315.315200001</v>
      </c>
      <c r="H77" s="329">
        <f t="shared" si="68"/>
        <v>0</v>
      </c>
      <c r="I77" s="329">
        <f t="shared" si="60"/>
        <v>1143468433.9724</v>
      </c>
      <c r="J77" s="329">
        <f t="shared" si="61"/>
        <v>-73331566.02760005</v>
      </c>
      <c r="K77" s="305">
        <f t="shared" si="62"/>
        <v>0.93973408446120965</v>
      </c>
      <c r="L77" s="369" t="str">
        <f>IF(K77&gt;100%,"CAPAI 100%",IF(K77&gt;90%,"CAPAI 90%","BELUM CAPAI"))</f>
        <v>CAPAI 90%</v>
      </c>
      <c r="N77" s="191"/>
      <c r="O77" s="609"/>
      <c r="P77" s="354" t="s">
        <v>77</v>
      </c>
      <c r="Q77" s="336">
        <f t="shared" ref="Q77:V77" si="69">SUM(Q71:Q76)</f>
        <v>1148160000</v>
      </c>
      <c r="R77" s="207">
        <f>SUM(R71:R76)</f>
        <v>99</v>
      </c>
      <c r="S77" s="207">
        <f t="shared" si="69"/>
        <v>90</v>
      </c>
      <c r="T77" s="336">
        <f t="shared" si="69"/>
        <v>1019303204.4056997</v>
      </c>
      <c r="U77" s="337">
        <f t="shared" si="69"/>
        <v>120353576.57739998</v>
      </c>
      <c r="V77" s="336">
        <f t="shared" si="69"/>
        <v>0</v>
      </c>
      <c r="W77" s="336">
        <f t="shared" si="66"/>
        <v>898949627.82829976</v>
      </c>
      <c r="X77" s="336">
        <f t="shared" si="63"/>
        <v>-249210372.17170024</v>
      </c>
      <c r="Y77" s="313">
        <f t="shared" si="64"/>
        <v>0.78294804541901808</v>
      </c>
      <c r="Z77" s="369" t="str">
        <f>IF(Y77&gt;100%,"CAPAI 100%",IF(Y77&gt;90%,"CAPAI 90%","BELUM CAPAI"))</f>
        <v>BELUM CAPAI</v>
      </c>
    </row>
    <row r="78" spans="1:26" ht="14.5" customHeight="1" x14ac:dyDescent="0.55000000000000004">
      <c r="B78" s="324" t="str">
        <f>$B$12</f>
        <v>TARGET Q1</v>
      </c>
      <c r="C78" s="243">
        <v>1095120000</v>
      </c>
      <c r="D78" s="597"/>
      <c r="E78" s="598"/>
      <c r="F78" s="598"/>
      <c r="G78" s="598"/>
      <c r="H78" s="599"/>
      <c r="I78" s="243">
        <f>I77</f>
        <v>1143468433.9724</v>
      </c>
      <c r="J78" s="243">
        <f>I78-C78</f>
        <v>48348433.97239995</v>
      </c>
      <c r="K78" s="183">
        <f t="shared" si="62"/>
        <v>1.0441489827346775</v>
      </c>
      <c r="O78" s="309"/>
      <c r="P78" s="324" t="str">
        <f>$B$12</f>
        <v>TARGET Q1</v>
      </c>
      <c r="Q78" s="243">
        <v>1033344000</v>
      </c>
      <c r="R78" s="597"/>
      <c r="S78" s="598"/>
      <c r="T78" s="598"/>
      <c r="U78" s="598"/>
      <c r="V78" s="599"/>
      <c r="W78" s="243">
        <f>W77</f>
        <v>898949627.82829976</v>
      </c>
      <c r="X78" s="243">
        <f>W78-Q78</f>
        <v>-134394372.17170024</v>
      </c>
      <c r="Y78" s="183">
        <f>W78/Q78</f>
        <v>0.86994227268779778</v>
      </c>
      <c r="Z78" s="192"/>
    </row>
    <row r="79" spans="1:26" ht="14.5" customHeight="1" thickBot="1" x14ac:dyDescent="0.6">
      <c r="C79" s="210">
        <f>C78/C77</f>
        <v>0.9</v>
      </c>
      <c r="O79" s="309"/>
      <c r="Q79" s="210">
        <f>Q78/Q77</f>
        <v>0.9</v>
      </c>
    </row>
    <row r="80" spans="1:26" ht="20.149999999999999" customHeight="1" x14ac:dyDescent="0.35">
      <c r="A80" s="623">
        <v>8</v>
      </c>
      <c r="B80" s="352" t="s">
        <v>57</v>
      </c>
      <c r="C80" s="353" t="s">
        <v>116</v>
      </c>
      <c r="D80" s="616" t="s">
        <v>91</v>
      </c>
      <c r="E80" s="616" t="s">
        <v>62</v>
      </c>
      <c r="F80" s="604" t="s">
        <v>117</v>
      </c>
      <c r="G80" s="605"/>
      <c r="H80" s="605"/>
      <c r="I80" s="606"/>
      <c r="J80" s="587" t="s">
        <v>65</v>
      </c>
      <c r="K80" s="352" t="s">
        <v>66</v>
      </c>
      <c r="O80" s="607">
        <v>8</v>
      </c>
      <c r="P80" s="354" t="s">
        <v>57</v>
      </c>
      <c r="Q80" s="355" t="s">
        <v>118</v>
      </c>
      <c r="R80" s="591" t="s">
        <v>91</v>
      </c>
      <c r="S80" s="591" t="s">
        <v>62</v>
      </c>
      <c r="T80" s="610" t="s">
        <v>117</v>
      </c>
      <c r="U80" s="611"/>
      <c r="V80" s="611"/>
      <c r="W80" s="612"/>
      <c r="X80" s="603" t="s">
        <v>65</v>
      </c>
      <c r="Y80" s="354" t="s">
        <v>66</v>
      </c>
    </row>
    <row r="81" spans="1:26" ht="33" customHeight="1" x14ac:dyDescent="0.35">
      <c r="A81" s="623"/>
      <c r="B81" s="352" t="s">
        <v>93</v>
      </c>
      <c r="C81" s="353" t="str">
        <f>C70</f>
        <v>TARGET 100%</v>
      </c>
      <c r="D81" s="617"/>
      <c r="E81" s="617"/>
      <c r="F81" s="163" t="str">
        <f>F4</f>
        <v>OMSET FEB
 (1-28)</v>
      </c>
      <c r="G81" s="163" t="str">
        <f>G4</f>
        <v>OMSET PRODUK</v>
      </c>
      <c r="H81" s="353" t="s">
        <v>63</v>
      </c>
      <c r="I81" s="353" t="s">
        <v>64</v>
      </c>
      <c r="J81" s="587"/>
      <c r="K81" s="164">
        <f>K70</f>
        <v>1</v>
      </c>
      <c r="O81" s="608"/>
      <c r="P81" s="354" t="s">
        <v>93</v>
      </c>
      <c r="Q81" s="355" t="str">
        <f>Q70</f>
        <v>TARGET 100%</v>
      </c>
      <c r="R81" s="592"/>
      <c r="S81" s="592"/>
      <c r="T81" s="200" t="str">
        <f>T4</f>
        <v>OMSET FEB
 (1-28)</v>
      </c>
      <c r="U81" s="200" t="str">
        <f>G4</f>
        <v>OMSET PRODUK</v>
      </c>
      <c r="V81" s="355" t="s">
        <v>63</v>
      </c>
      <c r="W81" s="355" t="s">
        <v>64</v>
      </c>
      <c r="X81" s="603"/>
      <c r="Y81" s="201">
        <f>K81</f>
        <v>1</v>
      </c>
    </row>
    <row r="82" spans="1:26" ht="14.5" customHeight="1" x14ac:dyDescent="0.35">
      <c r="A82" s="623"/>
      <c r="B82" s="325" t="s">
        <v>96</v>
      </c>
      <c r="C82" s="326">
        <v>113892480</v>
      </c>
      <c r="D82" s="222">
        <v>5</v>
      </c>
      <c r="E82" s="308">
        <v>4</v>
      </c>
      <c r="F82" s="169">
        <v>50128049.549399994</v>
      </c>
      <c r="G82" s="169">
        <v>2999099.0991000002</v>
      </c>
      <c r="H82" s="326"/>
      <c r="I82" s="326">
        <f>F82-G82</f>
        <v>47128950.450299993</v>
      </c>
      <c r="J82" s="226">
        <f t="shared" ref="J82:J88" si="70">I82-C82</f>
        <v>-66763529.549700007</v>
      </c>
      <c r="K82" s="172">
        <f t="shared" ref="K82:K89" si="71">I82/C82</f>
        <v>0.41380212679801154</v>
      </c>
      <c r="L82" s="369">
        <f>IF(K82&gt;120%,"0,55%", IF(K82&gt;100%,"0,45%", IF(K82&gt;80%,"0,35%", IF(K82&gt;60%,"0,2%", 0))))</f>
        <v>0</v>
      </c>
      <c r="O82" s="608"/>
      <c r="P82" s="325" t="s">
        <v>96</v>
      </c>
      <c r="Q82" s="166">
        <v>101836800.00000001</v>
      </c>
      <c r="R82" s="167">
        <v>8</v>
      </c>
      <c r="S82" s="308">
        <v>8</v>
      </c>
      <c r="T82" s="169">
        <v>42093837.837700017</v>
      </c>
      <c r="U82" s="170">
        <v>608108.10809999995</v>
      </c>
      <c r="V82" s="166"/>
      <c r="W82" s="326">
        <f t="shared" ref="W82:W88" si="72">T82-U82</f>
        <v>41485729.72960002</v>
      </c>
      <c r="X82" s="226">
        <f t="shared" ref="X82:X87" si="73">T82-Q82</f>
        <v>-59742962.162299998</v>
      </c>
      <c r="Y82" s="172">
        <f t="shared" ref="Y82:Y88" si="74">W82/Q82</f>
        <v>0.40737463991013084</v>
      </c>
      <c r="Z82" s="369">
        <f>IF(Y82&gt;120%,"0,55%", IF(Y82&gt;100%,"0,45%", IF(Y82&gt;80%,"0,35%", IF(Y82&gt;60%,"0,2%", 0))))</f>
        <v>0</v>
      </c>
    </row>
    <row r="83" spans="1:26" ht="16" customHeight="1" x14ac:dyDescent="0.35">
      <c r="A83" s="623"/>
      <c r="B83" s="325" t="s">
        <v>97</v>
      </c>
      <c r="C83" s="327">
        <v>96370560</v>
      </c>
      <c r="D83" s="222">
        <v>8</v>
      </c>
      <c r="E83" s="308">
        <v>7</v>
      </c>
      <c r="F83" s="169">
        <v>58072293.693500005</v>
      </c>
      <c r="G83" s="328"/>
      <c r="H83" s="327"/>
      <c r="I83" s="326">
        <f t="shared" ref="I83:I88" si="75">F83-G83</f>
        <v>58072293.693500005</v>
      </c>
      <c r="J83" s="226">
        <f t="shared" si="70"/>
        <v>-38298266.306499995</v>
      </c>
      <c r="K83" s="172">
        <f t="shared" si="71"/>
        <v>0.60259371423700359</v>
      </c>
      <c r="L83" s="369" t="str">
        <f t="shared" ref="L83:L87" si="76">IF(K83&gt;120%,"0,55%", IF(K83&gt;100%,"0,45%", IF(K83&gt;80%,"0,35%", IF(K83&gt;60%,"0,2%", 0))))</f>
        <v>0,2%</v>
      </c>
      <c r="O83" s="608"/>
      <c r="P83" s="325" t="s">
        <v>97</v>
      </c>
      <c r="Q83" s="173">
        <v>84864000.000000015</v>
      </c>
      <c r="R83" s="167">
        <v>4</v>
      </c>
      <c r="S83" s="308">
        <v>4</v>
      </c>
      <c r="T83" s="169">
        <v>11077180.180200001</v>
      </c>
      <c r="U83" s="174"/>
      <c r="V83" s="173"/>
      <c r="W83" s="326">
        <f t="shared" si="72"/>
        <v>11077180.180200001</v>
      </c>
      <c r="X83" s="226">
        <f t="shared" si="73"/>
        <v>-73786819.819800019</v>
      </c>
      <c r="Y83" s="172">
        <f>W83/Q83</f>
        <v>0.13052861260605203</v>
      </c>
      <c r="Z83" s="369">
        <f t="shared" ref="Z83:Z87" si="77">IF(Y83&gt;120%,"0,55%", IF(Y83&gt;100%,"0,45%", IF(Y83&gt;80%,"0,35%", IF(Y83&gt;60%,"0,2%", 0))))</f>
        <v>0</v>
      </c>
    </row>
    <row r="84" spans="1:26" ht="14.5" customHeight="1" x14ac:dyDescent="0.35">
      <c r="A84" s="623"/>
      <c r="B84" s="325" t="s">
        <v>98</v>
      </c>
      <c r="C84" s="327">
        <v>122653440.00000001</v>
      </c>
      <c r="D84" s="222">
        <v>15</v>
      </c>
      <c r="E84" s="308">
        <v>12</v>
      </c>
      <c r="F84" s="169">
        <v>49982392.79240001</v>
      </c>
      <c r="G84" s="169">
        <v>639639.63959999999</v>
      </c>
      <c r="H84" s="327"/>
      <c r="I84" s="326">
        <f t="shared" si="75"/>
        <v>49342753.152800009</v>
      </c>
      <c r="J84" s="226">
        <f t="shared" si="70"/>
        <v>-73310686.847200006</v>
      </c>
      <c r="K84" s="172">
        <f t="shared" si="71"/>
        <v>0.40229408284675916</v>
      </c>
      <c r="L84" s="369">
        <f t="shared" si="76"/>
        <v>0</v>
      </c>
      <c r="O84" s="608"/>
      <c r="P84" s="325" t="s">
        <v>98</v>
      </c>
      <c r="Q84" s="173">
        <v>93350400.000000015</v>
      </c>
      <c r="R84" s="167">
        <v>6</v>
      </c>
      <c r="S84" s="308">
        <v>4</v>
      </c>
      <c r="T84" s="169">
        <v>41156590.090399995</v>
      </c>
      <c r="U84" s="170">
        <v>1240990.9909999999</v>
      </c>
      <c r="V84" s="173"/>
      <c r="W84" s="326">
        <f t="shared" si="72"/>
        <v>39915599.099399999</v>
      </c>
      <c r="X84" s="226">
        <f t="shared" si="73"/>
        <v>-52193809.909600019</v>
      </c>
      <c r="Y84" s="172">
        <f t="shared" si="74"/>
        <v>0.4275889455149629</v>
      </c>
      <c r="Z84" s="369">
        <f t="shared" si="77"/>
        <v>0</v>
      </c>
    </row>
    <row r="85" spans="1:26" ht="14.5" customHeight="1" x14ac:dyDescent="0.35">
      <c r="A85" s="623"/>
      <c r="B85" s="325" t="s">
        <v>99</v>
      </c>
      <c r="C85" s="327">
        <v>96370560</v>
      </c>
      <c r="D85" s="222">
        <v>11</v>
      </c>
      <c r="E85" s="308">
        <v>6</v>
      </c>
      <c r="F85" s="169">
        <v>17450639.6393</v>
      </c>
      <c r="G85" s="169">
        <v>319819.8198</v>
      </c>
      <c r="H85" s="327"/>
      <c r="I85" s="326">
        <f t="shared" si="75"/>
        <v>17130819.819499999</v>
      </c>
      <c r="J85" s="226">
        <f t="shared" si="70"/>
        <v>-79239740.180500001</v>
      </c>
      <c r="K85" s="172">
        <f t="shared" si="71"/>
        <v>0.17775988662408934</v>
      </c>
      <c r="L85" s="369">
        <f t="shared" si="76"/>
        <v>0</v>
      </c>
      <c r="O85" s="608"/>
      <c r="P85" s="325" t="s">
        <v>99</v>
      </c>
      <c r="Q85" s="173">
        <v>84864000.000000015</v>
      </c>
      <c r="R85" s="167">
        <v>10</v>
      </c>
      <c r="S85" s="308">
        <v>8</v>
      </c>
      <c r="T85" s="169">
        <v>58193364.864699975</v>
      </c>
      <c r="U85" s="170"/>
      <c r="V85" s="173"/>
      <c r="W85" s="326">
        <f t="shared" si="72"/>
        <v>58193364.864699975</v>
      </c>
      <c r="X85" s="226">
        <f t="shared" si="73"/>
        <v>-26670635.13530004</v>
      </c>
      <c r="Y85" s="172">
        <f t="shared" si="74"/>
        <v>0.68572498190870057</v>
      </c>
      <c r="Z85" s="369" t="str">
        <f t="shared" si="77"/>
        <v>0,2%</v>
      </c>
    </row>
    <row r="86" spans="1:26" ht="14.5" customHeight="1" x14ac:dyDescent="0.35">
      <c r="A86" s="623"/>
      <c r="B86" s="325" t="s">
        <v>100</v>
      </c>
      <c r="C86" s="327">
        <v>219024000</v>
      </c>
      <c r="D86" s="222">
        <v>14</v>
      </c>
      <c r="E86" s="308">
        <v>14</v>
      </c>
      <c r="F86" s="169">
        <v>83726400.450299919</v>
      </c>
      <c r="G86" s="169"/>
      <c r="H86" s="327"/>
      <c r="I86" s="326">
        <f t="shared" si="75"/>
        <v>83726400.450299919</v>
      </c>
      <c r="J86" s="226">
        <f t="shared" si="70"/>
        <v>-135297599.54970008</v>
      </c>
      <c r="K86" s="172">
        <f t="shared" si="71"/>
        <v>0.38227043817252865</v>
      </c>
      <c r="L86" s="369">
        <f t="shared" si="76"/>
        <v>0</v>
      </c>
      <c r="O86" s="608"/>
      <c r="P86" s="325" t="s">
        <v>100</v>
      </c>
      <c r="Q86" s="173">
        <v>271564800.00000006</v>
      </c>
      <c r="R86" s="167">
        <v>15</v>
      </c>
      <c r="S86" s="308">
        <v>12</v>
      </c>
      <c r="T86" s="169">
        <v>267183612.47710004</v>
      </c>
      <c r="U86" s="170"/>
      <c r="V86" s="173"/>
      <c r="W86" s="326">
        <f t="shared" si="72"/>
        <v>267183612.47710004</v>
      </c>
      <c r="X86" s="226">
        <f t="shared" si="73"/>
        <v>-4381187.5229000151</v>
      </c>
      <c r="Y86" s="172">
        <f t="shared" si="74"/>
        <v>0.98386687993841615</v>
      </c>
      <c r="Z86" s="369" t="str">
        <f t="shared" si="77"/>
        <v>0,35%</v>
      </c>
    </row>
    <row r="87" spans="1:26" ht="14.5" customHeight="1" x14ac:dyDescent="0.35">
      <c r="A87" s="623"/>
      <c r="B87" s="325" t="s">
        <v>101</v>
      </c>
      <c r="C87" s="327">
        <v>227784960</v>
      </c>
      <c r="D87" s="222">
        <v>19</v>
      </c>
      <c r="E87" s="308">
        <v>15</v>
      </c>
      <c r="F87" s="169">
        <v>103539415.59399997</v>
      </c>
      <c r="G87" s="169"/>
      <c r="H87" s="327"/>
      <c r="I87" s="326">
        <f t="shared" si="75"/>
        <v>103539415.59399997</v>
      </c>
      <c r="J87" s="226">
        <f t="shared" si="70"/>
        <v>-124245544.40600003</v>
      </c>
      <c r="K87" s="172">
        <f t="shared" si="71"/>
        <v>0.45454895526903955</v>
      </c>
      <c r="L87" s="369">
        <f t="shared" si="76"/>
        <v>0</v>
      </c>
      <c r="O87" s="608"/>
      <c r="P87" s="325" t="s">
        <v>101</v>
      </c>
      <c r="Q87" s="173">
        <v>212160000.00000003</v>
      </c>
      <c r="R87" s="167">
        <v>11</v>
      </c>
      <c r="S87" s="308">
        <v>8</v>
      </c>
      <c r="T87" s="169">
        <v>74144824.324300021</v>
      </c>
      <c r="U87" s="170">
        <v>5873873.8739</v>
      </c>
      <c r="V87" s="173"/>
      <c r="W87" s="326">
        <f t="shared" si="72"/>
        <v>68270950.450400025</v>
      </c>
      <c r="X87" s="226">
        <f t="shared" si="73"/>
        <v>-138015175.67570001</v>
      </c>
      <c r="Y87" s="172">
        <f>W87/Q87</f>
        <v>0.32178992482277535</v>
      </c>
      <c r="Z87" s="369">
        <f t="shared" si="77"/>
        <v>0</v>
      </c>
    </row>
    <row r="88" spans="1:26" ht="14.5" customHeight="1" thickBot="1" x14ac:dyDescent="0.4">
      <c r="A88" s="623"/>
      <c r="B88" s="352" t="s">
        <v>77</v>
      </c>
      <c r="C88" s="329">
        <f t="shared" ref="C88:H88" si="78">SUM(C82:C87)</f>
        <v>876096000</v>
      </c>
      <c r="D88" s="178">
        <f t="shared" si="78"/>
        <v>72</v>
      </c>
      <c r="E88" s="178">
        <f t="shared" si="78"/>
        <v>58</v>
      </c>
      <c r="F88" s="329">
        <f t="shared" si="78"/>
        <v>362899191.71889991</v>
      </c>
      <c r="G88" s="330">
        <f t="shared" si="78"/>
        <v>3958558.5585000003</v>
      </c>
      <c r="H88" s="329">
        <f t="shared" si="78"/>
        <v>0</v>
      </c>
      <c r="I88" s="329">
        <f t="shared" si="75"/>
        <v>358940633.16039991</v>
      </c>
      <c r="J88" s="329">
        <f t="shared" si="70"/>
        <v>-517155366.83960009</v>
      </c>
      <c r="K88" s="305">
        <f>I88/C88</f>
        <v>0.40970468209009048</v>
      </c>
      <c r="L88" s="369" t="str">
        <f>IF(K88&gt;100%,"CAPAI 100%",IF(K88&gt;90%,"CAPAI 90%","BELUM CAPAI"))</f>
        <v>BELUM CAPAI</v>
      </c>
      <c r="O88" s="609"/>
      <c r="P88" s="354" t="s">
        <v>77</v>
      </c>
      <c r="Q88" s="336">
        <f t="shared" ref="Q88:V88" si="79">SUM(Q82:Q87)</f>
        <v>848640000.00000012</v>
      </c>
      <c r="R88" s="207">
        <f>SUM(R82:R87)</f>
        <v>54</v>
      </c>
      <c r="S88" s="207">
        <f t="shared" si="79"/>
        <v>44</v>
      </c>
      <c r="T88" s="336">
        <f t="shared" si="79"/>
        <v>493849409.77440012</v>
      </c>
      <c r="U88" s="337">
        <f t="shared" si="79"/>
        <v>7722972.9729999993</v>
      </c>
      <c r="V88" s="336">
        <f t="shared" si="79"/>
        <v>0</v>
      </c>
      <c r="W88" s="336">
        <f t="shared" si="72"/>
        <v>486126436.80140013</v>
      </c>
      <c r="X88" s="336">
        <f>W88-Q88</f>
        <v>-362513563.19859999</v>
      </c>
      <c r="Y88" s="313">
        <f t="shared" si="74"/>
        <v>0.572829983033324</v>
      </c>
      <c r="Z88" s="369" t="str">
        <f>IF(Y88&gt;100%,"CAPAI 100%",IF(Y88&gt;90%,"CAPAI 90%","BELUM CAPAI"))</f>
        <v>BELUM CAPAI</v>
      </c>
    </row>
    <row r="89" spans="1:26" ht="14.5" customHeight="1" x14ac:dyDescent="0.55000000000000004">
      <c r="B89" s="324" t="str">
        <f>$B$12</f>
        <v>TARGET Q1</v>
      </c>
      <c r="C89" s="243">
        <v>788486400</v>
      </c>
      <c r="D89" s="597"/>
      <c r="E89" s="598"/>
      <c r="F89" s="598"/>
      <c r="G89" s="598"/>
      <c r="H89" s="599"/>
      <c r="I89" s="243">
        <f>I88</f>
        <v>358940633.16039991</v>
      </c>
      <c r="J89" s="243">
        <f>I89-C89</f>
        <v>-429545766.83960009</v>
      </c>
      <c r="K89" s="183">
        <f t="shared" si="71"/>
        <v>0.45522742454454496</v>
      </c>
      <c r="O89" s="309"/>
      <c r="P89" s="324" t="str">
        <f>$B$12</f>
        <v>TARGET Q1</v>
      </c>
      <c r="Q89" s="243">
        <v>763776000.00000012</v>
      </c>
      <c r="R89" s="597"/>
      <c r="S89" s="598"/>
      <c r="T89" s="598"/>
      <c r="U89" s="598"/>
      <c r="V89" s="599"/>
      <c r="W89" s="243">
        <f>W88</f>
        <v>486126436.80140013</v>
      </c>
      <c r="X89" s="243">
        <f>W89-Q89</f>
        <v>-277649563.19859999</v>
      </c>
      <c r="Y89" s="183">
        <f>W89/Q89</f>
        <v>0.63647775892591552</v>
      </c>
      <c r="Z89" s="192"/>
    </row>
    <row r="90" spans="1:26" ht="24" thickBot="1" x14ac:dyDescent="0.6">
      <c r="C90" s="210">
        <f>C89/C88</f>
        <v>0.9</v>
      </c>
      <c r="O90" s="309"/>
      <c r="Q90" s="210">
        <f>Q89/Q88</f>
        <v>0.9</v>
      </c>
    </row>
    <row r="91" spans="1:26" ht="20.5" customHeight="1" x14ac:dyDescent="0.35">
      <c r="A91" s="624">
        <v>9</v>
      </c>
      <c r="B91" s="352" t="s">
        <v>57</v>
      </c>
      <c r="C91" s="353" t="s">
        <v>43</v>
      </c>
      <c r="D91" s="616" t="s">
        <v>91</v>
      </c>
      <c r="E91" s="616" t="s">
        <v>62</v>
      </c>
      <c r="F91" s="604" t="s">
        <v>119</v>
      </c>
      <c r="G91" s="605"/>
      <c r="H91" s="605"/>
      <c r="I91" s="606"/>
      <c r="J91" s="587" t="s">
        <v>65</v>
      </c>
      <c r="K91" s="352" t="s">
        <v>66</v>
      </c>
      <c r="O91" s="607">
        <v>9</v>
      </c>
      <c r="P91" s="354" t="s">
        <v>57</v>
      </c>
      <c r="Q91" s="355" t="s">
        <v>120</v>
      </c>
      <c r="R91" s="591" t="s">
        <v>91</v>
      </c>
      <c r="S91" s="591" t="s">
        <v>62</v>
      </c>
      <c r="T91" s="610" t="s">
        <v>119</v>
      </c>
      <c r="U91" s="611"/>
      <c r="V91" s="611"/>
      <c r="W91" s="612"/>
      <c r="X91" s="595" t="s">
        <v>65</v>
      </c>
      <c r="Y91" s="354" t="s">
        <v>66</v>
      </c>
    </row>
    <row r="92" spans="1:26" ht="33.65" customHeight="1" x14ac:dyDescent="0.35">
      <c r="A92" s="625"/>
      <c r="B92" s="352" t="s">
        <v>93</v>
      </c>
      <c r="C92" s="353" t="str">
        <f>C81</f>
        <v>TARGET 100%</v>
      </c>
      <c r="D92" s="617"/>
      <c r="E92" s="617"/>
      <c r="F92" s="163" t="str">
        <f>F4</f>
        <v>OMSET FEB
 (1-28)</v>
      </c>
      <c r="G92" s="163" t="str">
        <f>G4</f>
        <v>OMSET PRODUK</v>
      </c>
      <c r="H92" s="353" t="s">
        <v>63</v>
      </c>
      <c r="I92" s="353" t="s">
        <v>64</v>
      </c>
      <c r="J92" s="587"/>
      <c r="K92" s="164">
        <f>K81</f>
        <v>1</v>
      </c>
      <c r="O92" s="608"/>
      <c r="P92" s="354" t="s">
        <v>93</v>
      </c>
      <c r="Q92" s="355" t="str">
        <f>Q81</f>
        <v>TARGET 100%</v>
      </c>
      <c r="R92" s="592"/>
      <c r="S92" s="592"/>
      <c r="T92" s="200" t="str">
        <f>T15</f>
        <v>OMSET FEB
 (1-28)</v>
      </c>
      <c r="U92" s="200" t="str">
        <f>G4</f>
        <v>OMSET PRODUK</v>
      </c>
      <c r="V92" s="355" t="s">
        <v>63</v>
      </c>
      <c r="W92" s="355" t="s">
        <v>64</v>
      </c>
      <c r="X92" s="596"/>
      <c r="Y92" s="201">
        <f>K92</f>
        <v>1</v>
      </c>
    </row>
    <row r="93" spans="1:26" x14ac:dyDescent="0.35">
      <c r="A93" s="625"/>
      <c r="B93" s="325" t="s">
        <v>96</v>
      </c>
      <c r="C93" s="326">
        <v>194201280</v>
      </c>
      <c r="D93" s="222">
        <v>25</v>
      </c>
      <c r="E93" s="308">
        <v>19</v>
      </c>
      <c r="F93" s="169">
        <v>198060035.13830006</v>
      </c>
      <c r="G93" s="169">
        <v>3500000</v>
      </c>
      <c r="H93" s="326"/>
      <c r="I93" s="326">
        <f t="shared" ref="I93:I99" si="80">F93-G93</f>
        <v>194560035.13830006</v>
      </c>
      <c r="J93" s="226">
        <f t="shared" ref="J93:J99" si="81">I93-C93</f>
        <v>358755.13830006123</v>
      </c>
      <c r="K93" s="172">
        <f t="shared" ref="K93:K100" si="82">I93/C93</f>
        <v>1.0018473366308402</v>
      </c>
      <c r="L93" s="369" t="str">
        <f>IF(K93&gt;120%,"0,55%", IF(K93&gt;100%,"0,45%", IF(K93&gt;80%,"0,35%", IF(K93&gt;60%,"0,2%", 0))))</f>
        <v>0,45%</v>
      </c>
      <c r="O93" s="608"/>
      <c r="P93" s="325" t="s">
        <v>96</v>
      </c>
      <c r="Q93" s="166">
        <v>89856000</v>
      </c>
      <c r="R93" s="167">
        <v>14</v>
      </c>
      <c r="S93" s="308">
        <v>9</v>
      </c>
      <c r="T93" s="169">
        <v>49796472.972900003</v>
      </c>
      <c r="U93" s="170">
        <v>1761261.2613000001</v>
      </c>
      <c r="V93" s="166"/>
      <c r="W93" s="326">
        <f t="shared" ref="W93:W99" si="83">T93-U93</f>
        <v>48035211.711600006</v>
      </c>
      <c r="X93" s="226">
        <f t="shared" ref="X93:X98" si="84">T93-Q93</f>
        <v>-40059527.027099997</v>
      </c>
      <c r="Y93" s="172">
        <f t="shared" ref="Y93:Y99" si="85">W93/Q93</f>
        <v>0.53457990241720088</v>
      </c>
      <c r="Z93" s="369">
        <f>IF(Y93&gt;120%,"0,55%", IF(Y93&gt;100%,"0,45%", IF(Y93&gt;80%,"0,35%", IF(Y93&gt;60%,"0,2%", 0))))</f>
        <v>0</v>
      </c>
    </row>
    <row r="94" spans="1:26" x14ac:dyDescent="0.35">
      <c r="A94" s="625"/>
      <c r="B94" s="325" t="s">
        <v>97</v>
      </c>
      <c r="C94" s="327">
        <v>157210560</v>
      </c>
      <c r="D94" s="222">
        <v>14</v>
      </c>
      <c r="E94" s="308">
        <v>12</v>
      </c>
      <c r="F94" s="169">
        <v>103064899.45809999</v>
      </c>
      <c r="G94" s="328"/>
      <c r="H94" s="327"/>
      <c r="I94" s="326">
        <f t="shared" si="80"/>
        <v>103064899.45809999</v>
      </c>
      <c r="J94" s="226">
        <f t="shared" si="81"/>
        <v>-54145660.541900009</v>
      </c>
      <c r="K94" s="172">
        <f t="shared" si="82"/>
        <v>0.65558509210895244</v>
      </c>
      <c r="L94" s="369" t="str">
        <f t="shared" ref="L94:L98" si="86">IF(K94&gt;120%,"0,55%", IF(K94&gt;100%,"0,45%", IF(K94&gt;80%,"0,35%", IF(K94&gt;60%,"0,2%", 0))))</f>
        <v>0,2%</v>
      </c>
      <c r="O94" s="608"/>
      <c r="P94" s="325" t="s">
        <v>97</v>
      </c>
      <c r="Q94" s="173">
        <v>323481600</v>
      </c>
      <c r="R94" s="167">
        <v>15</v>
      </c>
      <c r="S94" s="308">
        <v>15</v>
      </c>
      <c r="T94" s="169">
        <v>163136315.31500003</v>
      </c>
      <c r="U94" s="174">
        <v>2948198.1982</v>
      </c>
      <c r="V94" s="173"/>
      <c r="W94" s="326">
        <f t="shared" si="83"/>
        <v>160188117.11680004</v>
      </c>
      <c r="X94" s="226">
        <f t="shared" si="84"/>
        <v>-160345284.68499997</v>
      </c>
      <c r="Y94" s="172">
        <f t="shared" si="85"/>
        <v>0.4952000890214468</v>
      </c>
      <c r="Z94" s="369">
        <f t="shared" ref="Z94:Z98" si="87">IF(Y94&gt;120%,"0,55%", IF(Y94&gt;100%,"0,45%", IF(Y94&gt;80%,"0,35%", IF(Y94&gt;60%,"0,2%", 0))))</f>
        <v>0</v>
      </c>
    </row>
    <row r="95" spans="1:26" x14ac:dyDescent="0.35">
      <c r="A95" s="625"/>
      <c r="B95" s="325" t="s">
        <v>98</v>
      </c>
      <c r="C95" s="327">
        <v>175705920</v>
      </c>
      <c r="D95" s="222">
        <v>19</v>
      </c>
      <c r="E95" s="308">
        <v>14</v>
      </c>
      <c r="F95" s="169">
        <v>131188006.30580004</v>
      </c>
      <c r="G95" s="169"/>
      <c r="H95" s="327"/>
      <c r="I95" s="326">
        <f>F95-G95</f>
        <v>131188006.30580004</v>
      </c>
      <c r="J95" s="226">
        <f t="shared" si="81"/>
        <v>-44517913.694199964</v>
      </c>
      <c r="K95" s="172">
        <f t="shared" si="82"/>
        <v>0.74663395693099033</v>
      </c>
      <c r="L95" s="369" t="str">
        <f t="shared" si="86"/>
        <v>0,2%</v>
      </c>
      <c r="O95" s="608"/>
      <c r="P95" s="325" t="s">
        <v>98</v>
      </c>
      <c r="Q95" s="173">
        <v>125798400.00000001</v>
      </c>
      <c r="R95" s="167">
        <v>19</v>
      </c>
      <c r="S95" s="308">
        <v>10</v>
      </c>
      <c r="T95" s="169">
        <v>55830810.810799994</v>
      </c>
      <c r="U95" s="170"/>
      <c r="V95" s="173"/>
      <c r="W95" s="326">
        <f t="shared" si="83"/>
        <v>55830810.810799994</v>
      </c>
      <c r="X95" s="226">
        <f t="shared" si="84"/>
        <v>-69967589.189200014</v>
      </c>
      <c r="Y95" s="172">
        <f t="shared" si="85"/>
        <v>0.44381177193668592</v>
      </c>
      <c r="Z95" s="369">
        <f t="shared" si="87"/>
        <v>0</v>
      </c>
    </row>
    <row r="96" spans="1:26" x14ac:dyDescent="0.35">
      <c r="A96" s="625"/>
      <c r="B96" s="325" t="s">
        <v>99</v>
      </c>
      <c r="C96" s="327">
        <v>157210560</v>
      </c>
      <c r="D96" s="222">
        <v>16</v>
      </c>
      <c r="E96" s="308">
        <v>16</v>
      </c>
      <c r="F96" s="169">
        <v>155716593.69260001</v>
      </c>
      <c r="G96" s="169"/>
      <c r="H96" s="327"/>
      <c r="I96" s="326">
        <f>F96-G96</f>
        <v>155716593.69260001</v>
      </c>
      <c r="J96" s="226">
        <f t="shared" si="81"/>
        <v>-1493966.3073999882</v>
      </c>
      <c r="K96" s="172">
        <f t="shared" si="82"/>
        <v>0.99049703590267735</v>
      </c>
      <c r="L96" s="369" t="str">
        <f t="shared" si="86"/>
        <v>0,35%</v>
      </c>
      <c r="O96" s="608"/>
      <c r="P96" s="325" t="s">
        <v>99</v>
      </c>
      <c r="Q96" s="173">
        <v>107827200</v>
      </c>
      <c r="R96" s="167">
        <v>13</v>
      </c>
      <c r="S96" s="308">
        <v>11</v>
      </c>
      <c r="T96" s="169">
        <v>96381373.873299971</v>
      </c>
      <c r="U96" s="170">
        <v>6909909.910099999</v>
      </c>
      <c r="V96" s="173"/>
      <c r="W96" s="326">
        <f t="shared" si="83"/>
        <v>89471463.963199973</v>
      </c>
      <c r="X96" s="226">
        <f t="shared" si="84"/>
        <v>-11445826.126700029</v>
      </c>
      <c r="Y96" s="172">
        <f t="shared" si="85"/>
        <v>0.82976710851436353</v>
      </c>
      <c r="Z96" s="369" t="str">
        <f t="shared" si="87"/>
        <v>0,35%</v>
      </c>
    </row>
    <row r="97" spans="1:27" x14ac:dyDescent="0.35">
      <c r="A97" s="625"/>
      <c r="B97" s="325" t="s">
        <v>100</v>
      </c>
      <c r="C97" s="327">
        <v>110972160</v>
      </c>
      <c r="D97" s="222">
        <v>17</v>
      </c>
      <c r="E97" s="308">
        <v>14</v>
      </c>
      <c r="F97" s="169">
        <v>82030253.603099957</v>
      </c>
      <c r="G97" s="169">
        <v>319819.8198</v>
      </c>
      <c r="H97" s="327"/>
      <c r="I97" s="326">
        <f t="shared" si="80"/>
        <v>81710433.783299953</v>
      </c>
      <c r="J97" s="226">
        <f t="shared" si="81"/>
        <v>-29261726.216700047</v>
      </c>
      <c r="K97" s="172">
        <f t="shared" si="82"/>
        <v>0.7363147097731535</v>
      </c>
      <c r="L97" s="369" t="str">
        <f t="shared" si="86"/>
        <v>0,2%</v>
      </c>
      <c r="O97" s="608"/>
      <c r="P97" s="325" t="s">
        <v>100</v>
      </c>
      <c r="Q97" s="173">
        <v>116812800</v>
      </c>
      <c r="R97" s="167">
        <v>8</v>
      </c>
      <c r="S97" s="308">
        <v>7</v>
      </c>
      <c r="T97" s="169">
        <v>56022265.765399992</v>
      </c>
      <c r="U97" s="170"/>
      <c r="V97" s="173"/>
      <c r="W97" s="326">
        <f t="shared" si="83"/>
        <v>56022265.765399992</v>
      </c>
      <c r="X97" s="226">
        <f t="shared" si="84"/>
        <v>-60790534.234600008</v>
      </c>
      <c r="Y97" s="172">
        <f t="shared" si="85"/>
        <v>0.47959012852529853</v>
      </c>
      <c r="Z97" s="369">
        <f t="shared" si="87"/>
        <v>0</v>
      </c>
    </row>
    <row r="98" spans="1:27" x14ac:dyDescent="0.35">
      <c r="A98" s="625"/>
      <c r="B98" s="325" t="s">
        <v>101</v>
      </c>
      <c r="C98" s="327">
        <v>129467520.00000001</v>
      </c>
      <c r="D98" s="222">
        <v>15</v>
      </c>
      <c r="E98" s="308">
        <v>11</v>
      </c>
      <c r="F98" s="169">
        <v>127822498.37410001</v>
      </c>
      <c r="G98" s="169">
        <v>350000</v>
      </c>
      <c r="H98" s="327"/>
      <c r="I98" s="326">
        <f t="shared" si="80"/>
        <v>127472498.37410001</v>
      </c>
      <c r="J98" s="226">
        <f t="shared" si="81"/>
        <v>-1995021.6259000003</v>
      </c>
      <c r="K98" s="172">
        <f t="shared" si="82"/>
        <v>0.98459056274577594</v>
      </c>
      <c r="L98" s="369" t="str">
        <f t="shared" si="86"/>
        <v>0,35%</v>
      </c>
      <c r="O98" s="608"/>
      <c r="P98" s="325" t="s">
        <v>101</v>
      </c>
      <c r="Q98" s="173">
        <v>134784000</v>
      </c>
      <c r="R98" s="167">
        <v>8</v>
      </c>
      <c r="S98" s="308">
        <v>6</v>
      </c>
      <c r="T98" s="169">
        <v>55353058.558200002</v>
      </c>
      <c r="U98" s="170">
        <v>1756756.7568000001</v>
      </c>
      <c r="V98" s="173"/>
      <c r="W98" s="326">
        <f t="shared" si="83"/>
        <v>53596301.801399998</v>
      </c>
      <c r="X98" s="226">
        <f t="shared" si="84"/>
        <v>-79430941.441799998</v>
      </c>
      <c r="Y98" s="172">
        <f t="shared" si="85"/>
        <v>0.39764587637553417</v>
      </c>
      <c r="Z98" s="369">
        <f t="shared" si="87"/>
        <v>0</v>
      </c>
    </row>
    <row r="99" spans="1:27" s="187" customFormat="1" ht="14.5" customHeight="1" thickBot="1" x14ac:dyDescent="0.4">
      <c r="A99" s="625"/>
      <c r="B99" s="352" t="s">
        <v>77</v>
      </c>
      <c r="C99" s="329">
        <f t="shared" ref="C99:H99" si="88">SUM(C93:C98)</f>
        <v>924768000</v>
      </c>
      <c r="D99" s="178">
        <f t="shared" si="88"/>
        <v>106</v>
      </c>
      <c r="E99" s="178">
        <f t="shared" si="88"/>
        <v>86</v>
      </c>
      <c r="F99" s="329">
        <f t="shared" si="88"/>
        <v>797882286.57199991</v>
      </c>
      <c r="G99" s="330">
        <f t="shared" si="88"/>
        <v>4169819.8198000002</v>
      </c>
      <c r="H99" s="329">
        <f t="shared" si="88"/>
        <v>0</v>
      </c>
      <c r="I99" s="329">
        <f t="shared" si="80"/>
        <v>793712466.75219989</v>
      </c>
      <c r="J99" s="329">
        <f t="shared" si="81"/>
        <v>-131055533.24780011</v>
      </c>
      <c r="K99" s="305">
        <f t="shared" si="82"/>
        <v>0.8582827982285286</v>
      </c>
      <c r="L99" s="369" t="str">
        <f>IF(K99&gt;100%,"CAPAI 100%",IF(K99&gt;90%,"CAPAI 90%","BELUM CAPAI"))</f>
        <v>BELUM CAPAI</v>
      </c>
      <c r="M99" s="217"/>
      <c r="O99" s="609"/>
      <c r="P99" s="354" t="s">
        <v>77</v>
      </c>
      <c r="Q99" s="336">
        <f t="shared" ref="Q99:V99" si="89">SUM(Q93:Q98)</f>
        <v>898560000</v>
      </c>
      <c r="R99" s="207">
        <f t="shared" si="89"/>
        <v>77</v>
      </c>
      <c r="S99" s="207">
        <f>SUM(S93:S98)</f>
        <v>58</v>
      </c>
      <c r="T99" s="336">
        <f t="shared" si="89"/>
        <v>476520297.2956</v>
      </c>
      <c r="U99" s="337">
        <f t="shared" si="89"/>
        <v>13376126.126399998</v>
      </c>
      <c r="V99" s="336">
        <f t="shared" si="89"/>
        <v>0</v>
      </c>
      <c r="W99" s="336">
        <f t="shared" si="83"/>
        <v>463144171.1692</v>
      </c>
      <c r="X99" s="336">
        <f>W99-Q99</f>
        <v>-435415828.8308</v>
      </c>
      <c r="Y99" s="313">
        <f t="shared" si="85"/>
        <v>0.51542932154691956</v>
      </c>
      <c r="Z99" s="369" t="str">
        <f>IF(Y99&gt;100%,"CAPAI 100%",IF(Y99&gt;90%,"CAPAI 90%","BELUM CAPAI"))</f>
        <v>BELUM CAPAI</v>
      </c>
      <c r="AA99" s="218"/>
    </row>
    <row r="100" spans="1:27" ht="15" customHeight="1" x14ac:dyDescent="0.55000000000000004">
      <c r="A100" s="219"/>
      <c r="B100" s="324" t="str">
        <f>$B$12</f>
        <v>TARGET Q1</v>
      </c>
      <c r="C100" s="243">
        <v>832291200</v>
      </c>
      <c r="D100" s="597"/>
      <c r="E100" s="598"/>
      <c r="F100" s="598"/>
      <c r="G100" s="598"/>
      <c r="H100" s="599"/>
      <c r="I100" s="243">
        <f>I99</f>
        <v>793712466.75219989</v>
      </c>
      <c r="J100" s="243">
        <f>I100-C100</f>
        <v>-38578733.247800112</v>
      </c>
      <c r="K100" s="183">
        <f t="shared" si="82"/>
        <v>0.95364755358725395</v>
      </c>
      <c r="O100" s="309"/>
      <c r="P100" s="324" t="str">
        <f>$B$12</f>
        <v>TARGET Q1</v>
      </c>
      <c r="Q100" s="243">
        <v>808704000</v>
      </c>
      <c r="R100" s="597"/>
      <c r="S100" s="598"/>
      <c r="T100" s="598"/>
      <c r="U100" s="598"/>
      <c r="V100" s="599"/>
      <c r="W100" s="243">
        <f>W99</f>
        <v>463144171.1692</v>
      </c>
      <c r="X100" s="243">
        <f>W100-Q100</f>
        <v>-345559828.8308</v>
      </c>
      <c r="Y100" s="183">
        <f>W100/Q100</f>
        <v>0.57269924616324386</v>
      </c>
      <c r="Z100" s="192"/>
    </row>
    <row r="101" spans="1:27" ht="24" thickBot="1" x14ac:dyDescent="0.6">
      <c r="C101" s="210">
        <f>C100/C99</f>
        <v>0.9</v>
      </c>
      <c r="O101" s="309"/>
      <c r="Q101" s="210">
        <f>Q100/Q99</f>
        <v>0.9</v>
      </c>
    </row>
    <row r="102" spans="1:27" ht="17.149999999999999" customHeight="1" x14ac:dyDescent="0.35">
      <c r="A102" s="623">
        <v>10</v>
      </c>
      <c r="B102" s="352" t="s">
        <v>57</v>
      </c>
      <c r="C102" s="353" t="s">
        <v>37</v>
      </c>
      <c r="D102" s="616" t="s">
        <v>91</v>
      </c>
      <c r="E102" s="616" t="s">
        <v>62</v>
      </c>
      <c r="F102" s="604" t="s">
        <v>121</v>
      </c>
      <c r="G102" s="605"/>
      <c r="H102" s="605"/>
      <c r="I102" s="606"/>
      <c r="J102" s="587" t="s">
        <v>65</v>
      </c>
      <c r="K102" s="352" t="s">
        <v>66</v>
      </c>
      <c r="O102" s="613">
        <v>10</v>
      </c>
      <c r="P102" s="354" t="s">
        <v>57</v>
      </c>
      <c r="Q102" s="355" t="s">
        <v>122</v>
      </c>
      <c r="R102" s="591" t="s">
        <v>91</v>
      </c>
      <c r="S102" s="591" t="s">
        <v>62</v>
      </c>
      <c r="T102" s="610" t="s">
        <v>121</v>
      </c>
      <c r="U102" s="611"/>
      <c r="V102" s="611"/>
      <c r="W102" s="612"/>
      <c r="X102" s="603" t="s">
        <v>65</v>
      </c>
      <c r="Y102" s="354" t="s">
        <v>66</v>
      </c>
    </row>
    <row r="103" spans="1:27" ht="37.5" customHeight="1" x14ac:dyDescent="0.35">
      <c r="A103" s="623"/>
      <c r="B103" s="352" t="s">
        <v>93</v>
      </c>
      <c r="C103" s="353" t="str">
        <f>C92</f>
        <v>TARGET 100%</v>
      </c>
      <c r="D103" s="617"/>
      <c r="E103" s="617"/>
      <c r="F103" s="163" t="str">
        <f>F4</f>
        <v>OMSET FEB
 (1-28)</v>
      </c>
      <c r="G103" s="163" t="str">
        <f>G4</f>
        <v>OMSET PRODUK</v>
      </c>
      <c r="H103" s="353" t="s">
        <v>63</v>
      </c>
      <c r="I103" s="353" t="s">
        <v>64</v>
      </c>
      <c r="J103" s="587"/>
      <c r="K103" s="164">
        <f>K92</f>
        <v>1</v>
      </c>
      <c r="O103" s="614"/>
      <c r="P103" s="354" t="s">
        <v>93</v>
      </c>
      <c r="Q103" s="355" t="str">
        <f>Q92</f>
        <v>TARGET 100%</v>
      </c>
      <c r="R103" s="592"/>
      <c r="S103" s="592"/>
      <c r="T103" s="200" t="str">
        <f>T4</f>
        <v>OMSET FEB
 (1-28)</v>
      </c>
      <c r="U103" s="200" t="str">
        <f>G4</f>
        <v>OMSET PRODUK</v>
      </c>
      <c r="V103" s="355" t="s">
        <v>63</v>
      </c>
      <c r="W103" s="355" t="s">
        <v>64</v>
      </c>
      <c r="X103" s="603"/>
      <c r="Y103" s="201">
        <f>K103</f>
        <v>1</v>
      </c>
    </row>
    <row r="104" spans="1:27" ht="14.5" customHeight="1" x14ac:dyDescent="0.35">
      <c r="A104" s="623"/>
      <c r="B104" s="325" t="s">
        <v>96</v>
      </c>
      <c r="C104" s="326">
        <v>369907200</v>
      </c>
      <c r="D104" s="222">
        <v>29</v>
      </c>
      <c r="E104" s="308">
        <v>26</v>
      </c>
      <c r="F104" s="169">
        <v>388477170.12199998</v>
      </c>
      <c r="G104" s="169"/>
      <c r="H104" s="326"/>
      <c r="I104" s="326">
        <f t="shared" ref="I104:I110" si="90">F104-G104</f>
        <v>388477170.12199998</v>
      </c>
      <c r="J104" s="226">
        <f t="shared" ref="J104:J110" si="91">I104-C104</f>
        <v>18569970.121999979</v>
      </c>
      <c r="K104" s="172">
        <f>I104/C104</f>
        <v>1.0502016995668102</v>
      </c>
      <c r="L104" s="369" t="str">
        <f>IF(K104&gt;120%,"0,55%", IF(K104&gt;100%,"0,45%", IF(K104&gt;80%,"0,35%", IF(K104&gt;60%,"0,2%", 0))))</f>
        <v>0,45%</v>
      </c>
      <c r="O104" s="614"/>
      <c r="P104" s="325" t="s">
        <v>96</v>
      </c>
      <c r="Q104" s="166">
        <v>123302400</v>
      </c>
      <c r="R104" s="167">
        <v>13</v>
      </c>
      <c r="S104" s="308">
        <v>10</v>
      </c>
      <c r="T104" s="169">
        <v>74555074.364100009</v>
      </c>
      <c r="U104" s="170">
        <v>5988738.7387999995</v>
      </c>
      <c r="V104" s="166"/>
      <c r="W104" s="326">
        <f t="shared" ref="W104:W110" si="92">T104-U104</f>
        <v>68566335.625300005</v>
      </c>
      <c r="X104" s="226">
        <f t="shared" ref="X104:X109" si="93">T104-Q104</f>
        <v>-48747325.635899991</v>
      </c>
      <c r="Y104" s="172">
        <f t="shared" ref="Y104:Y111" si="94">W104/Q104</f>
        <v>0.55608273338799574</v>
      </c>
      <c r="Z104" s="369">
        <f>IF(Y104&gt;120%,"0,55%", IF(Y104&gt;100%,"0,45%", IF(Y104&gt;80%,"0,35%", IF(Y104&gt;60%,"0,2%", 0))))</f>
        <v>0</v>
      </c>
    </row>
    <row r="105" spans="1:27" ht="14.5" customHeight="1" x14ac:dyDescent="0.35">
      <c r="A105" s="623"/>
      <c r="B105" s="325" t="s">
        <v>97</v>
      </c>
      <c r="C105" s="327">
        <v>0</v>
      </c>
      <c r="D105" s="222"/>
      <c r="E105" s="308"/>
      <c r="F105" s="169"/>
      <c r="G105" s="328"/>
      <c r="H105" s="327"/>
      <c r="I105" s="326">
        <f t="shared" si="90"/>
        <v>0</v>
      </c>
      <c r="J105" s="226">
        <f t="shared" si="91"/>
        <v>0</v>
      </c>
      <c r="K105" s="172">
        <v>0</v>
      </c>
      <c r="L105" s="369">
        <f t="shared" ref="L105:L109" si="95">IF(K105&gt;120%,"0,55%", IF(K105&gt;100%,"0,45%", IF(K105&gt;80%,"0,35%", IF(K105&gt;60%,"0,2%", 0))))</f>
        <v>0</v>
      </c>
      <c r="O105" s="614"/>
      <c r="P105" s="325" t="s">
        <v>97</v>
      </c>
      <c r="Q105" s="173">
        <v>426816000</v>
      </c>
      <c r="R105" s="167">
        <v>29</v>
      </c>
      <c r="S105" s="308">
        <v>23</v>
      </c>
      <c r="T105" s="169">
        <v>250363928.82789996</v>
      </c>
      <c r="U105" s="174">
        <v>2405405.4054</v>
      </c>
      <c r="V105" s="173"/>
      <c r="W105" s="326">
        <f>T105-U105</f>
        <v>247958523.42249995</v>
      </c>
      <c r="X105" s="226">
        <f>T105-Q105</f>
        <v>-176452071.17210004</v>
      </c>
      <c r="Y105" s="172">
        <f t="shared" si="94"/>
        <v>0.58094945696154776</v>
      </c>
      <c r="Z105" s="369">
        <f t="shared" ref="Z105:Z109" si="96">IF(Y105&gt;120%,"0,55%", IF(Y105&gt;100%,"0,45%", IF(Y105&gt;80%,"0,35%", IF(Y105&gt;60%,"0,2%", 0))))</f>
        <v>0</v>
      </c>
    </row>
    <row r="106" spans="1:27" ht="14.5" customHeight="1" x14ac:dyDescent="0.35">
      <c r="A106" s="623"/>
      <c r="B106" s="325" t="s">
        <v>98</v>
      </c>
      <c r="C106" s="327">
        <v>138715200</v>
      </c>
      <c r="D106" s="222">
        <v>15</v>
      </c>
      <c r="E106" s="308">
        <v>9</v>
      </c>
      <c r="F106" s="169">
        <v>25639063.513499998</v>
      </c>
      <c r="G106" s="169"/>
      <c r="H106" s="327"/>
      <c r="I106" s="326">
        <f t="shared" si="90"/>
        <v>25639063.513499998</v>
      </c>
      <c r="J106" s="226">
        <f t="shared" si="91"/>
        <v>-113076136.48649999</v>
      </c>
      <c r="K106" s="172">
        <f t="shared" ref="K106:K109" si="97">I106/C106</f>
        <v>0.18483240130497594</v>
      </c>
      <c r="L106" s="369">
        <f t="shared" si="95"/>
        <v>0</v>
      </c>
      <c r="O106" s="614"/>
      <c r="P106" s="325" t="s">
        <v>98</v>
      </c>
      <c r="Q106" s="173">
        <v>0</v>
      </c>
      <c r="R106" s="167"/>
      <c r="S106" s="308"/>
      <c r="T106" s="169"/>
      <c r="U106" s="170"/>
      <c r="V106" s="173"/>
      <c r="W106" s="326">
        <f t="shared" si="92"/>
        <v>0</v>
      </c>
      <c r="X106" s="226">
        <f t="shared" si="93"/>
        <v>0</v>
      </c>
      <c r="Y106" s="172">
        <v>0</v>
      </c>
      <c r="Z106" s="369">
        <f t="shared" si="96"/>
        <v>0</v>
      </c>
    </row>
    <row r="107" spans="1:27" ht="14.5" customHeight="1" x14ac:dyDescent="0.35">
      <c r="A107" s="623"/>
      <c r="B107" s="325" t="s">
        <v>99</v>
      </c>
      <c r="C107" s="327">
        <v>138715200</v>
      </c>
      <c r="D107" s="222">
        <v>10</v>
      </c>
      <c r="E107" s="308">
        <v>8</v>
      </c>
      <c r="F107" s="169">
        <v>138731346.84620002</v>
      </c>
      <c r="G107" s="169"/>
      <c r="H107" s="327"/>
      <c r="I107" s="326">
        <f t="shared" si="90"/>
        <v>138731346.84620002</v>
      </c>
      <c r="J107" s="226">
        <f t="shared" si="91"/>
        <v>16146.846200019121</v>
      </c>
      <c r="K107" s="172">
        <f t="shared" si="97"/>
        <v>1.0001164028614025</v>
      </c>
      <c r="L107" s="369" t="str">
        <f t="shared" si="95"/>
        <v>0,45%</v>
      </c>
      <c r="O107" s="614"/>
      <c r="P107" s="325" t="s">
        <v>99</v>
      </c>
      <c r="Q107" s="173">
        <v>151756800</v>
      </c>
      <c r="R107" s="167">
        <v>23</v>
      </c>
      <c r="S107" s="308">
        <v>17</v>
      </c>
      <c r="T107" s="169">
        <v>66713472.973199993</v>
      </c>
      <c r="U107" s="170"/>
      <c r="V107" s="173"/>
      <c r="W107" s="326">
        <f t="shared" si="92"/>
        <v>66713472.973199993</v>
      </c>
      <c r="X107" s="226">
        <f t="shared" si="93"/>
        <v>-85043327.026800007</v>
      </c>
      <c r="Y107" s="172">
        <f t="shared" si="94"/>
        <v>0.43960779993515936</v>
      </c>
      <c r="Z107" s="369">
        <f t="shared" si="96"/>
        <v>0</v>
      </c>
    </row>
    <row r="108" spans="1:27" ht="14.5" customHeight="1" x14ac:dyDescent="0.35">
      <c r="A108" s="623"/>
      <c r="B108" s="325" t="s">
        <v>100</v>
      </c>
      <c r="C108" s="327">
        <v>129467520.00000001</v>
      </c>
      <c r="D108" s="222">
        <v>7</v>
      </c>
      <c r="E108" s="308">
        <v>6</v>
      </c>
      <c r="F108" s="169">
        <v>23600742.342000008</v>
      </c>
      <c r="G108" s="169"/>
      <c r="H108" s="327"/>
      <c r="I108" s="326">
        <f t="shared" si="90"/>
        <v>23600742.342000008</v>
      </c>
      <c r="J108" s="226">
        <f t="shared" si="91"/>
        <v>-105866777.65800001</v>
      </c>
      <c r="K108" s="172">
        <f t="shared" si="97"/>
        <v>0.18229083512219901</v>
      </c>
      <c r="L108" s="369">
        <f t="shared" si="95"/>
        <v>0</v>
      </c>
      <c r="O108" s="614"/>
      <c r="P108" s="325" t="s">
        <v>100</v>
      </c>
      <c r="Q108" s="173">
        <v>132787200.00000001</v>
      </c>
      <c r="R108" s="167">
        <v>8</v>
      </c>
      <c r="S108" s="308">
        <v>10</v>
      </c>
      <c r="T108" s="169">
        <v>38183869.369600005</v>
      </c>
      <c r="U108" s="170"/>
      <c r="V108" s="173"/>
      <c r="W108" s="326">
        <f t="shared" si="92"/>
        <v>38183869.369600005</v>
      </c>
      <c r="X108" s="226">
        <f t="shared" si="93"/>
        <v>-94603330.630400002</v>
      </c>
      <c r="Y108" s="172">
        <f t="shared" si="94"/>
        <v>0.28755685314247159</v>
      </c>
      <c r="Z108" s="369">
        <f t="shared" si="96"/>
        <v>0</v>
      </c>
    </row>
    <row r="109" spans="1:27" ht="14.5" customHeight="1" x14ac:dyDescent="0.35">
      <c r="A109" s="623"/>
      <c r="B109" s="325" t="s">
        <v>101</v>
      </c>
      <c r="C109" s="327">
        <v>147962880</v>
      </c>
      <c r="D109" s="222">
        <v>20</v>
      </c>
      <c r="E109" s="308">
        <v>14</v>
      </c>
      <c r="F109" s="169">
        <v>76114346.846999988</v>
      </c>
      <c r="G109" s="169"/>
      <c r="H109" s="327"/>
      <c r="I109" s="326">
        <f t="shared" si="90"/>
        <v>76114346.846999988</v>
      </c>
      <c r="J109" s="226">
        <f t="shared" si="91"/>
        <v>-71848533.153000012</v>
      </c>
      <c r="K109" s="172">
        <f t="shared" si="97"/>
        <v>0.51441514822501422</v>
      </c>
      <c r="L109" s="369">
        <f t="shared" si="95"/>
        <v>0</v>
      </c>
      <c r="O109" s="614"/>
      <c r="P109" s="325" t="s">
        <v>101</v>
      </c>
      <c r="Q109" s="173">
        <v>113817600</v>
      </c>
      <c r="R109" s="167">
        <v>12</v>
      </c>
      <c r="S109" s="308">
        <v>9</v>
      </c>
      <c r="T109" s="169">
        <v>35609216.216200002</v>
      </c>
      <c r="U109" s="170">
        <v>3040540.5404999997</v>
      </c>
      <c r="V109" s="173"/>
      <c r="W109" s="326">
        <f t="shared" si="92"/>
        <v>32568675.675700001</v>
      </c>
      <c r="X109" s="226">
        <f t="shared" si="93"/>
        <v>-78208383.783800006</v>
      </c>
      <c r="Y109" s="172">
        <f t="shared" si="94"/>
        <v>0.2861479742649643</v>
      </c>
      <c r="Z109" s="369">
        <f t="shared" si="96"/>
        <v>0</v>
      </c>
    </row>
    <row r="110" spans="1:27" ht="14.5" customHeight="1" thickBot="1" x14ac:dyDescent="0.4">
      <c r="A110" s="623"/>
      <c r="B110" s="352" t="s">
        <v>77</v>
      </c>
      <c r="C110" s="329">
        <f t="shared" ref="C110:H110" si="98">SUM(C104:C109)</f>
        <v>924768000</v>
      </c>
      <c r="D110" s="178">
        <f t="shared" si="98"/>
        <v>81</v>
      </c>
      <c r="E110" s="178">
        <f t="shared" si="98"/>
        <v>63</v>
      </c>
      <c r="F110" s="329">
        <f t="shared" si="98"/>
        <v>652562669.67069995</v>
      </c>
      <c r="G110" s="330">
        <f t="shared" si="98"/>
        <v>0</v>
      </c>
      <c r="H110" s="329">
        <f t="shared" si="98"/>
        <v>0</v>
      </c>
      <c r="I110" s="329">
        <f t="shared" si="90"/>
        <v>652562669.67069995</v>
      </c>
      <c r="J110" s="329">
        <f t="shared" si="91"/>
        <v>-272205330.32930005</v>
      </c>
      <c r="K110" s="305">
        <f>I110/C110</f>
        <v>0.70565014108479096</v>
      </c>
      <c r="L110" s="369" t="str">
        <f>IF(K110&gt;100%,"CAPAI 100%",IF(K110&gt;90%,"CAPAI 90%","BELUM CAPAI"))</f>
        <v>BELUM CAPAI</v>
      </c>
      <c r="O110" s="615"/>
      <c r="P110" s="354" t="s">
        <v>77</v>
      </c>
      <c r="Q110" s="336">
        <f t="shared" ref="Q110:V110" si="99">SUM(Q104:Q109)</f>
        <v>948480000</v>
      </c>
      <c r="R110" s="207">
        <f t="shared" si="99"/>
        <v>85</v>
      </c>
      <c r="S110" s="207">
        <f t="shared" si="99"/>
        <v>69</v>
      </c>
      <c r="T110" s="336">
        <f t="shared" si="99"/>
        <v>465425561.75099999</v>
      </c>
      <c r="U110" s="337">
        <f t="shared" si="99"/>
        <v>11434684.684699999</v>
      </c>
      <c r="V110" s="336">
        <f t="shared" si="99"/>
        <v>0</v>
      </c>
      <c r="W110" s="336">
        <f t="shared" si="92"/>
        <v>453990877.06629997</v>
      </c>
      <c r="X110" s="336">
        <f>W110-Q110</f>
        <v>-494489122.93370003</v>
      </c>
      <c r="Y110" s="313">
        <f t="shared" si="94"/>
        <v>0.47865097531450318</v>
      </c>
      <c r="Z110" s="369" t="str">
        <f>IF(Y110&gt;100%,"CAPAI 100%",IF(Y110&gt;90%,"CAPAI 90%","BELUM CAPAI"))</f>
        <v>BELUM CAPAI</v>
      </c>
    </row>
    <row r="111" spans="1:27" ht="14.5" customHeight="1" x14ac:dyDescent="0.35">
      <c r="B111" s="324" t="str">
        <f>$B$12</f>
        <v>TARGET Q1</v>
      </c>
      <c r="C111" s="243">
        <v>832291200</v>
      </c>
      <c r="D111" s="597"/>
      <c r="E111" s="598"/>
      <c r="F111" s="598"/>
      <c r="G111" s="598"/>
      <c r="H111" s="599"/>
      <c r="I111" s="243">
        <f>I110</f>
        <v>652562669.67069995</v>
      </c>
      <c r="J111" s="243">
        <f>I111-C111</f>
        <v>-179728530.32930005</v>
      </c>
      <c r="K111" s="183">
        <f>I111/C111</f>
        <v>0.78405571231643434</v>
      </c>
      <c r="P111" s="324" t="str">
        <f>$B$12</f>
        <v>TARGET Q1</v>
      </c>
      <c r="Q111" s="243">
        <v>853632000</v>
      </c>
      <c r="R111" s="597"/>
      <c r="S111" s="598"/>
      <c r="T111" s="598"/>
      <c r="U111" s="598"/>
      <c r="V111" s="599"/>
      <c r="W111" s="243">
        <f>W110</f>
        <v>453990877.06629997</v>
      </c>
      <c r="X111" s="243">
        <f>W111-Q111</f>
        <v>-399641122.93370003</v>
      </c>
      <c r="Y111" s="183">
        <f t="shared" si="94"/>
        <v>0.53183441701611467</v>
      </c>
      <c r="Z111" s="192"/>
    </row>
    <row r="112" spans="1:27" ht="14.5" customHeight="1" x14ac:dyDescent="0.35">
      <c r="C112" s="210">
        <f>C111/C110</f>
        <v>0.9</v>
      </c>
      <c r="Q112" s="210">
        <f>Q111/Q110</f>
        <v>0.9</v>
      </c>
    </row>
    <row r="113" spans="2:28" x14ac:dyDescent="0.35">
      <c r="C113" s="210"/>
    </row>
    <row r="114" spans="2:28" s="290" customFormat="1" ht="14.5" customHeight="1" x14ac:dyDescent="0.35">
      <c r="C114" s="291"/>
      <c r="D114" s="292"/>
      <c r="E114" s="293"/>
      <c r="F114" s="294"/>
      <c r="G114" s="295"/>
      <c r="H114" s="291"/>
      <c r="I114" s="291"/>
      <c r="J114" s="296"/>
      <c r="K114" s="292"/>
      <c r="L114" s="297"/>
      <c r="M114" s="298"/>
      <c r="Q114" s="292"/>
      <c r="R114" s="299"/>
      <c r="S114" s="292"/>
      <c r="T114" s="294"/>
      <c r="U114" s="295"/>
      <c r="V114" s="291"/>
      <c r="W114" s="291"/>
      <c r="X114" s="291"/>
      <c r="Y114" s="292"/>
      <c r="Z114" s="291"/>
      <c r="AA114" s="300"/>
    </row>
    <row r="115" spans="2:28" ht="14.5" customHeight="1" x14ac:dyDescent="0.35"/>
    <row r="116" spans="2:28" ht="15" customHeight="1" x14ac:dyDescent="0.35">
      <c r="B116" s="580" t="s">
        <v>123</v>
      </c>
      <c r="C116" s="581"/>
      <c r="D116" s="581"/>
      <c r="E116" s="581"/>
      <c r="F116" s="581"/>
      <c r="G116" s="581"/>
      <c r="H116" s="581"/>
      <c r="I116" s="581"/>
      <c r="J116" s="581"/>
      <c r="K116" s="581"/>
      <c r="L116" s="581"/>
      <c r="M116" s="582"/>
      <c r="P116" s="600" t="s">
        <v>124</v>
      </c>
      <c r="Q116" s="600"/>
      <c r="R116" s="600"/>
      <c r="S116" s="600"/>
      <c r="T116" s="600"/>
      <c r="U116" s="600"/>
      <c r="V116" s="600"/>
      <c r="W116" s="600"/>
      <c r="X116" s="600"/>
      <c r="Y116" s="600"/>
      <c r="Z116" s="600"/>
      <c r="AA116" s="600"/>
    </row>
    <row r="117" spans="2:28" ht="15" customHeight="1" x14ac:dyDescent="0.35">
      <c r="B117" s="583"/>
      <c r="C117" s="584"/>
      <c r="D117" s="584"/>
      <c r="E117" s="584"/>
      <c r="F117" s="584"/>
      <c r="G117" s="584"/>
      <c r="H117" s="584"/>
      <c r="I117" s="584"/>
      <c r="J117" s="584"/>
      <c r="K117" s="584"/>
      <c r="L117" s="584"/>
      <c r="M117" s="585"/>
      <c r="P117" s="600"/>
      <c r="Q117" s="600"/>
      <c r="R117" s="600"/>
      <c r="S117" s="600"/>
      <c r="T117" s="600"/>
      <c r="U117" s="600"/>
      <c r="V117" s="600"/>
      <c r="W117" s="600"/>
      <c r="X117" s="600"/>
      <c r="Y117" s="600"/>
      <c r="Z117" s="600"/>
      <c r="AA117" s="600"/>
    </row>
    <row r="118" spans="2:28" ht="15" customHeight="1" x14ac:dyDescent="0.35">
      <c r="B118" s="586" t="s">
        <v>125</v>
      </c>
      <c r="C118" s="587" t="s">
        <v>94</v>
      </c>
      <c r="D118" s="586" t="s">
        <v>91</v>
      </c>
      <c r="E118" s="586" t="s">
        <v>62</v>
      </c>
      <c r="F118" s="588" t="str">
        <f>F48</f>
        <v>OMSET FEB
 (1-28)</v>
      </c>
      <c r="G118" s="588" t="s">
        <v>95</v>
      </c>
      <c r="H118" s="587" t="s">
        <v>63</v>
      </c>
      <c r="I118" s="587" t="s">
        <v>64</v>
      </c>
      <c r="J118" s="587" t="s">
        <v>126</v>
      </c>
      <c r="K118" s="589" t="s">
        <v>66</v>
      </c>
      <c r="L118" s="590" t="s">
        <v>127</v>
      </c>
      <c r="M118" s="301" t="s">
        <v>128</v>
      </c>
      <c r="P118" s="601" t="s">
        <v>125</v>
      </c>
      <c r="Q118" s="601" t="s">
        <v>94</v>
      </c>
      <c r="R118" s="602" t="s">
        <v>91</v>
      </c>
      <c r="S118" s="601" t="s">
        <v>62</v>
      </c>
      <c r="T118" s="579" t="str">
        <f>T26</f>
        <v>OMSET FEB
 (1-28)</v>
      </c>
      <c r="U118" s="579" t="str">
        <f>G4</f>
        <v>OMSET PRODUK</v>
      </c>
      <c r="V118" s="603" t="s">
        <v>63</v>
      </c>
      <c r="W118" s="603" t="s">
        <v>64</v>
      </c>
      <c r="X118" s="603" t="s">
        <v>126</v>
      </c>
      <c r="Y118" s="578" t="s">
        <v>66</v>
      </c>
      <c r="Z118" s="579" t="s">
        <v>127</v>
      </c>
      <c r="AA118" s="310" t="s">
        <v>128</v>
      </c>
    </row>
    <row r="119" spans="2:28" ht="30" customHeight="1" x14ac:dyDescent="0.35">
      <c r="B119" s="586"/>
      <c r="C119" s="587"/>
      <c r="D119" s="586"/>
      <c r="E119" s="586"/>
      <c r="F119" s="588"/>
      <c r="G119" s="588"/>
      <c r="H119" s="587"/>
      <c r="I119" s="587"/>
      <c r="J119" s="587"/>
      <c r="K119" s="589"/>
      <c r="L119" s="590"/>
      <c r="M119" s="302">
        <f>100/DAY(EOMONTH($B$1,0))*DAY($B$1)/100</f>
        <v>1</v>
      </c>
      <c r="P119" s="601"/>
      <c r="Q119" s="601"/>
      <c r="R119" s="602"/>
      <c r="S119" s="601"/>
      <c r="T119" s="579"/>
      <c r="U119" s="579"/>
      <c r="V119" s="603"/>
      <c r="W119" s="603"/>
      <c r="X119" s="603"/>
      <c r="Y119" s="578"/>
      <c r="Z119" s="579"/>
      <c r="AA119" s="311">
        <f>K4</f>
        <v>1</v>
      </c>
    </row>
    <row r="120" spans="2:28" x14ac:dyDescent="0.35">
      <c r="B120" s="226" t="str">
        <f>C3</f>
        <v>CHRISTOPER</v>
      </c>
      <c r="C120" s="326">
        <f t="shared" ref="C120:H120" si="100">C11</f>
        <v>1370304000</v>
      </c>
      <c r="D120" s="222">
        <f t="shared" si="100"/>
        <v>106</v>
      </c>
      <c r="E120" s="222">
        <f t="shared" si="100"/>
        <v>90</v>
      </c>
      <c r="F120" s="331">
        <f t="shared" si="100"/>
        <v>1305495317.1223001</v>
      </c>
      <c r="G120" s="332">
        <f t="shared" si="100"/>
        <v>7458558.5583999995</v>
      </c>
      <c r="H120" s="326">
        <f t="shared" si="100"/>
        <v>0</v>
      </c>
      <c r="I120" s="326">
        <f>F120-G120</f>
        <v>1298036758.5639002</v>
      </c>
      <c r="J120" s="326">
        <f t="shared" ref="J120:J125" si="101">I120-C120</f>
        <v>-72267241.436099768</v>
      </c>
      <c r="K120" s="172">
        <f t="shared" ref="K120:K125" si="102">I120/C120</f>
        <v>0.94726189120363091</v>
      </c>
      <c r="L120" s="226">
        <f t="shared" ref="L120:L125" si="103">H120+I120</f>
        <v>1298036758.5639002</v>
      </c>
      <c r="M120" s="333">
        <f t="shared" ref="M120:M125" si="104">L120/C120</f>
        <v>0.94726189120363091</v>
      </c>
      <c r="N120" s="228">
        <f>F120+H120</f>
        <v>1305495317.1223001</v>
      </c>
      <c r="P120" s="250" t="str">
        <f>Q3</f>
        <v>RIFKY</v>
      </c>
      <c r="Q120" s="326">
        <f t="shared" ref="Q120:V120" si="105">Q11</f>
        <v>1123200000</v>
      </c>
      <c r="R120" s="338">
        <f t="shared" si="105"/>
        <v>89</v>
      </c>
      <c r="S120" s="222">
        <f t="shared" si="105"/>
        <v>63</v>
      </c>
      <c r="T120" s="326">
        <f t="shared" si="105"/>
        <v>680051563.87639999</v>
      </c>
      <c r="U120" s="339">
        <f t="shared" si="105"/>
        <v>93903149.551400021</v>
      </c>
      <c r="V120" s="326">
        <f t="shared" si="105"/>
        <v>0</v>
      </c>
      <c r="W120" s="326">
        <f>T120-U120</f>
        <v>586148414.32499993</v>
      </c>
      <c r="X120" s="326">
        <f t="shared" ref="X120:X125" si="106">W120-Q120</f>
        <v>-537051585.67500007</v>
      </c>
      <c r="Y120" s="172">
        <f t="shared" ref="Y120:Y125" si="107">W120/Q120</f>
        <v>0.52185578198450844</v>
      </c>
      <c r="Z120" s="226">
        <f t="shared" ref="Z120:Z125" si="108">V120+W120</f>
        <v>586148414.32499993</v>
      </c>
      <c r="AA120" s="333">
        <f t="shared" ref="AA120:AA125" si="109">Z120/Q120</f>
        <v>0.52185578198450844</v>
      </c>
      <c r="AB120" s="228">
        <f>T120+V120</f>
        <v>680051563.87639999</v>
      </c>
    </row>
    <row r="121" spans="2:28" x14ac:dyDescent="0.35">
      <c r="B121" s="226" t="str">
        <f>C14</f>
        <v>ANNAUFAL</v>
      </c>
      <c r="C121" s="326">
        <f t="shared" ref="C121:H121" si="110">C22</f>
        <v>1522560000</v>
      </c>
      <c r="D121" s="222">
        <f t="shared" si="110"/>
        <v>100</v>
      </c>
      <c r="E121" s="222">
        <f t="shared" si="110"/>
        <v>87</v>
      </c>
      <c r="F121" s="331">
        <f t="shared" si="110"/>
        <v>1079046052.1849999</v>
      </c>
      <c r="G121" s="332">
        <f t="shared" si="110"/>
        <v>5207657.6576000005</v>
      </c>
      <c r="H121" s="326">
        <f t="shared" si="110"/>
        <v>0</v>
      </c>
      <c r="I121" s="326">
        <f>F121-G121</f>
        <v>1073838394.5274</v>
      </c>
      <c r="J121" s="326">
        <f t="shared" si="101"/>
        <v>-448721605.47259998</v>
      </c>
      <c r="K121" s="172">
        <f t="shared" si="102"/>
        <v>0.70528477992814731</v>
      </c>
      <c r="L121" s="226">
        <f t="shared" si="103"/>
        <v>1073838394.5274</v>
      </c>
      <c r="M121" s="333">
        <f t="shared" si="104"/>
        <v>0.70528477992814731</v>
      </c>
      <c r="N121" s="228">
        <f>F121+H121</f>
        <v>1079046052.1849999</v>
      </c>
      <c r="P121" s="250" t="str">
        <f>Q14</f>
        <v>AGPS:BOGOR</v>
      </c>
      <c r="Q121" s="326">
        <f t="shared" ref="Q121:V121" si="111">Q22</f>
        <v>1422720000</v>
      </c>
      <c r="R121" s="338">
        <f t="shared" si="111"/>
        <v>79</v>
      </c>
      <c r="S121" s="222">
        <f t="shared" si="111"/>
        <v>72</v>
      </c>
      <c r="T121" s="326">
        <f t="shared" si="111"/>
        <v>782246644.86639988</v>
      </c>
      <c r="U121" s="339">
        <f t="shared" si="111"/>
        <v>83352238.559700012</v>
      </c>
      <c r="V121" s="326">
        <f t="shared" si="111"/>
        <v>0</v>
      </c>
      <c r="W121" s="326">
        <f>T121-U121</f>
        <v>698894406.30669987</v>
      </c>
      <c r="X121" s="326">
        <f t="shared" si="106"/>
        <v>-723825593.69330013</v>
      </c>
      <c r="Y121" s="172">
        <f t="shared" si="107"/>
        <v>0.49123819606577535</v>
      </c>
      <c r="Z121" s="226">
        <f>V121+W121</f>
        <v>698894406.30669987</v>
      </c>
      <c r="AA121" s="333">
        <f t="shared" si="109"/>
        <v>0.49123819606577535</v>
      </c>
      <c r="AB121" s="228">
        <f>T121+V121</f>
        <v>782246644.86639988</v>
      </c>
    </row>
    <row r="122" spans="2:28" x14ac:dyDescent="0.35">
      <c r="B122" s="226" t="str">
        <f>C25</f>
        <v>DIKI HERMAWAN</v>
      </c>
      <c r="C122" s="326">
        <f t="shared" ref="C122:H122" si="112">C33</f>
        <v>1446432000</v>
      </c>
      <c r="D122" s="222">
        <f t="shared" si="112"/>
        <v>104</v>
      </c>
      <c r="E122" s="222">
        <f t="shared" si="112"/>
        <v>91</v>
      </c>
      <c r="F122" s="331">
        <f t="shared" si="112"/>
        <v>1613296230.2348003</v>
      </c>
      <c r="G122" s="332">
        <f t="shared" si="112"/>
        <v>2268918.9188000001</v>
      </c>
      <c r="H122" s="326">
        <f t="shared" si="112"/>
        <v>0</v>
      </c>
      <c r="I122" s="326">
        <f>F122-G122</f>
        <v>1611027311.3160002</v>
      </c>
      <c r="J122" s="326">
        <f t="shared" si="101"/>
        <v>164595311.31600022</v>
      </c>
      <c r="K122" s="172">
        <f t="shared" si="102"/>
        <v>1.1137940195709168</v>
      </c>
      <c r="L122" s="226">
        <f t="shared" si="103"/>
        <v>1611027311.3160002</v>
      </c>
      <c r="M122" s="333">
        <f t="shared" si="104"/>
        <v>1.1137940195709168</v>
      </c>
      <c r="N122" s="228">
        <f>F122+H122</f>
        <v>1613296230.2348003</v>
      </c>
      <c r="P122" s="250" t="str">
        <f>Q25</f>
        <v>FAUZI</v>
      </c>
      <c r="Q122" s="326">
        <f t="shared" ref="Q122:V122" si="113">Q33</f>
        <v>1347840000</v>
      </c>
      <c r="R122" s="338">
        <f t="shared" si="113"/>
        <v>82</v>
      </c>
      <c r="S122" s="222">
        <f t="shared" si="113"/>
        <v>75</v>
      </c>
      <c r="T122" s="326">
        <f t="shared" si="113"/>
        <v>748402217.10960007</v>
      </c>
      <c r="U122" s="339">
        <f t="shared" si="113"/>
        <v>37216621.623500004</v>
      </c>
      <c r="V122" s="326">
        <f t="shared" si="113"/>
        <v>0</v>
      </c>
      <c r="W122" s="326">
        <f>T122-U122</f>
        <v>711185595.48610008</v>
      </c>
      <c r="X122" s="326">
        <f t="shared" si="106"/>
        <v>-636654404.51389992</v>
      </c>
      <c r="Y122" s="172">
        <f t="shared" si="107"/>
        <v>0.52764838221606425</v>
      </c>
      <c r="Z122" s="226">
        <f t="shared" si="108"/>
        <v>711185595.48610008</v>
      </c>
      <c r="AA122" s="333">
        <f t="shared" si="109"/>
        <v>0.52764838221606425</v>
      </c>
      <c r="AB122" s="228">
        <f>T122+V122</f>
        <v>748402217.10960007</v>
      </c>
    </row>
    <row r="123" spans="2:28" ht="14.5" customHeight="1" x14ac:dyDescent="0.35">
      <c r="B123" s="226" t="str">
        <f>C36</f>
        <v>AGPC:TKAB-KRW</v>
      </c>
      <c r="C123" s="326">
        <f t="shared" ref="C123:H123" si="114">C44</f>
        <v>1674816000</v>
      </c>
      <c r="D123" s="222">
        <f t="shared" si="114"/>
        <v>92</v>
      </c>
      <c r="E123" s="222">
        <f t="shared" si="114"/>
        <v>82</v>
      </c>
      <c r="F123" s="331">
        <f t="shared" si="114"/>
        <v>1458115780.2177</v>
      </c>
      <c r="G123" s="332">
        <f t="shared" si="114"/>
        <v>4495495.4954000004</v>
      </c>
      <c r="H123" s="326">
        <f t="shared" si="114"/>
        <v>0</v>
      </c>
      <c r="I123" s="326">
        <f>F123-G123</f>
        <v>1453620284.7223001</v>
      </c>
      <c r="J123" s="326">
        <f t="shared" si="101"/>
        <v>-221195715.27769995</v>
      </c>
      <c r="K123" s="172">
        <f t="shared" si="102"/>
        <v>0.86792834838113564</v>
      </c>
      <c r="L123" s="226">
        <f t="shared" si="103"/>
        <v>1453620284.7223001</v>
      </c>
      <c r="M123" s="333">
        <f t="shared" si="104"/>
        <v>0.86792834838113564</v>
      </c>
      <c r="N123" s="228">
        <f>F123+H123</f>
        <v>1458115780.2177</v>
      </c>
      <c r="P123" s="250" t="str">
        <f>Q36</f>
        <v>GILBERT</v>
      </c>
      <c r="Q123" s="326">
        <f t="shared" ref="Q123:V123" si="115">Q44</f>
        <v>1872000000</v>
      </c>
      <c r="R123" s="338">
        <f t="shared" si="115"/>
        <v>69</v>
      </c>
      <c r="S123" s="222">
        <f t="shared" si="115"/>
        <v>63</v>
      </c>
      <c r="T123" s="326">
        <f t="shared" si="115"/>
        <v>1371799117.7045</v>
      </c>
      <c r="U123" s="339">
        <f t="shared" si="115"/>
        <v>165105850.09210005</v>
      </c>
      <c r="V123" s="326">
        <f t="shared" si="115"/>
        <v>0</v>
      </c>
      <c r="W123" s="326">
        <f>T123-U123</f>
        <v>1206693267.6123998</v>
      </c>
      <c r="X123" s="326">
        <f t="shared" si="106"/>
        <v>-665306732.38760018</v>
      </c>
      <c r="Y123" s="172">
        <f t="shared" si="107"/>
        <v>0.64460110449380337</v>
      </c>
      <c r="Z123" s="226">
        <f t="shared" si="108"/>
        <v>1206693267.6123998</v>
      </c>
      <c r="AA123" s="333">
        <f t="shared" si="109"/>
        <v>0.64460110449380337</v>
      </c>
      <c r="AB123" s="228">
        <f>T123+V123</f>
        <v>1371799117.7045</v>
      </c>
    </row>
    <row r="124" spans="2:28" ht="14.5" customHeight="1" x14ac:dyDescent="0.35">
      <c r="B124" s="226" t="str">
        <f>C47</f>
        <v>RIDWAN</v>
      </c>
      <c r="C124" s="326">
        <f t="shared" ref="C124:H124" si="116">C55</f>
        <v>1598688000</v>
      </c>
      <c r="D124" s="222">
        <f t="shared" si="116"/>
        <v>125</v>
      </c>
      <c r="E124" s="222">
        <f t="shared" si="116"/>
        <v>107</v>
      </c>
      <c r="F124" s="331">
        <f t="shared" si="116"/>
        <v>1700849566.1242995</v>
      </c>
      <c r="G124" s="332">
        <f t="shared" si="116"/>
        <v>8086036.0359999994</v>
      </c>
      <c r="H124" s="326">
        <f t="shared" si="116"/>
        <v>0</v>
      </c>
      <c r="I124" s="326">
        <f>F124-G124</f>
        <v>1692763530.0882995</v>
      </c>
      <c r="J124" s="326">
        <f t="shared" si="101"/>
        <v>94075530.088299513</v>
      </c>
      <c r="K124" s="172">
        <f t="shared" si="102"/>
        <v>1.0588454595820445</v>
      </c>
      <c r="L124" s="226">
        <f t="shared" si="103"/>
        <v>1692763530.0882995</v>
      </c>
      <c r="M124" s="333">
        <f t="shared" si="104"/>
        <v>1.0588454595820445</v>
      </c>
      <c r="N124" s="228">
        <f>F124+H124</f>
        <v>1700849566.1242995</v>
      </c>
      <c r="P124" s="250" t="str">
        <f>Q47</f>
        <v>AGPS:TSEL-SUB</v>
      </c>
      <c r="Q124" s="326">
        <f t="shared" ref="Q124:V124" si="117">Q55</f>
        <v>1722240000</v>
      </c>
      <c r="R124" s="338">
        <f t="shared" si="117"/>
        <v>92</v>
      </c>
      <c r="S124" s="222">
        <f t="shared" si="117"/>
        <v>72</v>
      </c>
      <c r="T124" s="326">
        <f t="shared" si="117"/>
        <v>1299981251.8194001</v>
      </c>
      <c r="U124" s="339">
        <f t="shared" si="117"/>
        <v>36148063.064099997</v>
      </c>
      <c r="V124" s="326">
        <f t="shared" si="117"/>
        <v>0</v>
      </c>
      <c r="W124" s="326">
        <f>T124-U124</f>
        <v>1263833188.7553</v>
      </c>
      <c r="X124" s="326">
        <f t="shared" si="106"/>
        <v>-458406811.24469995</v>
      </c>
      <c r="Y124" s="172">
        <f t="shared" si="107"/>
        <v>0.73383105069868315</v>
      </c>
      <c r="Z124" s="226">
        <f t="shared" si="108"/>
        <v>1263833188.7553</v>
      </c>
      <c r="AA124" s="333">
        <f t="shared" si="109"/>
        <v>0.73383105069868315</v>
      </c>
      <c r="AB124" s="228">
        <f>T124+V124</f>
        <v>1299981251.8194001</v>
      </c>
    </row>
    <row r="125" spans="2:28" x14ac:dyDescent="0.35">
      <c r="B125" s="352" t="s">
        <v>77</v>
      </c>
      <c r="C125" s="329">
        <f t="shared" ref="C125:H125" si="118">SUM(C120:C124)</f>
        <v>7612800000</v>
      </c>
      <c r="D125" s="178">
        <f t="shared" si="118"/>
        <v>527</v>
      </c>
      <c r="E125" s="178">
        <f t="shared" si="118"/>
        <v>457</v>
      </c>
      <c r="F125" s="334">
        <f t="shared" si="118"/>
        <v>7156802945.8841</v>
      </c>
      <c r="G125" s="335">
        <f t="shared" si="118"/>
        <v>27516666.666199997</v>
      </c>
      <c r="H125" s="329">
        <f t="shared" si="118"/>
        <v>0</v>
      </c>
      <c r="I125" s="329">
        <f>SUM(I120:I124)</f>
        <v>7129286279.2179003</v>
      </c>
      <c r="J125" s="329">
        <f t="shared" si="101"/>
        <v>-483513720.78209972</v>
      </c>
      <c r="K125" s="305">
        <f t="shared" si="102"/>
        <v>0.93648674327683645</v>
      </c>
      <c r="L125" s="353">
        <f t="shared" si="103"/>
        <v>7129286279.2179003</v>
      </c>
      <c r="M125" s="305">
        <f t="shared" si="104"/>
        <v>0.93648674327683645</v>
      </c>
      <c r="P125" s="354" t="s">
        <v>77</v>
      </c>
      <c r="Q125" s="336">
        <f>SUM(Q120:Q124)</f>
        <v>7488000000</v>
      </c>
      <c r="R125" s="340">
        <f>SUM(R120:R124)</f>
        <v>411</v>
      </c>
      <c r="S125" s="207">
        <f t="shared" ref="S125:W125" si="119">SUM(S120:S124)</f>
        <v>345</v>
      </c>
      <c r="T125" s="336">
        <f>SUM(T120:T124)</f>
        <v>4882480795.3762999</v>
      </c>
      <c r="U125" s="337">
        <f t="shared" si="119"/>
        <v>415725922.89080012</v>
      </c>
      <c r="V125" s="336">
        <f t="shared" si="119"/>
        <v>0</v>
      </c>
      <c r="W125" s="336">
        <f t="shared" si="119"/>
        <v>4466754872.4855003</v>
      </c>
      <c r="X125" s="336">
        <f t="shared" si="106"/>
        <v>-3021245127.5144997</v>
      </c>
      <c r="Y125" s="313">
        <f t="shared" si="107"/>
        <v>0.59652175113321315</v>
      </c>
      <c r="Z125" s="355">
        <f t="shared" si="108"/>
        <v>4466754872.4855003</v>
      </c>
      <c r="AA125" s="313">
        <f t="shared" si="109"/>
        <v>0.59652175113321315</v>
      </c>
    </row>
    <row r="126" spans="2:28" x14ac:dyDescent="0.35">
      <c r="C126" s="202"/>
      <c r="D126" s="245"/>
      <c r="E126" s="245"/>
      <c r="F126" s="245"/>
      <c r="G126" s="245"/>
      <c r="H126" s="245"/>
      <c r="I126" s="245"/>
      <c r="J126" s="245"/>
      <c r="K126" s="245"/>
      <c r="L126" s="197"/>
      <c r="M126" s="246"/>
      <c r="Q126" s="202"/>
      <c r="R126" s="245"/>
      <c r="S126" s="245"/>
      <c r="T126" s="245"/>
      <c r="U126" s="245"/>
      <c r="V126" s="245"/>
      <c r="W126" s="202"/>
      <c r="X126" s="247"/>
      <c r="Y126" s="248"/>
      <c r="Z126" s="197"/>
      <c r="AA126" s="246"/>
    </row>
    <row r="127" spans="2:28" x14ac:dyDescent="0.35">
      <c r="K127" s="249"/>
    </row>
    <row r="128" spans="2:28" ht="15" customHeight="1" x14ac:dyDescent="0.35">
      <c r="B128" s="580" t="s">
        <v>129</v>
      </c>
      <c r="C128" s="581"/>
      <c r="D128" s="581"/>
      <c r="E128" s="581"/>
      <c r="F128" s="581"/>
      <c r="G128" s="581"/>
      <c r="H128" s="581"/>
      <c r="I128" s="581"/>
      <c r="J128" s="581"/>
      <c r="K128" s="581"/>
      <c r="L128" s="581"/>
      <c r="M128" s="582"/>
      <c r="P128" s="580" t="s">
        <v>130</v>
      </c>
      <c r="Q128" s="581"/>
      <c r="R128" s="581"/>
      <c r="S128" s="581"/>
      <c r="T128" s="581"/>
      <c r="U128" s="581"/>
      <c r="V128" s="581"/>
      <c r="W128" s="581"/>
      <c r="X128" s="581"/>
      <c r="Y128" s="581"/>
      <c r="Z128" s="581"/>
      <c r="AA128" s="582"/>
    </row>
    <row r="129" spans="2:28" ht="15" customHeight="1" x14ac:dyDescent="0.35">
      <c r="B129" s="583"/>
      <c r="C129" s="584"/>
      <c r="D129" s="584"/>
      <c r="E129" s="584"/>
      <c r="F129" s="584"/>
      <c r="G129" s="584"/>
      <c r="H129" s="584"/>
      <c r="I129" s="584"/>
      <c r="J129" s="584"/>
      <c r="K129" s="584"/>
      <c r="L129" s="584"/>
      <c r="M129" s="585"/>
      <c r="P129" s="583"/>
      <c r="Q129" s="584"/>
      <c r="R129" s="584"/>
      <c r="S129" s="584"/>
      <c r="T129" s="584"/>
      <c r="U129" s="584"/>
      <c r="V129" s="584"/>
      <c r="W129" s="584"/>
      <c r="X129" s="584"/>
      <c r="Y129" s="584"/>
      <c r="Z129" s="584"/>
      <c r="AA129" s="585"/>
    </row>
    <row r="130" spans="2:28" ht="15" customHeight="1" x14ac:dyDescent="0.35">
      <c r="B130" s="586" t="s">
        <v>125</v>
      </c>
      <c r="C130" s="587" t="s">
        <v>94</v>
      </c>
      <c r="D130" s="586" t="s">
        <v>91</v>
      </c>
      <c r="E130" s="586" t="s">
        <v>62</v>
      </c>
      <c r="F130" s="588" t="str">
        <f>F48</f>
        <v>OMSET FEB
 (1-28)</v>
      </c>
      <c r="G130" s="588" t="str">
        <f>G48</f>
        <v>OMSET PRODUK</v>
      </c>
      <c r="H130" s="587" t="s">
        <v>63</v>
      </c>
      <c r="I130" s="587" t="s">
        <v>64</v>
      </c>
      <c r="J130" s="587" t="s">
        <v>126</v>
      </c>
      <c r="K130" s="589" t="s">
        <v>66</v>
      </c>
      <c r="L130" s="590" t="s">
        <v>127</v>
      </c>
      <c r="M130" s="301" t="s">
        <v>128</v>
      </c>
      <c r="P130" s="591" t="s">
        <v>125</v>
      </c>
      <c r="Q130" s="591" t="s">
        <v>94</v>
      </c>
      <c r="R130" s="593" t="s">
        <v>91</v>
      </c>
      <c r="S130" s="591" t="s">
        <v>62</v>
      </c>
      <c r="T130" s="576" t="str">
        <f>T26</f>
        <v>OMSET FEB
 (1-28)</v>
      </c>
      <c r="U130" s="576" t="str">
        <f>G4</f>
        <v>OMSET PRODUK</v>
      </c>
      <c r="V130" s="595" t="s">
        <v>63</v>
      </c>
      <c r="W130" s="595" t="s">
        <v>64</v>
      </c>
      <c r="X130" s="595" t="s">
        <v>126</v>
      </c>
      <c r="Y130" s="574" t="s">
        <v>66</v>
      </c>
      <c r="Z130" s="576" t="s">
        <v>127</v>
      </c>
      <c r="AA130" s="310" t="s">
        <v>128</v>
      </c>
    </row>
    <row r="131" spans="2:28" ht="27.75" customHeight="1" x14ac:dyDescent="0.35">
      <c r="B131" s="586"/>
      <c r="C131" s="587"/>
      <c r="D131" s="586"/>
      <c r="E131" s="586"/>
      <c r="F131" s="588"/>
      <c r="G131" s="588"/>
      <c r="H131" s="587"/>
      <c r="I131" s="587"/>
      <c r="J131" s="587"/>
      <c r="K131" s="589"/>
      <c r="L131" s="590"/>
      <c r="M131" s="302">
        <f>100/DAY(EOMONTH($B$1,0))*DAY($B$1)/100</f>
        <v>1</v>
      </c>
      <c r="P131" s="592"/>
      <c r="Q131" s="592"/>
      <c r="R131" s="594"/>
      <c r="S131" s="592"/>
      <c r="T131" s="577"/>
      <c r="U131" s="577"/>
      <c r="V131" s="596"/>
      <c r="W131" s="596"/>
      <c r="X131" s="596"/>
      <c r="Y131" s="575"/>
      <c r="Z131" s="577"/>
      <c r="AA131" s="311">
        <f>K4</f>
        <v>1</v>
      </c>
    </row>
    <row r="132" spans="2:28" ht="15" customHeight="1" x14ac:dyDescent="0.35">
      <c r="B132" s="226" t="str">
        <f>C58</f>
        <v>AHMAD</v>
      </c>
      <c r="C132" s="326">
        <f t="shared" ref="C132:H132" si="120">C66</f>
        <v>924768000</v>
      </c>
      <c r="D132" s="222">
        <f t="shared" si="120"/>
        <v>94</v>
      </c>
      <c r="E132" s="222">
        <f t="shared" si="120"/>
        <v>78</v>
      </c>
      <c r="F132" s="331">
        <f t="shared" si="120"/>
        <v>765316923.2874999</v>
      </c>
      <c r="G132" s="332">
        <f t="shared" si="120"/>
        <v>7567117.1169000007</v>
      </c>
      <c r="H132" s="326">
        <f t="shared" si="120"/>
        <v>0</v>
      </c>
      <c r="I132" s="326">
        <f>F132-G132</f>
        <v>757749806.17059994</v>
      </c>
      <c r="J132" s="326">
        <f t="shared" ref="J132:J137" si="121">I132-C132</f>
        <v>-167018193.82940006</v>
      </c>
      <c r="K132" s="172">
        <f t="shared" ref="K132:K137" si="122">I132/C132</f>
        <v>0.81939449264096498</v>
      </c>
      <c r="L132" s="226">
        <f t="shared" ref="L132:L137" si="123">H132+I132</f>
        <v>757749806.17059994</v>
      </c>
      <c r="M132" s="333">
        <f t="shared" ref="M132:M137" si="124">L132/C132</f>
        <v>0.81939449264096498</v>
      </c>
      <c r="N132" s="228">
        <f>F132+H132</f>
        <v>765316923.2874999</v>
      </c>
      <c r="P132" s="250" t="str">
        <f>Q58</f>
        <v>AGUSTIAN</v>
      </c>
      <c r="Q132" s="226">
        <f t="shared" ref="Q132:V132" si="125">Q66</f>
        <v>1148160000</v>
      </c>
      <c r="R132" s="251">
        <f t="shared" si="125"/>
        <v>94</v>
      </c>
      <c r="S132" s="165">
        <f t="shared" si="125"/>
        <v>77</v>
      </c>
      <c r="T132" s="226">
        <f t="shared" si="125"/>
        <v>850962941.44160008</v>
      </c>
      <c r="U132" s="252">
        <f t="shared" si="125"/>
        <v>67235660.420900002</v>
      </c>
      <c r="V132" s="226">
        <f t="shared" si="125"/>
        <v>0</v>
      </c>
      <c r="W132" s="226">
        <f>T132-U132</f>
        <v>783727281.0207001</v>
      </c>
      <c r="X132" s="226">
        <f t="shared" ref="X132:X137" si="126">W132-Q132</f>
        <v>-364432718.9792999</v>
      </c>
      <c r="Y132" s="172">
        <f t="shared" ref="Y132:Y137" si="127">W132/Q132</f>
        <v>0.68259413411083825</v>
      </c>
      <c r="Z132" s="171">
        <f t="shared" ref="Z132:Z137" si="128">V132+W132</f>
        <v>783727281.0207001</v>
      </c>
      <c r="AA132" s="227">
        <f t="shared" ref="AA132:AA137" si="129">Z132/Q132</f>
        <v>0.68259413411083825</v>
      </c>
      <c r="AB132" s="228">
        <f>T132+V132</f>
        <v>850962941.44160008</v>
      </c>
    </row>
    <row r="133" spans="2:28" x14ac:dyDescent="0.35">
      <c r="B133" s="226" t="str">
        <f>C69</f>
        <v>AGPC:DPK-SKB</v>
      </c>
      <c r="C133" s="326">
        <f t="shared" ref="C133:H133" si="130">C77</f>
        <v>1216800000</v>
      </c>
      <c r="D133" s="222">
        <f t="shared" si="130"/>
        <v>94</v>
      </c>
      <c r="E133" s="222">
        <f t="shared" si="130"/>
        <v>98</v>
      </c>
      <c r="F133" s="331">
        <f t="shared" si="130"/>
        <v>1155283749.2876</v>
      </c>
      <c r="G133" s="332">
        <f t="shared" si="130"/>
        <v>11815315.315200001</v>
      </c>
      <c r="H133" s="326">
        <f t="shared" si="130"/>
        <v>0</v>
      </c>
      <c r="I133" s="326">
        <f>F133-G133</f>
        <v>1143468433.9724</v>
      </c>
      <c r="J133" s="326">
        <f t="shared" si="121"/>
        <v>-73331566.02760005</v>
      </c>
      <c r="K133" s="172">
        <f t="shared" si="122"/>
        <v>0.93973408446120965</v>
      </c>
      <c r="L133" s="226">
        <f t="shared" si="123"/>
        <v>1143468433.9724</v>
      </c>
      <c r="M133" s="333">
        <f t="shared" si="124"/>
        <v>0.93973408446120965</v>
      </c>
      <c r="N133" s="228">
        <f>F133+H133</f>
        <v>1155283749.2876</v>
      </c>
      <c r="P133" s="250" t="str">
        <f>Q69</f>
        <v>RAYFAHMI</v>
      </c>
      <c r="Q133" s="226">
        <f t="shared" ref="Q133:V133" si="131">Q77</f>
        <v>1148160000</v>
      </c>
      <c r="R133" s="251">
        <f t="shared" si="131"/>
        <v>99</v>
      </c>
      <c r="S133" s="165">
        <f t="shared" si="131"/>
        <v>90</v>
      </c>
      <c r="T133" s="226">
        <f t="shared" si="131"/>
        <v>1019303204.4056997</v>
      </c>
      <c r="U133" s="252">
        <f t="shared" si="131"/>
        <v>120353576.57739998</v>
      </c>
      <c r="V133" s="226">
        <f t="shared" si="131"/>
        <v>0</v>
      </c>
      <c r="W133" s="226">
        <f>T133-U133</f>
        <v>898949627.82829976</v>
      </c>
      <c r="X133" s="226">
        <f t="shared" si="126"/>
        <v>-249210372.17170024</v>
      </c>
      <c r="Y133" s="172">
        <f t="shared" si="127"/>
        <v>0.78294804541901808</v>
      </c>
      <c r="Z133" s="171">
        <f>V133+W133</f>
        <v>898949627.82829976</v>
      </c>
      <c r="AA133" s="227">
        <f t="shared" si="129"/>
        <v>0.78294804541901808</v>
      </c>
      <c r="AB133" s="228">
        <f>T133+V133</f>
        <v>1019303204.4056997</v>
      </c>
    </row>
    <row r="134" spans="2:28" x14ac:dyDescent="0.35">
      <c r="B134" s="226" t="str">
        <f>C80</f>
        <v>NURRAHMAN</v>
      </c>
      <c r="C134" s="326">
        <f t="shared" ref="C134:H134" si="132">C88</f>
        <v>876096000</v>
      </c>
      <c r="D134" s="222">
        <f t="shared" si="132"/>
        <v>72</v>
      </c>
      <c r="E134" s="222">
        <f t="shared" si="132"/>
        <v>58</v>
      </c>
      <c r="F134" s="331">
        <f t="shared" si="132"/>
        <v>362899191.71889991</v>
      </c>
      <c r="G134" s="332">
        <f t="shared" si="132"/>
        <v>3958558.5585000003</v>
      </c>
      <c r="H134" s="326">
        <f t="shared" si="132"/>
        <v>0</v>
      </c>
      <c r="I134" s="326">
        <f>F134-G134</f>
        <v>358940633.16039991</v>
      </c>
      <c r="J134" s="326">
        <f t="shared" si="121"/>
        <v>-517155366.83960009</v>
      </c>
      <c r="K134" s="172">
        <f t="shared" si="122"/>
        <v>0.40970468209009048</v>
      </c>
      <c r="L134" s="226">
        <f t="shared" si="123"/>
        <v>358940633.16039991</v>
      </c>
      <c r="M134" s="333">
        <f t="shared" si="124"/>
        <v>0.40970468209009048</v>
      </c>
      <c r="N134" s="228">
        <f>F134+H134</f>
        <v>362899191.71889991</v>
      </c>
      <c r="P134" s="250" t="str">
        <f>Q80</f>
        <v>AGPS:JAKTIM-CKR</v>
      </c>
      <c r="Q134" s="166">
        <f t="shared" ref="Q134:V134" si="133">Q88</f>
        <v>848640000.00000012</v>
      </c>
      <c r="R134" s="230">
        <f t="shared" si="133"/>
        <v>54</v>
      </c>
      <c r="S134" s="167">
        <f t="shared" si="133"/>
        <v>44</v>
      </c>
      <c r="T134" s="166">
        <f t="shared" si="133"/>
        <v>493849409.77440012</v>
      </c>
      <c r="U134" s="231">
        <f t="shared" si="133"/>
        <v>7722972.9729999993</v>
      </c>
      <c r="V134" s="166">
        <f t="shared" si="133"/>
        <v>0</v>
      </c>
      <c r="W134" s="226">
        <f>T134-U134</f>
        <v>486126436.80140013</v>
      </c>
      <c r="X134" s="226">
        <f t="shared" si="126"/>
        <v>-362513563.19859999</v>
      </c>
      <c r="Y134" s="172">
        <f t="shared" si="127"/>
        <v>0.572829983033324</v>
      </c>
      <c r="Z134" s="171">
        <f t="shared" si="128"/>
        <v>486126436.80140013</v>
      </c>
      <c r="AA134" s="227">
        <f t="shared" si="129"/>
        <v>0.572829983033324</v>
      </c>
      <c r="AB134" s="228">
        <f>T134+V134</f>
        <v>493849409.77440012</v>
      </c>
    </row>
    <row r="135" spans="2:28" x14ac:dyDescent="0.35">
      <c r="B135" s="226" t="str">
        <f>C91</f>
        <v>IPNU</v>
      </c>
      <c r="C135" s="326">
        <f t="shared" ref="C135:H135" si="134">C99</f>
        <v>924768000</v>
      </c>
      <c r="D135" s="222">
        <f t="shared" si="134"/>
        <v>106</v>
      </c>
      <c r="E135" s="222">
        <f t="shared" si="134"/>
        <v>86</v>
      </c>
      <c r="F135" s="331">
        <f t="shared" si="134"/>
        <v>797882286.57199991</v>
      </c>
      <c r="G135" s="332">
        <f t="shared" si="134"/>
        <v>4169819.8198000002</v>
      </c>
      <c r="H135" s="326">
        <f t="shared" si="134"/>
        <v>0</v>
      </c>
      <c r="I135" s="326">
        <f>F135-G135</f>
        <v>793712466.75219989</v>
      </c>
      <c r="J135" s="326">
        <f t="shared" si="121"/>
        <v>-131055533.24780011</v>
      </c>
      <c r="K135" s="172">
        <f t="shared" si="122"/>
        <v>0.8582827982285286</v>
      </c>
      <c r="L135" s="226">
        <f t="shared" si="123"/>
        <v>793712466.75219989</v>
      </c>
      <c r="M135" s="333">
        <f t="shared" si="124"/>
        <v>0.8582827982285286</v>
      </c>
      <c r="N135" s="228">
        <f>F135+H135</f>
        <v>797882286.57199991</v>
      </c>
      <c r="P135" s="250" t="str">
        <f>Q91</f>
        <v>SUHERI</v>
      </c>
      <c r="Q135" s="166">
        <f t="shared" ref="Q135:V135" si="135">Q99</f>
        <v>898560000</v>
      </c>
      <c r="R135" s="230">
        <f t="shared" si="135"/>
        <v>77</v>
      </c>
      <c r="S135" s="167">
        <f t="shared" si="135"/>
        <v>58</v>
      </c>
      <c r="T135" s="166">
        <f t="shared" si="135"/>
        <v>476520297.2956</v>
      </c>
      <c r="U135" s="231">
        <f t="shared" si="135"/>
        <v>13376126.126399998</v>
      </c>
      <c r="V135" s="166">
        <f t="shared" si="135"/>
        <v>0</v>
      </c>
      <c r="W135" s="226">
        <f>T135-U135</f>
        <v>463144171.1692</v>
      </c>
      <c r="X135" s="226">
        <f t="shared" si="126"/>
        <v>-435415828.8308</v>
      </c>
      <c r="Y135" s="172">
        <f t="shared" si="127"/>
        <v>0.51542932154691956</v>
      </c>
      <c r="Z135" s="171">
        <f t="shared" si="128"/>
        <v>463144171.1692</v>
      </c>
      <c r="AA135" s="227">
        <f t="shared" si="129"/>
        <v>0.51542932154691956</v>
      </c>
      <c r="AB135" s="228">
        <f>T135+V135</f>
        <v>476520297.2956</v>
      </c>
    </row>
    <row r="136" spans="2:28" x14ac:dyDescent="0.35">
      <c r="B136" s="226" t="str">
        <f>C102</f>
        <v>SYAEPULLOH</v>
      </c>
      <c r="C136" s="326">
        <f t="shared" ref="C136:H136" si="136">C110</f>
        <v>924768000</v>
      </c>
      <c r="D136" s="222">
        <f t="shared" si="136"/>
        <v>81</v>
      </c>
      <c r="E136" s="222">
        <f t="shared" si="136"/>
        <v>63</v>
      </c>
      <c r="F136" s="331">
        <f t="shared" si="136"/>
        <v>652562669.67069995</v>
      </c>
      <c r="G136" s="332">
        <f t="shared" si="136"/>
        <v>0</v>
      </c>
      <c r="H136" s="326">
        <f t="shared" si="136"/>
        <v>0</v>
      </c>
      <c r="I136" s="326">
        <f>F136-G136</f>
        <v>652562669.67069995</v>
      </c>
      <c r="J136" s="326">
        <f t="shared" si="121"/>
        <v>-272205330.32930005</v>
      </c>
      <c r="K136" s="172">
        <f t="shared" si="122"/>
        <v>0.70565014108479096</v>
      </c>
      <c r="L136" s="226">
        <f t="shared" si="123"/>
        <v>652562669.67069995</v>
      </c>
      <c r="M136" s="333">
        <f t="shared" si="124"/>
        <v>0.70565014108479096</v>
      </c>
      <c r="N136" s="228">
        <f>F136+H136</f>
        <v>652562669.67069995</v>
      </c>
      <c r="P136" s="253" t="str">
        <f>Q102</f>
        <v>DEVANI</v>
      </c>
      <c r="Q136" s="254">
        <f t="shared" ref="Q136:V136" si="137">Q110</f>
        <v>948480000</v>
      </c>
      <c r="R136" s="255">
        <f t="shared" si="137"/>
        <v>85</v>
      </c>
      <c r="S136" s="256">
        <f t="shared" si="137"/>
        <v>69</v>
      </c>
      <c r="T136" s="254">
        <f t="shared" si="137"/>
        <v>465425561.75099999</v>
      </c>
      <c r="U136" s="231">
        <f t="shared" si="137"/>
        <v>11434684.684699999</v>
      </c>
      <c r="V136" s="166">
        <f t="shared" si="137"/>
        <v>0</v>
      </c>
      <c r="W136" s="226">
        <f>T136-U136</f>
        <v>453990877.06629997</v>
      </c>
      <c r="X136" s="226">
        <f t="shared" si="126"/>
        <v>-494489122.93370003</v>
      </c>
      <c r="Y136" s="172">
        <f t="shared" si="127"/>
        <v>0.47865097531450318</v>
      </c>
      <c r="Z136" s="171">
        <f t="shared" si="128"/>
        <v>453990877.06629997</v>
      </c>
      <c r="AA136" s="227">
        <f t="shared" si="129"/>
        <v>0.47865097531450318</v>
      </c>
      <c r="AB136" s="228">
        <f>T136+V136</f>
        <v>465425561.75099999</v>
      </c>
    </row>
    <row r="137" spans="2:28" x14ac:dyDescent="0.35">
      <c r="B137" s="352" t="s">
        <v>77</v>
      </c>
      <c r="C137" s="329">
        <f t="shared" ref="C137:H137" si="138">SUM(C132:C136)</f>
        <v>4867200000</v>
      </c>
      <c r="D137" s="178">
        <f>SUM(D132:D136)</f>
        <v>447</v>
      </c>
      <c r="E137" s="178">
        <f t="shared" si="138"/>
        <v>383</v>
      </c>
      <c r="F137" s="334">
        <f>SUM(F132:F136)</f>
        <v>3733944820.5366998</v>
      </c>
      <c r="G137" s="335">
        <f t="shared" si="138"/>
        <v>27510810.810400002</v>
      </c>
      <c r="H137" s="329">
        <f t="shared" si="138"/>
        <v>0</v>
      </c>
      <c r="I137" s="329">
        <f>SUM(I132:I136)</f>
        <v>3706434009.7263002</v>
      </c>
      <c r="J137" s="329">
        <f t="shared" si="121"/>
        <v>-1160765990.2736998</v>
      </c>
      <c r="K137" s="305">
        <f t="shared" si="122"/>
        <v>0.76151257596283284</v>
      </c>
      <c r="L137" s="353">
        <f t="shared" si="123"/>
        <v>3706434009.7263002</v>
      </c>
      <c r="M137" s="305">
        <f t="shared" si="124"/>
        <v>0.76151257596283284</v>
      </c>
      <c r="P137" s="204" t="s">
        <v>77</v>
      </c>
      <c r="Q137" s="205">
        <f t="shared" ref="Q137:V137" si="139">SUM(Q132:Q136)</f>
        <v>4992000000</v>
      </c>
      <c r="R137" s="312">
        <f>SUM(R132:R136)</f>
        <v>409</v>
      </c>
      <c r="S137" s="206">
        <f t="shared" si="139"/>
        <v>338</v>
      </c>
      <c r="T137" s="205">
        <f t="shared" si="139"/>
        <v>3306061414.6682997</v>
      </c>
      <c r="U137" s="208">
        <f t="shared" si="139"/>
        <v>220123020.78239998</v>
      </c>
      <c r="V137" s="205">
        <f t="shared" si="139"/>
        <v>0</v>
      </c>
      <c r="W137" s="205">
        <f>SUM(W132:W136)</f>
        <v>3085938393.8859</v>
      </c>
      <c r="X137" s="205">
        <f t="shared" si="126"/>
        <v>-1906061606.1141</v>
      </c>
      <c r="Y137" s="209">
        <f t="shared" si="127"/>
        <v>0.6181767615957332</v>
      </c>
      <c r="Z137" s="314">
        <f t="shared" si="128"/>
        <v>3085938393.8859</v>
      </c>
      <c r="AA137" s="209">
        <f t="shared" si="129"/>
        <v>0.6181767615957332</v>
      </c>
    </row>
    <row r="138" spans="2:28" x14ac:dyDescent="0.35">
      <c r="C138" s="202"/>
      <c r="D138" s="245"/>
      <c r="E138" s="245"/>
      <c r="F138" s="245"/>
      <c r="G138" s="245"/>
      <c r="H138" s="245"/>
      <c r="I138" s="245"/>
      <c r="J138" s="245"/>
      <c r="K138" s="245"/>
      <c r="L138" s="197"/>
      <c r="M138" s="246"/>
      <c r="Q138" s="202"/>
      <c r="R138" s="245"/>
      <c r="S138" s="245"/>
      <c r="T138" s="245"/>
      <c r="U138" s="245"/>
      <c r="V138" s="245"/>
      <c r="W138" s="202"/>
      <c r="X138" s="247"/>
      <c r="Y138" s="248"/>
      <c r="Z138" s="197"/>
      <c r="AA138" s="246"/>
    </row>
    <row r="139" spans="2:28" ht="15" customHeight="1" x14ac:dyDescent="0.35"/>
    <row r="140" spans="2:28" ht="15" customHeight="1" x14ac:dyDescent="0.35">
      <c r="B140" s="580" t="s">
        <v>131</v>
      </c>
      <c r="C140" s="581"/>
      <c r="D140" s="581"/>
      <c r="E140" s="581"/>
      <c r="F140" s="581"/>
      <c r="G140" s="581"/>
      <c r="H140" s="581"/>
      <c r="I140" s="581"/>
      <c r="J140" s="581"/>
      <c r="K140" s="581"/>
      <c r="L140" s="581"/>
      <c r="M140" s="582"/>
      <c r="P140" s="580" t="s">
        <v>132</v>
      </c>
      <c r="Q140" s="581"/>
      <c r="R140" s="581"/>
      <c r="S140" s="581"/>
      <c r="T140" s="581"/>
      <c r="U140" s="581"/>
      <c r="V140" s="581"/>
      <c r="W140" s="581"/>
      <c r="X140" s="581"/>
      <c r="Y140" s="581"/>
      <c r="Z140" s="581"/>
      <c r="AA140" s="582"/>
    </row>
    <row r="141" spans="2:28" ht="15" customHeight="1" x14ac:dyDescent="0.35">
      <c r="B141" s="583"/>
      <c r="C141" s="584"/>
      <c r="D141" s="584"/>
      <c r="E141" s="584"/>
      <c r="F141" s="584"/>
      <c r="G141" s="584"/>
      <c r="H141" s="584"/>
      <c r="I141" s="584"/>
      <c r="J141" s="584"/>
      <c r="K141" s="584"/>
      <c r="L141" s="584"/>
      <c r="M141" s="585"/>
      <c r="P141" s="583"/>
      <c r="Q141" s="584"/>
      <c r="R141" s="584"/>
      <c r="S141" s="584"/>
      <c r="T141" s="584"/>
      <c r="U141" s="584"/>
      <c r="V141" s="584"/>
      <c r="W141" s="584"/>
      <c r="X141" s="584"/>
      <c r="Y141" s="584"/>
      <c r="Z141" s="584"/>
      <c r="AA141" s="585"/>
    </row>
    <row r="142" spans="2:28" ht="15" customHeight="1" x14ac:dyDescent="0.35">
      <c r="B142" s="586" t="s">
        <v>133</v>
      </c>
      <c r="C142" s="587" t="s">
        <v>94</v>
      </c>
      <c r="D142" s="586" t="s">
        <v>91</v>
      </c>
      <c r="E142" s="586" t="s">
        <v>62</v>
      </c>
      <c r="F142" s="588" t="str">
        <f>F130</f>
        <v>OMSET FEB
 (1-28)</v>
      </c>
      <c r="G142" s="588" t="s">
        <v>95</v>
      </c>
      <c r="H142" s="587" t="s">
        <v>63</v>
      </c>
      <c r="I142" s="587" t="s">
        <v>64</v>
      </c>
      <c r="J142" s="587" t="s">
        <v>126</v>
      </c>
      <c r="K142" s="586" t="s">
        <v>66</v>
      </c>
      <c r="L142" s="590" t="s">
        <v>127</v>
      </c>
      <c r="M142" s="301" t="s">
        <v>128</v>
      </c>
      <c r="P142" s="601" t="s">
        <v>133</v>
      </c>
      <c r="Q142" s="601" t="s">
        <v>94</v>
      </c>
      <c r="R142" s="602" t="s">
        <v>91</v>
      </c>
      <c r="S142" s="601" t="s">
        <v>62</v>
      </c>
      <c r="T142" s="629" t="str">
        <f>T130</f>
        <v>OMSET FEB
 (1-28)</v>
      </c>
      <c r="U142" s="629" t="s">
        <v>95</v>
      </c>
      <c r="V142" s="603" t="s">
        <v>63</v>
      </c>
      <c r="W142" s="603" t="s">
        <v>64</v>
      </c>
      <c r="X142" s="603" t="s">
        <v>126</v>
      </c>
      <c r="Y142" s="601" t="str">
        <f>Y130</f>
        <v>PERCENTAGE</v>
      </c>
      <c r="Z142" s="579" t="s">
        <v>127</v>
      </c>
      <c r="AA142" s="310" t="s">
        <v>128</v>
      </c>
    </row>
    <row r="143" spans="2:28" x14ac:dyDescent="0.35">
      <c r="B143" s="586"/>
      <c r="C143" s="587"/>
      <c r="D143" s="586"/>
      <c r="E143" s="586"/>
      <c r="F143" s="588"/>
      <c r="G143" s="588"/>
      <c r="H143" s="587"/>
      <c r="I143" s="587"/>
      <c r="J143" s="587"/>
      <c r="K143" s="586"/>
      <c r="L143" s="590"/>
      <c r="M143" s="302">
        <f>100/DAY(EOMONTH($B$1,0))*DAY($B$1)/100</f>
        <v>1</v>
      </c>
      <c r="P143" s="601"/>
      <c r="Q143" s="601"/>
      <c r="R143" s="602"/>
      <c r="S143" s="601"/>
      <c r="T143" s="629"/>
      <c r="U143" s="629"/>
      <c r="V143" s="603"/>
      <c r="W143" s="603"/>
      <c r="X143" s="603"/>
      <c r="Y143" s="601"/>
      <c r="Z143" s="579"/>
      <c r="AA143" s="311">
        <f>K4</f>
        <v>1</v>
      </c>
    </row>
    <row r="144" spans="2:28" x14ac:dyDescent="0.35">
      <c r="B144" s="257" t="s">
        <v>134</v>
      </c>
      <c r="C144" s="166">
        <f t="shared" ref="C144:H144" si="140">C125</f>
        <v>7612800000</v>
      </c>
      <c r="D144" s="167">
        <f t="shared" si="140"/>
        <v>527</v>
      </c>
      <c r="E144" s="222">
        <f t="shared" si="140"/>
        <v>457</v>
      </c>
      <c r="F144" s="223">
        <f t="shared" si="140"/>
        <v>7156802945.8841</v>
      </c>
      <c r="G144" s="224">
        <f t="shared" si="140"/>
        <v>27516666.666199997</v>
      </c>
      <c r="H144" s="166">
        <f t="shared" si="140"/>
        <v>0</v>
      </c>
      <c r="I144" s="166">
        <f>F144-G144</f>
        <v>7129286279.2179003</v>
      </c>
      <c r="J144" s="166">
        <f>I144-C144</f>
        <v>-483513720.78209972</v>
      </c>
      <c r="K144" s="172">
        <f>I144/C144</f>
        <v>0.93648674327683645</v>
      </c>
      <c r="L144" s="226">
        <f>H144+I144</f>
        <v>7129286279.2179003</v>
      </c>
      <c r="M144" s="227">
        <f>L144/C144</f>
        <v>0.93648674327683645</v>
      </c>
      <c r="P144" s="257" t="s">
        <v>135</v>
      </c>
      <c r="Q144" s="166">
        <f t="shared" ref="Q144:V144" si="141">Q125</f>
        <v>7488000000</v>
      </c>
      <c r="R144" s="230">
        <f t="shared" si="141"/>
        <v>411</v>
      </c>
      <c r="S144" s="167">
        <f t="shared" si="141"/>
        <v>345</v>
      </c>
      <c r="T144" s="223">
        <f t="shared" si="141"/>
        <v>4882480795.3762999</v>
      </c>
      <c r="U144" s="224">
        <f t="shared" si="141"/>
        <v>415725922.89080012</v>
      </c>
      <c r="V144" s="166">
        <f t="shared" si="141"/>
        <v>0</v>
      </c>
      <c r="W144" s="166">
        <f>T144-U144</f>
        <v>4466754872.4854994</v>
      </c>
      <c r="X144" s="166">
        <f>W144-Q144</f>
        <v>-3021245127.5145006</v>
      </c>
      <c r="Y144" s="172">
        <f>Y125</f>
        <v>0.59652175113321315</v>
      </c>
      <c r="Z144" s="171">
        <f>V144+W144</f>
        <v>4466754872.4854994</v>
      </c>
      <c r="AA144" s="227">
        <f>Z144/Q144</f>
        <v>0.59652175113321304</v>
      </c>
    </row>
    <row r="145" spans="2:27" x14ac:dyDescent="0.35">
      <c r="B145" s="257" t="s">
        <v>136</v>
      </c>
      <c r="C145" s="166">
        <f t="shared" ref="C145:H145" si="142">C137</f>
        <v>4867200000</v>
      </c>
      <c r="D145" s="167">
        <f t="shared" si="142"/>
        <v>447</v>
      </c>
      <c r="E145" s="222">
        <f t="shared" si="142"/>
        <v>383</v>
      </c>
      <c r="F145" s="223">
        <f t="shared" si="142"/>
        <v>3733944820.5366998</v>
      </c>
      <c r="G145" s="224">
        <f t="shared" si="142"/>
        <v>27510810.810400002</v>
      </c>
      <c r="H145" s="166">
        <f t="shared" si="142"/>
        <v>0</v>
      </c>
      <c r="I145" s="166">
        <f>F145-G145</f>
        <v>3706434009.7262998</v>
      </c>
      <c r="J145" s="166">
        <f>I145-C145</f>
        <v>-1160765990.2737002</v>
      </c>
      <c r="K145" s="172">
        <f>I145/C145</f>
        <v>0.76151257596283284</v>
      </c>
      <c r="L145" s="226">
        <f>H145+I145</f>
        <v>3706434009.7262998</v>
      </c>
      <c r="M145" s="227">
        <f>L145/C145</f>
        <v>0.76151257596283284</v>
      </c>
      <c r="P145" s="257" t="s">
        <v>137</v>
      </c>
      <c r="Q145" s="166">
        <f t="shared" ref="Q145:V145" si="143">Q137</f>
        <v>4992000000</v>
      </c>
      <c r="R145" s="230">
        <f t="shared" si="143"/>
        <v>409</v>
      </c>
      <c r="S145" s="167">
        <f t="shared" si="143"/>
        <v>338</v>
      </c>
      <c r="T145" s="223">
        <f t="shared" si="143"/>
        <v>3306061414.6682997</v>
      </c>
      <c r="U145" s="224">
        <f t="shared" si="143"/>
        <v>220123020.78239998</v>
      </c>
      <c r="V145" s="166">
        <f t="shared" si="143"/>
        <v>0</v>
      </c>
      <c r="W145" s="166">
        <f>T145-U145</f>
        <v>3085938393.8858995</v>
      </c>
      <c r="X145" s="166">
        <f>W145-Q145</f>
        <v>-1906061606.1141005</v>
      </c>
      <c r="Y145" s="172">
        <f>Y137</f>
        <v>0.6181767615957332</v>
      </c>
      <c r="Z145" s="171">
        <f>V145+W145</f>
        <v>3085938393.8858995</v>
      </c>
      <c r="AA145" s="227">
        <f>Z145/Q145</f>
        <v>0.61817676159573309</v>
      </c>
    </row>
    <row r="146" spans="2:27" x14ac:dyDescent="0.35">
      <c r="B146" s="175" t="s">
        <v>77</v>
      </c>
      <c r="C146" s="176">
        <f>SUM(C144:C145)</f>
        <v>12480000000</v>
      </c>
      <c r="D146" s="177">
        <f t="shared" ref="D146:I146" si="144">SUM(D144:D145)</f>
        <v>974</v>
      </c>
      <c r="E146" s="178">
        <f t="shared" si="144"/>
        <v>840</v>
      </c>
      <c r="F146" s="303">
        <f t="shared" si="144"/>
        <v>10890747766.420799</v>
      </c>
      <c r="G146" s="304">
        <f t="shared" si="144"/>
        <v>55027477.476599999</v>
      </c>
      <c r="H146" s="176">
        <f t="shared" si="144"/>
        <v>0</v>
      </c>
      <c r="I146" s="176">
        <f t="shared" si="144"/>
        <v>10835720288.944201</v>
      </c>
      <c r="J146" s="176">
        <f>I146-C146</f>
        <v>-1644279711.0557995</v>
      </c>
      <c r="K146" s="306">
        <f>I146/C146</f>
        <v>0.86824681802437509</v>
      </c>
      <c r="L146" s="353">
        <f>H146+I146</f>
        <v>10835720288.944201</v>
      </c>
      <c r="M146" s="180">
        <f>L146/C146</f>
        <v>0.86824681802437509</v>
      </c>
      <c r="P146" s="204" t="s">
        <v>77</v>
      </c>
      <c r="Q146" s="205">
        <f t="shared" ref="Q146:W146" si="145">SUM(Q144:Q145)</f>
        <v>12480000000</v>
      </c>
      <c r="R146" s="312">
        <f t="shared" si="145"/>
        <v>820</v>
      </c>
      <c r="S146" s="206">
        <f t="shared" si="145"/>
        <v>683</v>
      </c>
      <c r="T146" s="315">
        <f t="shared" si="145"/>
        <v>8188542210.0445995</v>
      </c>
      <c r="U146" s="316">
        <f t="shared" si="145"/>
        <v>635848943.67320013</v>
      </c>
      <c r="V146" s="205">
        <f t="shared" si="145"/>
        <v>0</v>
      </c>
      <c r="W146" s="205">
        <f t="shared" si="145"/>
        <v>7552693266.3713989</v>
      </c>
      <c r="X146" s="205">
        <f>W146-Q146</f>
        <v>-4927306733.6286011</v>
      </c>
      <c r="Y146" s="317">
        <f>W146/Q146</f>
        <v>0.60518375531822111</v>
      </c>
      <c r="Z146" s="314">
        <f>V146+W146</f>
        <v>7552693266.3713989</v>
      </c>
      <c r="AA146" s="209">
        <f>Z146/Q146</f>
        <v>0.60518375531822111</v>
      </c>
    </row>
  </sheetData>
  <mergeCells count="192">
    <mergeCell ref="B128:M129"/>
    <mergeCell ref="P128:AA129"/>
    <mergeCell ref="B130:B131"/>
    <mergeCell ref="C130:C131"/>
    <mergeCell ref="D130:D131"/>
    <mergeCell ref="E130:E131"/>
    <mergeCell ref="F130:F131"/>
    <mergeCell ref="G130:G131"/>
    <mergeCell ref="H130:H131"/>
    <mergeCell ref="T130:T131"/>
    <mergeCell ref="U130:U131"/>
    <mergeCell ref="V130:V131"/>
    <mergeCell ref="W130:W131"/>
    <mergeCell ref="X130:X131"/>
    <mergeCell ref="Y130:Y131"/>
    <mergeCell ref="Z130:Z131"/>
    <mergeCell ref="V118:V119"/>
    <mergeCell ref="B116:M117"/>
    <mergeCell ref="P116:AA117"/>
    <mergeCell ref="B118:B119"/>
    <mergeCell ref="C118:C119"/>
    <mergeCell ref="D118:D119"/>
    <mergeCell ref="E118:E119"/>
    <mergeCell ref="F118:F119"/>
    <mergeCell ref="G118:G119"/>
    <mergeCell ref="H118:H119"/>
    <mergeCell ref="Y118:Y119"/>
    <mergeCell ref="Z118:Z119"/>
    <mergeCell ref="W118:W119"/>
    <mergeCell ref="X118:X119"/>
    <mergeCell ref="I118:I119"/>
    <mergeCell ref="J118:J119"/>
    <mergeCell ref="K118:K119"/>
    <mergeCell ref="L118:L119"/>
    <mergeCell ref="P118:P119"/>
    <mergeCell ref="Q118:Q119"/>
    <mergeCell ref="R118:R119"/>
    <mergeCell ref="S118:S119"/>
    <mergeCell ref="T118:T119"/>
    <mergeCell ref="X91:X92"/>
    <mergeCell ref="D100:H100"/>
    <mergeCell ref="R100:V100"/>
    <mergeCell ref="O102:O110"/>
    <mergeCell ref="R102:R103"/>
    <mergeCell ref="T102:W102"/>
    <mergeCell ref="X102:X103"/>
    <mergeCell ref="S102:S103"/>
    <mergeCell ref="E102:E103"/>
    <mergeCell ref="J91:J92"/>
    <mergeCell ref="S91:S92"/>
    <mergeCell ref="X47:X48"/>
    <mergeCell ref="S47:S48"/>
    <mergeCell ref="D56:H56"/>
    <mergeCell ref="R56:V56"/>
    <mergeCell ref="X69:X70"/>
    <mergeCell ref="R78:V78"/>
    <mergeCell ref="O80:O88"/>
    <mergeCell ref="R80:R81"/>
    <mergeCell ref="T80:W80"/>
    <mergeCell ref="X80:X81"/>
    <mergeCell ref="F69:I69"/>
    <mergeCell ref="X3:X4"/>
    <mergeCell ref="D12:H12"/>
    <mergeCell ref="R12:V12"/>
    <mergeCell ref="O14:O22"/>
    <mergeCell ref="R14:R15"/>
    <mergeCell ref="T14:W14"/>
    <mergeCell ref="X14:X15"/>
    <mergeCell ref="T3:W3"/>
    <mergeCell ref="X36:X37"/>
    <mergeCell ref="E36:E37"/>
    <mergeCell ref="F36:I36"/>
    <mergeCell ref="O25:O33"/>
    <mergeCell ref="R25:R26"/>
    <mergeCell ref="D34:H34"/>
    <mergeCell ref="R34:V34"/>
    <mergeCell ref="O36:O44"/>
    <mergeCell ref="R36:R37"/>
    <mergeCell ref="T36:W36"/>
    <mergeCell ref="T25:W25"/>
    <mergeCell ref="X25:X26"/>
    <mergeCell ref="R23:V23"/>
    <mergeCell ref="S14:S15"/>
    <mergeCell ref="J3:J4"/>
    <mergeCell ref="J14:J15"/>
    <mergeCell ref="R3:R4"/>
    <mergeCell ref="S3:S4"/>
    <mergeCell ref="J69:J70"/>
    <mergeCell ref="J80:J81"/>
    <mergeCell ref="D78:H78"/>
    <mergeCell ref="J102:J103"/>
    <mergeCell ref="D67:H67"/>
    <mergeCell ref="R67:V67"/>
    <mergeCell ref="O69:O77"/>
    <mergeCell ref="R69:R70"/>
    <mergeCell ref="T69:W69"/>
    <mergeCell ref="S69:S70"/>
    <mergeCell ref="E69:E70"/>
    <mergeCell ref="R45:V45"/>
    <mergeCell ref="O47:O55"/>
    <mergeCell ref="R47:R48"/>
    <mergeCell ref="T47:W47"/>
    <mergeCell ref="D89:H89"/>
    <mergeCell ref="R89:V89"/>
    <mergeCell ref="T58:W58"/>
    <mergeCell ref="D80:D81"/>
    <mergeCell ref="F80:I80"/>
    <mergeCell ref="S80:S81"/>
    <mergeCell ref="D69:D70"/>
    <mergeCell ref="A3:A11"/>
    <mergeCell ref="D3:D4"/>
    <mergeCell ref="F3:I3"/>
    <mergeCell ref="D23:H23"/>
    <mergeCell ref="D45:H45"/>
    <mergeCell ref="X58:X59"/>
    <mergeCell ref="A36:A44"/>
    <mergeCell ref="S36:S37"/>
    <mergeCell ref="A47:A55"/>
    <mergeCell ref="S58:S59"/>
    <mergeCell ref="D47:D48"/>
    <mergeCell ref="F47:I47"/>
    <mergeCell ref="O58:O66"/>
    <mergeCell ref="R58:R59"/>
    <mergeCell ref="J47:J48"/>
    <mergeCell ref="D58:D59"/>
    <mergeCell ref="F58:I58"/>
    <mergeCell ref="J58:J59"/>
    <mergeCell ref="E47:E48"/>
    <mergeCell ref="E58:E59"/>
    <mergeCell ref="A58:A66"/>
    <mergeCell ref="E3:E4"/>
    <mergeCell ref="E14:E15"/>
    <mergeCell ref="O3:O11"/>
    <mergeCell ref="A25:A33"/>
    <mergeCell ref="D25:D26"/>
    <mergeCell ref="F25:I25"/>
    <mergeCell ref="S25:S26"/>
    <mergeCell ref="J25:J26"/>
    <mergeCell ref="J36:J37"/>
    <mergeCell ref="D36:D37"/>
    <mergeCell ref="E25:E26"/>
    <mergeCell ref="A14:A22"/>
    <mergeCell ref="D14:D15"/>
    <mergeCell ref="F14:I14"/>
    <mergeCell ref="A69:A77"/>
    <mergeCell ref="I130:I131"/>
    <mergeCell ref="J130:J131"/>
    <mergeCell ref="K130:K131"/>
    <mergeCell ref="L130:L131"/>
    <mergeCell ref="P130:P131"/>
    <mergeCell ref="Q130:Q131"/>
    <mergeCell ref="R130:R131"/>
    <mergeCell ref="S130:S131"/>
    <mergeCell ref="A102:A110"/>
    <mergeCell ref="A91:A99"/>
    <mergeCell ref="D91:D92"/>
    <mergeCell ref="F91:I91"/>
    <mergeCell ref="D102:D103"/>
    <mergeCell ref="F102:I102"/>
    <mergeCell ref="E80:E81"/>
    <mergeCell ref="E91:E92"/>
    <mergeCell ref="A80:A88"/>
    <mergeCell ref="D111:H111"/>
    <mergeCell ref="R111:V111"/>
    <mergeCell ref="O91:O99"/>
    <mergeCell ref="R91:R92"/>
    <mergeCell ref="T91:W91"/>
    <mergeCell ref="U118:U119"/>
    <mergeCell ref="B140:M141"/>
    <mergeCell ref="P140:AA141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L142:L143"/>
    <mergeCell ref="P142:P143"/>
    <mergeCell ref="Q142:Q143"/>
    <mergeCell ref="R142:R143"/>
    <mergeCell ref="S142:S143"/>
    <mergeCell ref="T142:T143"/>
    <mergeCell ref="U142:U143"/>
    <mergeCell ref="V142:V143"/>
    <mergeCell ref="W142:W143"/>
    <mergeCell ref="X142:X143"/>
    <mergeCell ref="Y142:Y143"/>
    <mergeCell ref="Z142:Z143"/>
  </mergeCells>
  <phoneticPr fontId="9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58B96-4A39-4440-B464-A6FACFB47ED1}">
  <sheetPr>
    <tabColor rgb="FFFFFF00"/>
  </sheetPr>
  <dimension ref="A1:AI146"/>
  <sheetViews>
    <sheetView showGridLines="0" topLeftCell="A115" zoomScale="60" zoomScaleNormal="60" workbookViewId="0">
      <selection activeCell="T146" sqref="T146"/>
    </sheetView>
  </sheetViews>
  <sheetFormatPr defaultColWidth="8.7265625" defaultRowHeight="14.5" x14ac:dyDescent="0.35"/>
  <cols>
    <col min="1" max="1" width="8.7265625" style="194"/>
    <col min="2" max="2" width="17" style="194" customWidth="1"/>
    <col min="3" max="3" width="14.81640625" style="186" bestFit="1" customWidth="1"/>
    <col min="4" max="4" width="8.1796875" style="187" customWidth="1"/>
    <col min="5" max="5" width="8" style="188" customWidth="1"/>
    <col min="6" max="6" width="16.1796875" style="189" customWidth="1"/>
    <col min="7" max="7" width="16.1796875" style="190" customWidth="1"/>
    <col min="8" max="9" width="16.1796875" style="186" customWidth="1"/>
    <col min="10" max="10" width="15.1796875" style="191" customWidth="1"/>
    <col min="11" max="11" width="16.1796875" style="187" customWidth="1"/>
    <col min="12" max="12" width="16.453125" style="192" customWidth="1"/>
    <col min="13" max="13" width="18.7265625" style="193" bestFit="1" customWidth="1"/>
    <col min="14" max="14" width="18.54296875" style="194" customWidth="1"/>
    <col min="15" max="15" width="11.81640625" style="194" bestFit="1" customWidth="1"/>
    <col min="16" max="16" width="17.1796875" style="194" customWidth="1"/>
    <col min="17" max="17" width="15.1796875" style="187" customWidth="1"/>
    <col min="18" max="18" width="8.1796875" style="195" customWidth="1"/>
    <col min="19" max="19" width="8.1796875" style="187" customWidth="1"/>
    <col min="20" max="20" width="15.1796875" style="189" customWidth="1"/>
    <col min="21" max="21" width="15.1796875" style="190" customWidth="1"/>
    <col min="22" max="24" width="15.1796875" style="186" customWidth="1"/>
    <col min="25" max="25" width="16.1796875" style="187" customWidth="1"/>
    <col min="26" max="26" width="15.7265625" style="186" customWidth="1"/>
    <col min="27" max="27" width="18.54296875" style="196" customWidth="1"/>
    <col min="28" max="28" width="14" style="194" bestFit="1" customWidth="1"/>
    <col min="29" max="29" width="12.54296875" style="194" customWidth="1"/>
    <col min="30" max="30" width="13" style="194" bestFit="1" customWidth="1"/>
    <col min="31" max="33" width="9.1796875" style="194" hidden="1" customWidth="1"/>
    <col min="34" max="34" width="7.7265625" style="194" hidden="1" customWidth="1"/>
    <col min="35" max="35" width="22.1796875" style="194" hidden="1" customWidth="1"/>
    <col min="36" max="36" width="24.1796875" style="194" customWidth="1"/>
    <col min="37" max="37" width="16" style="194" customWidth="1"/>
    <col min="38" max="38" width="12.54296875" style="194" bestFit="1" customWidth="1"/>
    <col min="39" max="40" width="18.26953125" style="194" customWidth="1"/>
    <col min="41" max="41" width="12.54296875" style="194" bestFit="1" customWidth="1"/>
    <col min="42" max="42" width="13.81640625" style="194" bestFit="1" customWidth="1"/>
    <col min="43" max="43" width="14.54296875" style="194" customWidth="1"/>
    <col min="44" max="16384" width="8.7265625" style="194"/>
  </cols>
  <sheetData>
    <row r="1" spans="1:28" ht="15" thickBot="1" x14ac:dyDescent="0.4">
      <c r="A1" s="184" t="s">
        <v>88</v>
      </c>
      <c r="B1" s="185">
        <v>46112</v>
      </c>
      <c r="C1" s="186">
        <v>19</v>
      </c>
      <c r="D1" s="187">
        <v>26</v>
      </c>
    </row>
    <row r="2" spans="1:28" ht="15" thickBot="1" x14ac:dyDescent="0.4">
      <c r="G2" s="190" t="s">
        <v>89</v>
      </c>
      <c r="W2" s="194"/>
    </row>
    <row r="3" spans="1:28" ht="19.5" customHeight="1" x14ac:dyDescent="0.35">
      <c r="A3" s="627">
        <v>1</v>
      </c>
      <c r="B3" s="352" t="s">
        <v>57</v>
      </c>
      <c r="C3" s="353" t="s">
        <v>90</v>
      </c>
      <c r="D3" s="616" t="s">
        <v>91</v>
      </c>
      <c r="E3" s="616" t="s">
        <v>62</v>
      </c>
      <c r="F3" s="604" t="s">
        <v>92</v>
      </c>
      <c r="G3" s="605"/>
      <c r="H3" s="605"/>
      <c r="I3" s="606"/>
      <c r="J3" s="587" t="s">
        <v>65</v>
      </c>
      <c r="K3" s="352" t="s">
        <v>66</v>
      </c>
      <c r="O3" s="613">
        <v>1</v>
      </c>
      <c r="P3" s="354" t="s">
        <v>57</v>
      </c>
      <c r="Q3" s="355" t="s">
        <v>159</v>
      </c>
      <c r="R3" s="591" t="s">
        <v>91</v>
      </c>
      <c r="S3" s="591" t="s">
        <v>62</v>
      </c>
      <c r="T3" s="610" t="s">
        <v>92</v>
      </c>
      <c r="U3" s="611"/>
      <c r="V3" s="611"/>
      <c r="W3" s="612"/>
      <c r="X3" s="595" t="s">
        <v>65</v>
      </c>
      <c r="Y3" s="354" t="s">
        <v>66</v>
      </c>
    </row>
    <row r="4" spans="1:28" s="199" customFormat="1" ht="36" customHeight="1" x14ac:dyDescent="0.35">
      <c r="A4" s="628"/>
      <c r="B4" s="352" t="s">
        <v>93</v>
      </c>
      <c r="C4" s="353" t="s">
        <v>94</v>
      </c>
      <c r="D4" s="617"/>
      <c r="E4" s="617"/>
      <c r="F4" s="163" t="str">
        <f>"OMSET "&amp;UPPER(TEXT($B$1,"MMM"))&amp;CHAR(10)&amp;" (1-"&amp;DAY($B$1)&amp;")"</f>
        <v>OMSET MAR
 (1-31)</v>
      </c>
      <c r="G4" s="163" t="s">
        <v>95</v>
      </c>
      <c r="H4" s="353" t="s">
        <v>63</v>
      </c>
      <c r="I4" s="353" t="s">
        <v>64</v>
      </c>
      <c r="J4" s="587"/>
      <c r="K4" s="164">
        <f>(DAY(B1)-MAX(0,MIN(DAY(B1),D1)-(C1-1)))/(DAY(EOMONTH(B1,0))-(D1-C1+1))</f>
        <v>1</v>
      </c>
      <c r="L4" s="197"/>
      <c r="M4" s="198"/>
      <c r="O4" s="614"/>
      <c r="P4" s="354" t="s">
        <v>93</v>
      </c>
      <c r="Q4" s="355" t="s">
        <v>94</v>
      </c>
      <c r="R4" s="592"/>
      <c r="S4" s="592"/>
      <c r="T4" s="200" t="str">
        <f>F4</f>
        <v>OMSET MAR
 (1-31)</v>
      </c>
      <c r="U4" s="200" t="str">
        <f>G4</f>
        <v>OMSET PRODUK</v>
      </c>
      <c r="V4" s="355" t="s">
        <v>63</v>
      </c>
      <c r="W4" s="355" t="s">
        <v>64</v>
      </c>
      <c r="X4" s="596"/>
      <c r="Y4" s="201">
        <f>K4</f>
        <v>1</v>
      </c>
      <c r="Z4" s="202"/>
      <c r="AA4" s="203"/>
    </row>
    <row r="5" spans="1:28" x14ac:dyDescent="0.35">
      <c r="A5" s="628"/>
      <c r="B5" s="325" t="s">
        <v>96</v>
      </c>
      <c r="C5" s="326">
        <v>164436480</v>
      </c>
      <c r="D5" s="222">
        <v>15</v>
      </c>
      <c r="E5" s="308">
        <v>14</v>
      </c>
      <c r="F5" s="169">
        <v>47301731.531599976</v>
      </c>
      <c r="G5" s="169">
        <v>328828.82880000002</v>
      </c>
      <c r="H5" s="326"/>
      <c r="I5" s="326">
        <f t="shared" ref="I5:I11" si="0">F5-G5</f>
        <v>46972902.702799976</v>
      </c>
      <c r="J5" s="226">
        <f t="shared" ref="J5:J10" si="1">I5-C5</f>
        <v>-117463577.29720002</v>
      </c>
      <c r="K5" s="172">
        <f t="shared" ref="K5:K12" si="2">I5/C5</f>
        <v>0.28565986515157693</v>
      </c>
      <c r="L5" s="369">
        <f>IF(K5&gt;120%,"0,55%", IF(K5&gt;100%,"0,45%", IF(K5&gt;80%,"0,35%", IF(K5&gt;60%,"0,2%", 0))))</f>
        <v>0</v>
      </c>
      <c r="O5" s="614"/>
      <c r="P5" s="165" t="s">
        <v>96</v>
      </c>
      <c r="Q5" s="166">
        <v>202176000</v>
      </c>
      <c r="R5" s="222">
        <v>12</v>
      </c>
      <c r="S5" s="308">
        <v>7</v>
      </c>
      <c r="T5" s="169">
        <v>83740393.195999965</v>
      </c>
      <c r="U5" s="169">
        <v>19405405.405100003</v>
      </c>
      <c r="V5" s="326"/>
      <c r="W5" s="166">
        <f t="shared" ref="W5:W11" si="3">T5-U5</f>
        <v>64334987.790899962</v>
      </c>
      <c r="X5" s="171">
        <f>W5-Q5</f>
        <v>-137841012.20910004</v>
      </c>
      <c r="Y5" s="172">
        <f>W5/Q5</f>
        <v>0.31821278386603735</v>
      </c>
      <c r="Z5" s="369">
        <f>IF(Y5&gt;120%,"0,55%", IF(Y5&gt;100%,"0,45%", IF(Y5&gt;80%,"0,35%", IF(Y5&gt;60%,"0,2%", 0))))</f>
        <v>0</v>
      </c>
    </row>
    <row r="6" spans="1:28" x14ac:dyDescent="0.35">
      <c r="A6" s="628"/>
      <c r="B6" s="325" t="s">
        <v>97</v>
      </c>
      <c r="C6" s="327">
        <v>274060800</v>
      </c>
      <c r="D6" s="222">
        <v>18</v>
      </c>
      <c r="E6" s="308">
        <v>14</v>
      </c>
      <c r="F6" s="169">
        <v>103276852.43189999</v>
      </c>
      <c r="G6" s="328"/>
      <c r="H6" s="327"/>
      <c r="I6" s="326">
        <f t="shared" si="0"/>
        <v>103276852.43189999</v>
      </c>
      <c r="J6" s="226">
        <f t="shared" si="1"/>
        <v>-170783947.56810001</v>
      </c>
      <c r="K6" s="172">
        <f t="shared" si="2"/>
        <v>0.37683919930139587</v>
      </c>
      <c r="L6" s="369">
        <f t="shared" ref="L6:L10" si="4">IF(K6&gt;120%,"0,55%", IF(K6&gt;100%,"0,45%", IF(K6&gt;80%,"0,35%", IF(K6&gt;60%,"0,2%", 0))))</f>
        <v>0</v>
      </c>
      <c r="O6" s="614"/>
      <c r="P6" s="165" t="s">
        <v>97</v>
      </c>
      <c r="Q6" s="173">
        <v>157248000.00000003</v>
      </c>
      <c r="R6" s="222">
        <v>10</v>
      </c>
      <c r="S6" s="308">
        <v>6</v>
      </c>
      <c r="T6" s="169">
        <v>41278112.612899996</v>
      </c>
      <c r="U6" s="328">
        <v>18391891.892099999</v>
      </c>
      <c r="V6" s="327"/>
      <c r="W6" s="166">
        <f t="shared" si="3"/>
        <v>22886220.720799997</v>
      </c>
      <c r="X6" s="171">
        <f>W6-Q6</f>
        <v>-134361779.27920002</v>
      </c>
      <c r="Y6" s="172">
        <f>W6/Q6</f>
        <v>0.1455422054385429</v>
      </c>
      <c r="Z6" s="369">
        <f t="shared" ref="Z6:Z10" si="5">IF(Y6&gt;120%,"0,55%", IF(Y6&gt;100%,"0,45%", IF(Y6&gt;80%,"0,35%", IF(Y6&gt;60%,"0,2%", 0))))</f>
        <v>0</v>
      </c>
    </row>
    <row r="7" spans="1:28" x14ac:dyDescent="0.35">
      <c r="A7" s="628"/>
      <c r="B7" s="325" t="s">
        <v>98</v>
      </c>
      <c r="C7" s="327">
        <v>109624320</v>
      </c>
      <c r="D7" s="222">
        <v>18</v>
      </c>
      <c r="E7" s="308">
        <v>9</v>
      </c>
      <c r="F7" s="169">
        <v>59464240.99000001</v>
      </c>
      <c r="G7" s="169">
        <v>337837.83779999998</v>
      </c>
      <c r="H7" s="327"/>
      <c r="I7" s="326">
        <f t="shared" si="0"/>
        <v>59126403.152200006</v>
      </c>
      <c r="J7" s="226">
        <f t="shared" si="1"/>
        <v>-50497916.847799994</v>
      </c>
      <c r="K7" s="172">
        <f t="shared" si="2"/>
        <v>0.5393547996667164</v>
      </c>
      <c r="L7" s="369">
        <f t="shared" si="4"/>
        <v>0</v>
      </c>
      <c r="O7" s="614"/>
      <c r="P7" s="165" t="s">
        <v>98</v>
      </c>
      <c r="Q7" s="173">
        <v>179712000</v>
      </c>
      <c r="R7" s="222">
        <v>15</v>
      </c>
      <c r="S7" s="308">
        <v>7</v>
      </c>
      <c r="T7" s="169">
        <v>46400227.957599983</v>
      </c>
      <c r="U7" s="169">
        <v>7657657.6579</v>
      </c>
      <c r="V7" s="327"/>
      <c r="W7" s="166">
        <f t="shared" si="3"/>
        <v>38742570.299699984</v>
      </c>
      <c r="X7" s="171">
        <f t="shared" ref="X7:X11" si="6">W7-Q7</f>
        <v>-140969429.70030001</v>
      </c>
      <c r="Y7" s="172">
        <f t="shared" ref="Y7:Y11" si="7">W7/Q7</f>
        <v>0.21558143195612972</v>
      </c>
      <c r="Z7" s="369">
        <f t="shared" si="5"/>
        <v>0</v>
      </c>
    </row>
    <row r="8" spans="1:28" x14ac:dyDescent="0.35">
      <c r="A8" s="628"/>
      <c r="B8" s="325" t="s">
        <v>99</v>
      </c>
      <c r="C8" s="327">
        <v>150733440</v>
      </c>
      <c r="D8" s="222">
        <v>18</v>
      </c>
      <c r="E8" s="308">
        <v>11</v>
      </c>
      <c r="F8" s="169">
        <v>72711498.648600027</v>
      </c>
      <c r="G8" s="169"/>
      <c r="H8" s="327"/>
      <c r="I8" s="326">
        <f>F8-G8</f>
        <v>72711498.648600027</v>
      </c>
      <c r="J8" s="226">
        <f t="shared" si="1"/>
        <v>-78021941.351399973</v>
      </c>
      <c r="K8" s="172">
        <f t="shared" si="2"/>
        <v>0.48238465630851407</v>
      </c>
      <c r="L8" s="369">
        <f t="shared" si="4"/>
        <v>0</v>
      </c>
      <c r="O8" s="614"/>
      <c r="P8" s="165" t="s">
        <v>99</v>
      </c>
      <c r="Q8" s="173">
        <v>348192000</v>
      </c>
      <c r="R8" s="222">
        <v>22</v>
      </c>
      <c r="S8" s="308">
        <v>9</v>
      </c>
      <c r="T8" s="169">
        <v>186898744.36949992</v>
      </c>
      <c r="U8" s="169">
        <v>3603603.6036</v>
      </c>
      <c r="V8" s="327"/>
      <c r="W8" s="166">
        <f t="shared" si="3"/>
        <v>183295140.76589993</v>
      </c>
      <c r="X8" s="171">
        <f t="shared" si="6"/>
        <v>-164896859.23410007</v>
      </c>
      <c r="Y8" s="172">
        <f t="shared" si="7"/>
        <v>0.52641973613954351</v>
      </c>
      <c r="Z8" s="369">
        <f t="shared" si="5"/>
        <v>0</v>
      </c>
    </row>
    <row r="9" spans="1:28" x14ac:dyDescent="0.35">
      <c r="A9" s="628"/>
      <c r="B9" s="325" t="s">
        <v>100</v>
      </c>
      <c r="C9" s="327">
        <v>205545600</v>
      </c>
      <c r="D9" s="222">
        <v>10</v>
      </c>
      <c r="E9" s="308">
        <v>9</v>
      </c>
      <c r="F9" s="169">
        <v>112085694.02100003</v>
      </c>
      <c r="G9" s="169"/>
      <c r="H9" s="327"/>
      <c r="I9" s="326">
        <f>F9-G9</f>
        <v>112085694.02100003</v>
      </c>
      <c r="J9" s="226">
        <f t="shared" si="1"/>
        <v>-93459905.978999972</v>
      </c>
      <c r="K9" s="172">
        <f t="shared" si="2"/>
        <v>0.54530816529762749</v>
      </c>
      <c r="L9" s="369">
        <f t="shared" si="4"/>
        <v>0</v>
      </c>
      <c r="O9" s="614"/>
      <c r="P9" s="165" t="s">
        <v>100</v>
      </c>
      <c r="Q9" s="173">
        <v>123552000</v>
      </c>
      <c r="R9" s="222">
        <v>13</v>
      </c>
      <c r="S9" s="308">
        <v>3</v>
      </c>
      <c r="T9" s="169">
        <v>19499659.909799997</v>
      </c>
      <c r="U9" s="169"/>
      <c r="V9" s="327"/>
      <c r="W9" s="166">
        <f t="shared" si="3"/>
        <v>19499659.909799997</v>
      </c>
      <c r="X9" s="171">
        <f t="shared" si="6"/>
        <v>-104052340.09020001</v>
      </c>
      <c r="Y9" s="172">
        <f t="shared" si="7"/>
        <v>0.15782553022047394</v>
      </c>
      <c r="Z9" s="369">
        <f t="shared" si="5"/>
        <v>0</v>
      </c>
    </row>
    <row r="10" spans="1:28" x14ac:dyDescent="0.35">
      <c r="A10" s="628"/>
      <c r="B10" s="325" t="s">
        <v>101</v>
      </c>
      <c r="C10" s="327">
        <v>465903360.00000006</v>
      </c>
      <c r="D10" s="222">
        <v>22</v>
      </c>
      <c r="E10" s="308">
        <v>18</v>
      </c>
      <c r="F10" s="169">
        <v>312687155.40609992</v>
      </c>
      <c r="G10" s="169">
        <v>684684.68460000004</v>
      </c>
      <c r="H10" s="327"/>
      <c r="I10" s="326">
        <f t="shared" si="0"/>
        <v>312002470.72149992</v>
      </c>
      <c r="J10" s="226">
        <f t="shared" si="1"/>
        <v>-153900889.27850014</v>
      </c>
      <c r="K10" s="172">
        <f t="shared" si="2"/>
        <v>0.66967207689058061</v>
      </c>
      <c r="L10" s="369" t="str">
        <f t="shared" si="4"/>
        <v>0,2%</v>
      </c>
      <c r="O10" s="614"/>
      <c r="P10" s="165" t="s">
        <v>101</v>
      </c>
      <c r="Q10" s="173">
        <v>112320000</v>
      </c>
      <c r="R10" s="222">
        <v>10</v>
      </c>
      <c r="S10" s="308">
        <v>7</v>
      </c>
      <c r="T10" s="169">
        <v>36773995.495300032</v>
      </c>
      <c r="U10" s="169">
        <v>2162162.1620999998</v>
      </c>
      <c r="V10" s="327"/>
      <c r="W10" s="166">
        <f t="shared" si="3"/>
        <v>34611833.33320003</v>
      </c>
      <c r="X10" s="171">
        <f t="shared" si="6"/>
        <v>-77708166.666799963</v>
      </c>
      <c r="Y10" s="172">
        <f t="shared" si="7"/>
        <v>0.3081537867984333</v>
      </c>
      <c r="Z10" s="369">
        <f t="shared" si="5"/>
        <v>0</v>
      </c>
    </row>
    <row r="11" spans="1:28" s="199" customFormat="1" ht="14.5" customHeight="1" thickBot="1" x14ac:dyDescent="0.4">
      <c r="A11" s="628"/>
      <c r="B11" s="352" t="s">
        <v>77</v>
      </c>
      <c r="C11" s="329">
        <f t="shared" ref="C11:H11" si="8">SUM(C5:C10)</f>
        <v>1370304000</v>
      </c>
      <c r="D11" s="178">
        <f>SUM(D5:D10)</f>
        <v>101</v>
      </c>
      <c r="E11" s="178">
        <f t="shared" si="8"/>
        <v>75</v>
      </c>
      <c r="F11" s="329">
        <f>SUM(F5:F10)</f>
        <v>707527173.02919996</v>
      </c>
      <c r="G11" s="330">
        <f t="shared" si="8"/>
        <v>1351351.3511999999</v>
      </c>
      <c r="H11" s="329">
        <f t="shared" si="8"/>
        <v>0</v>
      </c>
      <c r="I11" s="329">
        <f t="shared" si="0"/>
        <v>706175821.67799997</v>
      </c>
      <c r="J11" s="329">
        <f>I11-C11</f>
        <v>-664128178.32200003</v>
      </c>
      <c r="K11" s="305">
        <f>I11/C11</f>
        <v>0.51534245078318386</v>
      </c>
      <c r="L11" s="369" t="str">
        <f>IF(K11&gt;100%,"CAPAI 100%",IF(K11&gt;90%,"CAPAI 90%","BELUM CAPAI"))</f>
        <v>BELUM CAPAI</v>
      </c>
      <c r="M11" s="198"/>
      <c r="O11" s="615"/>
      <c r="P11" s="204" t="s">
        <v>77</v>
      </c>
      <c r="Q11" s="205">
        <f>SUM(Q5:Q10)</f>
        <v>1123200000</v>
      </c>
      <c r="R11" s="206">
        <f t="shared" ref="R11:V11" si="9">SUM(R5:R10)</f>
        <v>82</v>
      </c>
      <c r="S11" s="207">
        <f t="shared" si="9"/>
        <v>39</v>
      </c>
      <c r="T11" s="205">
        <f t="shared" si="9"/>
        <v>414591133.54109991</v>
      </c>
      <c r="U11" s="208">
        <f t="shared" si="9"/>
        <v>51220720.720800005</v>
      </c>
      <c r="V11" s="205">
        <f t="shared" si="9"/>
        <v>0</v>
      </c>
      <c r="W11" s="205">
        <f t="shared" si="3"/>
        <v>363370412.82029992</v>
      </c>
      <c r="X11" s="205">
        <f t="shared" si="6"/>
        <v>-759829587.17970014</v>
      </c>
      <c r="Y11" s="209">
        <f t="shared" si="7"/>
        <v>0.32351354417761746</v>
      </c>
      <c r="Z11" s="369" t="str">
        <f>IF(Y11&gt;100%,"CAPAI 100%",IF(Y11&gt;90%,"CAPAI 90%","BELUM CAPAI"))</f>
        <v>BELUM CAPAI</v>
      </c>
      <c r="AA11" s="203"/>
      <c r="AB11" s="194"/>
    </row>
    <row r="12" spans="1:28" ht="14.5" customHeight="1" x14ac:dyDescent="0.55000000000000004">
      <c r="B12" s="324" t="s">
        <v>83</v>
      </c>
      <c r="C12" s="243">
        <v>1233273600</v>
      </c>
      <c r="D12" s="597"/>
      <c r="E12" s="598"/>
      <c r="F12" s="598"/>
      <c r="G12" s="598"/>
      <c r="H12" s="599"/>
      <c r="I12" s="243">
        <f>I11</f>
        <v>706175821.67799997</v>
      </c>
      <c r="J12" s="243">
        <f>I12-C12</f>
        <v>-527097778.32200003</v>
      </c>
      <c r="K12" s="183">
        <f t="shared" si="2"/>
        <v>0.57260272309242655</v>
      </c>
      <c r="O12" s="309"/>
      <c r="P12" s="324" t="str">
        <f>$B$12</f>
        <v>TARGET Q1</v>
      </c>
      <c r="Q12" s="243">
        <v>1010880000</v>
      </c>
      <c r="R12" s="597"/>
      <c r="S12" s="598"/>
      <c r="T12" s="598"/>
      <c r="U12" s="598"/>
      <c r="V12" s="599"/>
      <c r="W12" s="243">
        <f>W11</f>
        <v>363370412.82029992</v>
      </c>
      <c r="X12" s="243">
        <f>W12-Q12</f>
        <v>-647509587.17970014</v>
      </c>
      <c r="Y12" s="183">
        <f>W12/Q12</f>
        <v>0.35945949353068607</v>
      </c>
      <c r="Z12" s="192"/>
    </row>
    <row r="13" spans="1:28" ht="24" thickBot="1" x14ac:dyDescent="0.6">
      <c r="C13" s="210">
        <f>C12/C11</f>
        <v>0.9</v>
      </c>
      <c r="O13" s="309"/>
      <c r="Q13" s="210">
        <f>Q12/Q11</f>
        <v>0.9</v>
      </c>
    </row>
    <row r="14" spans="1:28" ht="19.5" customHeight="1" x14ac:dyDescent="0.35">
      <c r="A14" s="623">
        <v>2</v>
      </c>
      <c r="B14" s="352" t="s">
        <v>57</v>
      </c>
      <c r="C14" s="353" t="s">
        <v>102</v>
      </c>
      <c r="D14" s="616" t="s">
        <v>91</v>
      </c>
      <c r="E14" s="616" t="s">
        <v>62</v>
      </c>
      <c r="F14" s="604" t="s">
        <v>103</v>
      </c>
      <c r="G14" s="605"/>
      <c r="H14" s="605"/>
      <c r="I14" s="606"/>
      <c r="J14" s="587" t="s">
        <v>65</v>
      </c>
      <c r="K14" s="352" t="s">
        <v>66</v>
      </c>
      <c r="O14" s="607">
        <v>2</v>
      </c>
      <c r="P14" s="354" t="s">
        <v>57</v>
      </c>
      <c r="Q14" s="355" t="s">
        <v>104</v>
      </c>
      <c r="R14" s="591" t="s">
        <v>91</v>
      </c>
      <c r="S14" s="591" t="s">
        <v>62</v>
      </c>
      <c r="T14" s="610" t="s">
        <v>103</v>
      </c>
      <c r="U14" s="611"/>
      <c r="V14" s="611"/>
      <c r="W14" s="612"/>
      <c r="X14" s="595" t="s">
        <v>65</v>
      </c>
      <c r="Y14" s="354" t="s">
        <v>66</v>
      </c>
    </row>
    <row r="15" spans="1:28" ht="36" customHeight="1" x14ac:dyDescent="0.35">
      <c r="A15" s="623"/>
      <c r="B15" s="352" t="s">
        <v>93</v>
      </c>
      <c r="C15" s="353" t="str">
        <f>C4</f>
        <v>TARGET 100%</v>
      </c>
      <c r="D15" s="617"/>
      <c r="E15" s="617"/>
      <c r="F15" s="163" t="str">
        <f>F4</f>
        <v>OMSET MAR
 (1-31)</v>
      </c>
      <c r="G15" s="163" t="str">
        <f>G4</f>
        <v>OMSET PRODUK</v>
      </c>
      <c r="H15" s="353" t="s">
        <v>63</v>
      </c>
      <c r="I15" s="353" t="s">
        <v>64</v>
      </c>
      <c r="J15" s="587"/>
      <c r="K15" s="164">
        <f>K4</f>
        <v>1</v>
      </c>
      <c r="L15" s="211"/>
      <c r="M15" s="212"/>
      <c r="O15" s="608"/>
      <c r="P15" s="354" t="s">
        <v>93</v>
      </c>
      <c r="Q15" s="355" t="str">
        <f>Q4</f>
        <v>TARGET 100%</v>
      </c>
      <c r="R15" s="592"/>
      <c r="S15" s="592"/>
      <c r="T15" s="200" t="str">
        <f>T4</f>
        <v>OMSET MAR
 (1-31)</v>
      </c>
      <c r="U15" s="200" t="str">
        <f>G4</f>
        <v>OMSET PRODUK</v>
      </c>
      <c r="V15" s="355" t="s">
        <v>63</v>
      </c>
      <c r="W15" s="355" t="s">
        <v>64</v>
      </c>
      <c r="X15" s="596"/>
      <c r="Y15" s="201">
        <f>K15</f>
        <v>1</v>
      </c>
    </row>
    <row r="16" spans="1:28" ht="14.5" customHeight="1" x14ac:dyDescent="0.35">
      <c r="A16" s="623"/>
      <c r="B16" s="325" t="s">
        <v>96</v>
      </c>
      <c r="C16" s="326">
        <v>395865600</v>
      </c>
      <c r="D16" s="222">
        <v>21</v>
      </c>
      <c r="E16" s="308">
        <v>9</v>
      </c>
      <c r="F16" s="169">
        <v>183621913.27429998</v>
      </c>
      <c r="G16" s="169"/>
      <c r="H16" s="326"/>
      <c r="I16" s="326">
        <f t="shared" ref="I16:I22" si="10">F16-G16</f>
        <v>183621913.27429998</v>
      </c>
      <c r="J16" s="226">
        <f t="shared" ref="J16:J22" si="11">I16-C16</f>
        <v>-212243686.72570002</v>
      </c>
      <c r="K16" s="172">
        <f t="shared" ref="K16:K23" si="12">I16/C16</f>
        <v>0.46384912777038462</v>
      </c>
      <c r="L16" s="369">
        <f>IF(K16&gt;120%,"0,55%", IF(K16&gt;100%,"0,45%", IF(K16&gt;80%,"0,35%", IF(K16&gt;60%,"0,2%", 0))))</f>
        <v>0</v>
      </c>
      <c r="O16" s="608"/>
      <c r="P16" s="325" t="s">
        <v>96</v>
      </c>
      <c r="Q16" s="166">
        <v>227635200</v>
      </c>
      <c r="R16" s="222">
        <v>11</v>
      </c>
      <c r="S16" s="308">
        <v>7</v>
      </c>
      <c r="T16" s="169">
        <v>35378162.727399997</v>
      </c>
      <c r="U16" s="169">
        <v>8729729.7298000008</v>
      </c>
      <c r="V16" s="326"/>
      <c r="W16" s="326">
        <f t="shared" ref="W16:W22" si="13">T16-U16</f>
        <v>26648432.997599997</v>
      </c>
      <c r="X16" s="226">
        <f t="shared" ref="X16:X22" si="14">W16-Q16</f>
        <v>-200986767.00240001</v>
      </c>
      <c r="Y16" s="172">
        <f t="shared" ref="Y16:Y21" si="15">W16/Q16</f>
        <v>0.11706639833206814</v>
      </c>
      <c r="Z16" s="369">
        <f>IF(Y16&gt;120%,"0,55%", IF(Y16&gt;100%,"0,45%", IF(Y16&gt;80%,"0,35%", IF(Y16&gt;60%,"0,2%", 0))))</f>
        <v>0</v>
      </c>
    </row>
    <row r="17" spans="1:26" ht="14.5" customHeight="1" x14ac:dyDescent="0.35">
      <c r="A17" s="623"/>
      <c r="B17" s="325" t="s">
        <v>97</v>
      </c>
      <c r="C17" s="327">
        <v>258835200.00000003</v>
      </c>
      <c r="D17" s="222">
        <v>17</v>
      </c>
      <c r="E17" s="308">
        <v>8</v>
      </c>
      <c r="F17" s="169">
        <v>94943789.639400035</v>
      </c>
      <c r="G17" s="328"/>
      <c r="H17" s="327"/>
      <c r="I17" s="326">
        <f t="shared" si="10"/>
        <v>94943789.639400035</v>
      </c>
      <c r="J17" s="226">
        <f t="shared" si="11"/>
        <v>-163891410.36059999</v>
      </c>
      <c r="K17" s="172">
        <f t="shared" si="12"/>
        <v>0.3668117382774832</v>
      </c>
      <c r="L17" s="369">
        <f t="shared" ref="L17:L21" si="16">IF(K17&gt;120%,"0,55%", IF(K17&gt;100%,"0,45%", IF(K17&gt;80%,"0,35%", IF(K17&gt;60%,"0,2%", 0))))</f>
        <v>0</v>
      </c>
      <c r="O17" s="608"/>
      <c r="P17" s="325" t="s">
        <v>97</v>
      </c>
      <c r="Q17" s="173">
        <v>199180800.00000003</v>
      </c>
      <c r="R17" s="222">
        <v>15</v>
      </c>
      <c r="S17" s="308">
        <v>10</v>
      </c>
      <c r="T17" s="169">
        <v>50473144.143999994</v>
      </c>
      <c r="U17" s="328">
        <v>1824324.3243</v>
      </c>
      <c r="V17" s="327"/>
      <c r="W17" s="326">
        <f t="shared" si="13"/>
        <v>48648819.819699995</v>
      </c>
      <c r="X17" s="226">
        <f t="shared" si="14"/>
        <v>-150531980.18030003</v>
      </c>
      <c r="Y17" s="172">
        <f t="shared" si="15"/>
        <v>0.24424452467155464</v>
      </c>
      <c r="Z17" s="369">
        <f t="shared" ref="Z17:Z21" si="17">IF(Y17&gt;120%,"0,55%", IF(Y17&gt;100%,"0,45%", IF(Y17&gt;80%,"0,35%", IF(Y17&gt;60%,"0,2%", 0))))</f>
        <v>0</v>
      </c>
    </row>
    <row r="18" spans="1:26" ht="14.5" customHeight="1" x14ac:dyDescent="0.35">
      <c r="A18" s="623"/>
      <c r="B18" s="325" t="s">
        <v>98</v>
      </c>
      <c r="C18" s="327">
        <v>228384000</v>
      </c>
      <c r="D18" s="222">
        <v>24</v>
      </c>
      <c r="E18" s="308">
        <v>7</v>
      </c>
      <c r="F18" s="169">
        <v>21071118.018100001</v>
      </c>
      <c r="G18" s="169"/>
      <c r="H18" s="327"/>
      <c r="I18" s="326">
        <f t="shared" si="10"/>
        <v>21071118.018100001</v>
      </c>
      <c r="J18" s="226">
        <f t="shared" si="11"/>
        <v>-207312881.98190001</v>
      </c>
      <c r="K18" s="172">
        <f t="shared" si="12"/>
        <v>9.2261796001909063E-2</v>
      </c>
      <c r="L18" s="369">
        <f t="shared" si="16"/>
        <v>0</v>
      </c>
      <c r="M18" s="213"/>
      <c r="O18" s="608"/>
      <c r="P18" s="325" t="s">
        <v>98</v>
      </c>
      <c r="Q18" s="173">
        <v>327225600</v>
      </c>
      <c r="R18" s="222">
        <v>18</v>
      </c>
      <c r="S18" s="308">
        <v>12</v>
      </c>
      <c r="T18" s="169">
        <v>144713657.65750009</v>
      </c>
      <c r="U18" s="169">
        <v>11655405.4055</v>
      </c>
      <c r="V18" s="327"/>
      <c r="W18" s="326">
        <f t="shared" si="13"/>
        <v>133058252.25200009</v>
      </c>
      <c r="X18" s="226">
        <f t="shared" si="14"/>
        <v>-194167347.74799991</v>
      </c>
      <c r="Y18" s="172">
        <f t="shared" si="15"/>
        <v>0.40662543594388734</v>
      </c>
      <c r="Z18" s="369">
        <f t="shared" si="17"/>
        <v>0</v>
      </c>
    </row>
    <row r="19" spans="1:26" ht="14.5" customHeight="1" x14ac:dyDescent="0.35">
      <c r="A19" s="623"/>
      <c r="B19" s="325" t="s">
        <v>99</v>
      </c>
      <c r="C19" s="327">
        <v>243609600</v>
      </c>
      <c r="D19" s="222">
        <v>11</v>
      </c>
      <c r="E19" s="308">
        <v>10</v>
      </c>
      <c r="F19" s="169">
        <v>103451134.6362</v>
      </c>
      <c r="G19" s="169"/>
      <c r="H19" s="327"/>
      <c r="I19" s="326">
        <f t="shared" si="10"/>
        <v>103451134.6362</v>
      </c>
      <c r="J19" s="226">
        <f t="shared" si="11"/>
        <v>-140158465.36379999</v>
      </c>
      <c r="K19" s="172">
        <f t="shared" si="12"/>
        <v>0.42465951520876022</v>
      </c>
      <c r="L19" s="369">
        <f t="shared" si="16"/>
        <v>0</v>
      </c>
      <c r="O19" s="608"/>
      <c r="P19" s="325" t="s">
        <v>99</v>
      </c>
      <c r="Q19" s="173">
        <v>227635200</v>
      </c>
      <c r="R19" s="222">
        <v>14</v>
      </c>
      <c r="S19" s="308">
        <v>13</v>
      </c>
      <c r="T19" s="169">
        <v>106866040.54080001</v>
      </c>
      <c r="U19" s="169">
        <v>26574324.3248</v>
      </c>
      <c r="V19" s="327"/>
      <c r="W19" s="326">
        <f t="shared" si="13"/>
        <v>80291716.216000006</v>
      </c>
      <c r="X19" s="226">
        <f t="shared" si="14"/>
        <v>-147343483.78399998</v>
      </c>
      <c r="Y19" s="172">
        <f t="shared" si="15"/>
        <v>0.35272100367605713</v>
      </c>
      <c r="Z19" s="369">
        <f t="shared" si="17"/>
        <v>0</v>
      </c>
    </row>
    <row r="20" spans="1:26" ht="14.5" customHeight="1" x14ac:dyDescent="0.35">
      <c r="A20" s="623"/>
      <c r="B20" s="325" t="s">
        <v>100</v>
      </c>
      <c r="C20" s="327">
        <v>182707200</v>
      </c>
      <c r="D20" s="222">
        <v>14</v>
      </c>
      <c r="E20" s="308">
        <v>12</v>
      </c>
      <c r="F20" s="169">
        <v>131147789.63949999</v>
      </c>
      <c r="G20" s="169"/>
      <c r="H20" s="327"/>
      <c r="I20" s="326">
        <f t="shared" si="10"/>
        <v>131147789.63949999</v>
      </c>
      <c r="J20" s="226">
        <f t="shared" si="11"/>
        <v>-51559410.360500008</v>
      </c>
      <c r="K20" s="172">
        <f t="shared" si="12"/>
        <v>0.71780307311096658</v>
      </c>
      <c r="L20" s="369" t="str">
        <f t="shared" si="16"/>
        <v>0,2%</v>
      </c>
      <c r="O20" s="608"/>
      <c r="P20" s="325" t="s">
        <v>100</v>
      </c>
      <c r="Q20" s="173">
        <v>213408000</v>
      </c>
      <c r="R20" s="222">
        <v>10</v>
      </c>
      <c r="S20" s="308">
        <v>7</v>
      </c>
      <c r="T20" s="169">
        <v>28070828.829100002</v>
      </c>
      <c r="U20" s="169">
        <v>3648648.6488000001</v>
      </c>
      <c r="V20" s="327"/>
      <c r="W20" s="326">
        <f>T20-U20</f>
        <v>24422180.180300001</v>
      </c>
      <c r="X20" s="226">
        <f t="shared" si="14"/>
        <v>-188985819.8197</v>
      </c>
      <c r="Y20" s="172">
        <f t="shared" si="15"/>
        <v>0.11443891597456515</v>
      </c>
      <c r="Z20" s="369">
        <f t="shared" si="17"/>
        <v>0</v>
      </c>
    </row>
    <row r="21" spans="1:26" ht="14.5" customHeight="1" x14ac:dyDescent="0.35">
      <c r="A21" s="623"/>
      <c r="B21" s="325" t="s">
        <v>101</v>
      </c>
      <c r="C21" s="327">
        <v>213158400.00000003</v>
      </c>
      <c r="D21" s="222">
        <v>17</v>
      </c>
      <c r="E21" s="308">
        <v>14</v>
      </c>
      <c r="F21" s="169">
        <v>112519593.69380002</v>
      </c>
      <c r="G21" s="169">
        <v>1711711.7117000001</v>
      </c>
      <c r="H21" s="327"/>
      <c r="I21" s="326">
        <f t="shared" si="10"/>
        <v>110807881.98210001</v>
      </c>
      <c r="J21" s="226">
        <f t="shared" si="11"/>
        <v>-102350518.01790002</v>
      </c>
      <c r="K21" s="172">
        <f t="shared" si="12"/>
        <v>0.51983821412667763</v>
      </c>
      <c r="L21" s="369">
        <f t="shared" si="16"/>
        <v>0</v>
      </c>
      <c r="O21" s="608"/>
      <c r="P21" s="325" t="s">
        <v>101</v>
      </c>
      <c r="Q21" s="173">
        <v>227635200</v>
      </c>
      <c r="R21" s="222">
        <v>14</v>
      </c>
      <c r="S21" s="308">
        <v>8</v>
      </c>
      <c r="T21" s="169">
        <v>57966738.738499999</v>
      </c>
      <c r="U21" s="169"/>
      <c r="V21" s="327"/>
      <c r="W21" s="326">
        <f t="shared" si="13"/>
        <v>57966738.738499999</v>
      </c>
      <c r="X21" s="226">
        <f t="shared" si="14"/>
        <v>-169668461.2615</v>
      </c>
      <c r="Y21" s="172">
        <f t="shared" si="15"/>
        <v>0.25464751821554837</v>
      </c>
      <c r="Z21" s="369">
        <f t="shared" si="17"/>
        <v>0</v>
      </c>
    </row>
    <row r="22" spans="1:26" ht="14.5" customHeight="1" thickBot="1" x14ac:dyDescent="0.4">
      <c r="A22" s="623"/>
      <c r="B22" s="352" t="s">
        <v>77</v>
      </c>
      <c r="C22" s="329">
        <f t="shared" ref="C22:H22" si="18">SUM(C16:C21)</f>
        <v>1522560000</v>
      </c>
      <c r="D22" s="178">
        <f>SUM(D16:D21)</f>
        <v>104</v>
      </c>
      <c r="E22" s="178">
        <f t="shared" si="18"/>
        <v>60</v>
      </c>
      <c r="F22" s="329">
        <f>SUM(F16:F21)</f>
        <v>646755338.90129995</v>
      </c>
      <c r="G22" s="330">
        <f t="shared" si="18"/>
        <v>1711711.7117000001</v>
      </c>
      <c r="H22" s="329">
        <f t="shared" si="18"/>
        <v>0</v>
      </c>
      <c r="I22" s="329">
        <f t="shared" si="10"/>
        <v>645043627.18959999</v>
      </c>
      <c r="J22" s="329">
        <f t="shared" si="11"/>
        <v>-877516372.81040001</v>
      </c>
      <c r="K22" s="305">
        <f t="shared" si="12"/>
        <v>0.42365727931221103</v>
      </c>
      <c r="L22" s="369" t="str">
        <f>IF(K22&gt;100%,"CAPAI 100%",IF(K22&gt;90%,"CAPAI 90%","BELUM CAPAI"))</f>
        <v>BELUM CAPAI</v>
      </c>
      <c r="O22" s="609"/>
      <c r="P22" s="354" t="s">
        <v>77</v>
      </c>
      <c r="Q22" s="336">
        <f t="shared" ref="Q22:V22" si="19">SUM(Q16:Q21)</f>
        <v>1422720000</v>
      </c>
      <c r="R22" s="207">
        <f>SUM(R16:R21)</f>
        <v>82</v>
      </c>
      <c r="S22" s="207">
        <f t="shared" si="19"/>
        <v>57</v>
      </c>
      <c r="T22" s="336">
        <f t="shared" si="19"/>
        <v>423468572.63730013</v>
      </c>
      <c r="U22" s="337">
        <f t="shared" si="19"/>
        <v>52432432.433200002</v>
      </c>
      <c r="V22" s="336">
        <f t="shared" si="19"/>
        <v>0</v>
      </c>
      <c r="W22" s="336">
        <f t="shared" si="13"/>
        <v>371036140.20410013</v>
      </c>
      <c r="X22" s="336">
        <f t="shared" si="14"/>
        <v>-1051683859.7958999</v>
      </c>
      <c r="Y22" s="313">
        <f>W22/Q22</f>
        <v>0.26079350835308435</v>
      </c>
      <c r="Z22" s="369" t="str">
        <f>IF(Y22&gt;100%,"CAPAI 100%",IF(Y22&gt;90%,"CAPAI 90%","BELUM CAPAI"))</f>
        <v>BELUM CAPAI</v>
      </c>
    </row>
    <row r="23" spans="1:26" ht="14.5" customHeight="1" x14ac:dyDescent="0.55000000000000004">
      <c r="B23" s="324" t="str">
        <f>$B$12</f>
        <v>TARGET Q1</v>
      </c>
      <c r="C23" s="243">
        <v>1370304000</v>
      </c>
      <c r="D23" s="597"/>
      <c r="E23" s="598"/>
      <c r="F23" s="598"/>
      <c r="G23" s="598"/>
      <c r="H23" s="599"/>
      <c r="I23" s="243">
        <f>I22</f>
        <v>645043627.18959999</v>
      </c>
      <c r="J23" s="243">
        <f>I23-C23</f>
        <v>-725260372.81040001</v>
      </c>
      <c r="K23" s="183">
        <f t="shared" si="12"/>
        <v>0.4707303103469011</v>
      </c>
      <c r="O23" s="309"/>
      <c r="P23" s="324" t="str">
        <f>$B$12</f>
        <v>TARGET Q1</v>
      </c>
      <c r="Q23" s="243">
        <v>1280448000</v>
      </c>
      <c r="R23" s="597"/>
      <c r="S23" s="598"/>
      <c r="T23" s="598"/>
      <c r="U23" s="598"/>
      <c r="V23" s="599"/>
      <c r="W23" s="243">
        <f>W22</f>
        <v>371036140.20410013</v>
      </c>
      <c r="X23" s="243">
        <f>W23-Q23</f>
        <v>-909411859.79589987</v>
      </c>
      <c r="Y23" s="183">
        <f>W23/Q23</f>
        <v>0.28977056483676034</v>
      </c>
      <c r="Z23" s="192"/>
    </row>
    <row r="24" spans="1:26" ht="24" thickBot="1" x14ac:dyDescent="0.6">
      <c r="C24" s="210">
        <f>C23/C22</f>
        <v>0.9</v>
      </c>
      <c r="O24" s="309"/>
      <c r="Q24" s="210">
        <f>Q23/Q22</f>
        <v>0.9</v>
      </c>
    </row>
    <row r="25" spans="1:26" ht="19.5" customHeight="1" x14ac:dyDescent="0.35">
      <c r="A25" s="623">
        <v>3</v>
      </c>
      <c r="B25" s="352" t="s">
        <v>57</v>
      </c>
      <c r="C25" s="353" t="s">
        <v>105</v>
      </c>
      <c r="D25" s="616" t="s">
        <v>91</v>
      </c>
      <c r="E25" s="616" t="s">
        <v>62</v>
      </c>
      <c r="F25" s="604" t="s">
        <v>106</v>
      </c>
      <c r="G25" s="605"/>
      <c r="H25" s="605"/>
      <c r="I25" s="606"/>
      <c r="J25" s="587" t="s">
        <v>65</v>
      </c>
      <c r="K25" s="352" t="s">
        <v>66</v>
      </c>
      <c r="O25" s="613">
        <v>3</v>
      </c>
      <c r="P25" s="354" t="s">
        <v>57</v>
      </c>
      <c r="Q25" s="355" t="s">
        <v>156</v>
      </c>
      <c r="R25" s="591" t="s">
        <v>91</v>
      </c>
      <c r="S25" s="591" t="s">
        <v>62</v>
      </c>
      <c r="T25" s="610" t="s">
        <v>107</v>
      </c>
      <c r="U25" s="611"/>
      <c r="V25" s="611"/>
      <c r="W25" s="612"/>
      <c r="X25" s="603" t="s">
        <v>65</v>
      </c>
      <c r="Y25" s="354" t="s">
        <v>66</v>
      </c>
    </row>
    <row r="26" spans="1:26" ht="36" customHeight="1" x14ac:dyDescent="0.35">
      <c r="A26" s="623"/>
      <c r="B26" s="352" t="s">
        <v>93</v>
      </c>
      <c r="C26" s="353" t="str">
        <f>C15</f>
        <v>TARGET 100%</v>
      </c>
      <c r="D26" s="617"/>
      <c r="E26" s="617"/>
      <c r="F26" s="163" t="str">
        <f>F4</f>
        <v>OMSET MAR
 (1-31)</v>
      </c>
      <c r="G26" s="163" t="str">
        <f>G4</f>
        <v>OMSET PRODUK</v>
      </c>
      <c r="H26" s="353" t="s">
        <v>63</v>
      </c>
      <c r="I26" s="353" t="s">
        <v>64</v>
      </c>
      <c r="J26" s="587"/>
      <c r="K26" s="164">
        <f>K15</f>
        <v>1</v>
      </c>
      <c r="O26" s="614"/>
      <c r="P26" s="354" t="s">
        <v>93</v>
      </c>
      <c r="Q26" s="355" t="str">
        <f>Q15</f>
        <v>TARGET 100%</v>
      </c>
      <c r="R26" s="592"/>
      <c r="S26" s="592"/>
      <c r="T26" s="200" t="str">
        <f>T4</f>
        <v>OMSET MAR
 (1-31)</v>
      </c>
      <c r="U26" s="200" t="str">
        <f>G4</f>
        <v>OMSET PRODUK</v>
      </c>
      <c r="V26" s="355" t="s">
        <v>63</v>
      </c>
      <c r="W26" s="355" t="s">
        <v>64</v>
      </c>
      <c r="X26" s="603"/>
      <c r="Y26" s="201">
        <f>K26</f>
        <v>1</v>
      </c>
    </row>
    <row r="27" spans="1:26" ht="14.5" customHeight="1" x14ac:dyDescent="0.35">
      <c r="A27" s="623"/>
      <c r="B27" s="325" t="s">
        <v>96</v>
      </c>
      <c r="C27" s="326">
        <v>361608000</v>
      </c>
      <c r="D27" s="222">
        <v>15</v>
      </c>
      <c r="E27" s="308">
        <v>10</v>
      </c>
      <c r="F27" s="169">
        <v>186548057.4777</v>
      </c>
      <c r="G27" s="169"/>
      <c r="H27" s="326"/>
      <c r="I27" s="326">
        <f t="shared" ref="I27:I33" si="20">F27-G27</f>
        <v>186548057.4777</v>
      </c>
      <c r="J27" s="226">
        <f t="shared" ref="J27:J33" si="21">I27-C27</f>
        <v>-175059942.5223</v>
      </c>
      <c r="K27" s="172">
        <f t="shared" ref="K27:K34" si="22">I27/C27</f>
        <v>0.51588476327321298</v>
      </c>
      <c r="L27" s="369">
        <f>IF(K27&gt;120%,"0,55%", IF(K27&gt;100%,"0,45%", IF(K27&gt;80%,"0,35%", IF(K27&gt;60%,"0,2%", 0))))</f>
        <v>0</v>
      </c>
      <c r="O27" s="614"/>
      <c r="P27" s="325" t="s">
        <v>96</v>
      </c>
      <c r="Q27" s="166">
        <v>229132800.00000003</v>
      </c>
      <c r="R27" s="222">
        <v>15</v>
      </c>
      <c r="S27" s="308">
        <v>6</v>
      </c>
      <c r="T27" s="169">
        <v>55733938.109100014</v>
      </c>
      <c r="U27" s="169"/>
      <c r="V27" s="326"/>
      <c r="W27" s="326">
        <f t="shared" ref="W27:W33" si="23">T27-U27</f>
        <v>55733938.109100014</v>
      </c>
      <c r="X27" s="226">
        <f t="shared" ref="X27:X33" si="24">W27-Q27</f>
        <v>-173398861.89090002</v>
      </c>
      <c r="Y27" s="172">
        <f t="shared" ref="Y27:Y33" si="25">W27/Q27</f>
        <v>0.24323858526190928</v>
      </c>
      <c r="Z27" s="369">
        <f>IF(Y27&gt;120%,"0,55%", IF(Y27&gt;100%,"0,45%", IF(Y27&gt;80%,"0,35%", IF(Y27&gt;60%,"0,2%", 0))))</f>
        <v>0</v>
      </c>
    </row>
    <row r="28" spans="1:26" ht="14.5" customHeight="1" x14ac:dyDescent="0.35">
      <c r="A28" s="623"/>
      <c r="B28" s="325" t="s">
        <v>97</v>
      </c>
      <c r="C28" s="327">
        <v>245893440.00000003</v>
      </c>
      <c r="D28" s="222">
        <v>20</v>
      </c>
      <c r="E28" s="308">
        <v>12</v>
      </c>
      <c r="F28" s="169">
        <v>97805569.253399998</v>
      </c>
      <c r="G28" s="328">
        <v>337837.83779999998</v>
      </c>
      <c r="H28" s="327"/>
      <c r="I28" s="326">
        <f t="shared" si="20"/>
        <v>97467731.415600002</v>
      </c>
      <c r="J28" s="226">
        <f t="shared" si="21"/>
        <v>-148425708.58440003</v>
      </c>
      <c r="K28" s="172">
        <f t="shared" si="22"/>
        <v>0.39638199138456071</v>
      </c>
      <c r="L28" s="369">
        <f t="shared" ref="L28:L32" si="26">IF(K28&gt;120%,"0,55%", IF(K28&gt;100%,"0,45%", IF(K28&gt;80%,"0,35%", IF(K28&gt;60%,"0,2%", 0))))</f>
        <v>0</v>
      </c>
      <c r="O28" s="614"/>
      <c r="P28" s="325" t="s">
        <v>97</v>
      </c>
      <c r="Q28" s="173">
        <v>404352000</v>
      </c>
      <c r="R28" s="222">
        <v>14</v>
      </c>
      <c r="S28" s="308">
        <v>10</v>
      </c>
      <c r="T28" s="169">
        <v>168945891.89229998</v>
      </c>
      <c r="U28" s="328">
        <v>1441441.4413999999</v>
      </c>
      <c r="V28" s="327"/>
      <c r="W28" s="326">
        <f t="shared" si="23"/>
        <v>167504450.45089999</v>
      </c>
      <c r="X28" s="226">
        <f t="shared" si="24"/>
        <v>-236847549.54910001</v>
      </c>
      <c r="Y28" s="172">
        <f t="shared" si="25"/>
        <v>0.4142540421486724</v>
      </c>
      <c r="Z28" s="369">
        <f t="shared" ref="Z28:Z32" si="27">IF(Y28&gt;120%,"0,55%", IF(Y28&gt;100%,"0,45%", IF(Y28&gt;80%,"0,35%", IF(Y28&gt;60%,"0,2%", 0))))</f>
        <v>0</v>
      </c>
    </row>
    <row r="29" spans="1:26" ht="14.5" customHeight="1" x14ac:dyDescent="0.35">
      <c r="A29" s="623"/>
      <c r="B29" s="325" t="s">
        <v>98</v>
      </c>
      <c r="C29" s="327">
        <v>173571840</v>
      </c>
      <c r="D29" s="222">
        <v>23</v>
      </c>
      <c r="E29" s="308">
        <v>21</v>
      </c>
      <c r="F29" s="169">
        <v>155720608.10800001</v>
      </c>
      <c r="G29" s="169">
        <v>2926576.5765</v>
      </c>
      <c r="H29" s="327"/>
      <c r="I29" s="326">
        <f t="shared" si="20"/>
        <v>152794031.53150001</v>
      </c>
      <c r="J29" s="226">
        <f t="shared" si="21"/>
        <v>-20777808.468499988</v>
      </c>
      <c r="K29" s="172">
        <f t="shared" si="22"/>
        <v>0.88029274524888379</v>
      </c>
      <c r="L29" s="369" t="str">
        <f t="shared" si="26"/>
        <v>0,35%</v>
      </c>
      <c r="O29" s="614"/>
      <c r="P29" s="325" t="s">
        <v>98</v>
      </c>
      <c r="Q29" s="173">
        <v>202176000</v>
      </c>
      <c r="R29" s="222">
        <v>11</v>
      </c>
      <c r="S29" s="308">
        <v>7</v>
      </c>
      <c r="T29" s="169">
        <v>76545693.693299934</v>
      </c>
      <c r="U29" s="169">
        <v>10587837.8379</v>
      </c>
      <c r="V29" s="327"/>
      <c r="W29" s="326">
        <f t="shared" si="23"/>
        <v>65957855.855399936</v>
      </c>
      <c r="X29" s="226">
        <f t="shared" si="24"/>
        <v>-136218144.14460006</v>
      </c>
      <c r="Y29" s="172">
        <f t="shared" si="25"/>
        <v>0.32623979035790568</v>
      </c>
      <c r="Z29" s="369">
        <f t="shared" si="27"/>
        <v>0</v>
      </c>
    </row>
    <row r="30" spans="1:26" ht="14.5" customHeight="1" x14ac:dyDescent="0.35">
      <c r="A30" s="623"/>
      <c r="B30" s="325" t="s">
        <v>99</v>
      </c>
      <c r="C30" s="327">
        <v>188036160</v>
      </c>
      <c r="D30" s="222">
        <v>8</v>
      </c>
      <c r="E30" s="308">
        <v>6</v>
      </c>
      <c r="F30" s="169">
        <v>86953113.513199985</v>
      </c>
      <c r="G30" s="169"/>
      <c r="H30" s="327"/>
      <c r="I30" s="326">
        <f t="shared" si="20"/>
        <v>86953113.513199985</v>
      </c>
      <c r="J30" s="226">
        <f t="shared" si="21"/>
        <v>-101083046.48680001</v>
      </c>
      <c r="K30" s="172">
        <f t="shared" si="22"/>
        <v>0.46242761771565633</v>
      </c>
      <c r="L30" s="369">
        <f t="shared" si="26"/>
        <v>0</v>
      </c>
      <c r="O30" s="614"/>
      <c r="P30" s="325" t="s">
        <v>99</v>
      </c>
      <c r="Q30" s="173">
        <v>148262400</v>
      </c>
      <c r="R30" s="222">
        <v>15</v>
      </c>
      <c r="S30" s="308">
        <v>9</v>
      </c>
      <c r="T30" s="169">
        <v>35236018.018100008</v>
      </c>
      <c r="U30" s="169">
        <v>14081081.0812</v>
      </c>
      <c r="V30" s="327"/>
      <c r="W30" s="326">
        <f t="shared" si="23"/>
        <v>21154936.936900008</v>
      </c>
      <c r="X30" s="226">
        <f t="shared" si="24"/>
        <v>-127107463.0631</v>
      </c>
      <c r="Y30" s="172">
        <f t="shared" si="25"/>
        <v>0.14268578504664708</v>
      </c>
      <c r="Z30" s="369">
        <f t="shared" si="27"/>
        <v>0</v>
      </c>
    </row>
    <row r="31" spans="1:26" ht="14.5" customHeight="1" x14ac:dyDescent="0.35">
      <c r="A31" s="623"/>
      <c r="B31" s="325" t="s">
        <v>100</v>
      </c>
      <c r="C31" s="327">
        <v>159107520</v>
      </c>
      <c r="D31" s="222">
        <v>16</v>
      </c>
      <c r="E31" s="308">
        <v>9</v>
      </c>
      <c r="F31" s="169">
        <v>52828989.639699988</v>
      </c>
      <c r="G31" s="169"/>
      <c r="H31" s="327"/>
      <c r="I31" s="326">
        <f t="shared" si="20"/>
        <v>52828989.639699988</v>
      </c>
      <c r="J31" s="226">
        <f t="shared" si="21"/>
        <v>-106278530.3603</v>
      </c>
      <c r="K31" s="172">
        <f t="shared" si="22"/>
        <v>0.3320332668103933</v>
      </c>
      <c r="L31" s="369">
        <f t="shared" si="26"/>
        <v>0</v>
      </c>
      <c r="O31" s="614"/>
      <c r="P31" s="325" t="s">
        <v>100</v>
      </c>
      <c r="Q31" s="173">
        <v>202176000</v>
      </c>
      <c r="R31" s="222">
        <v>17</v>
      </c>
      <c r="S31" s="308">
        <v>10</v>
      </c>
      <c r="T31" s="169">
        <v>44474590.09009999</v>
      </c>
      <c r="U31" s="169">
        <v>2945945.9460999998</v>
      </c>
      <c r="V31" s="327"/>
      <c r="W31" s="326">
        <f t="shared" si="23"/>
        <v>41528644.143999994</v>
      </c>
      <c r="X31" s="226">
        <f t="shared" si="24"/>
        <v>-160647355.85600001</v>
      </c>
      <c r="Y31" s="172">
        <f>W31/Q31</f>
        <v>0.20540837757201644</v>
      </c>
      <c r="Z31" s="369">
        <f t="shared" si="27"/>
        <v>0</v>
      </c>
    </row>
    <row r="32" spans="1:26" ht="14.5" customHeight="1" x14ac:dyDescent="0.35">
      <c r="A32" s="623"/>
      <c r="B32" s="325" t="s">
        <v>101</v>
      </c>
      <c r="C32" s="327">
        <v>318215040</v>
      </c>
      <c r="D32" s="222">
        <v>20</v>
      </c>
      <c r="E32" s="308">
        <v>14</v>
      </c>
      <c r="F32" s="169">
        <v>205548270.17999995</v>
      </c>
      <c r="G32" s="169"/>
      <c r="H32" s="327"/>
      <c r="I32" s="326">
        <f t="shared" si="20"/>
        <v>205548270.17999995</v>
      </c>
      <c r="J32" s="226">
        <f t="shared" si="21"/>
        <v>-112666769.82000005</v>
      </c>
      <c r="K32" s="172">
        <f t="shared" si="22"/>
        <v>0.6459414054722239</v>
      </c>
      <c r="L32" s="369" t="str">
        <f t="shared" si="26"/>
        <v>0,2%</v>
      </c>
      <c r="O32" s="614"/>
      <c r="P32" s="325" t="s">
        <v>101</v>
      </c>
      <c r="Q32" s="173">
        <v>161740800</v>
      </c>
      <c r="R32" s="222">
        <v>14</v>
      </c>
      <c r="S32" s="308">
        <v>10</v>
      </c>
      <c r="T32" s="169">
        <v>73821440.540099978</v>
      </c>
      <c r="U32" s="169">
        <v>3130630.6306999996</v>
      </c>
      <c r="V32" s="327"/>
      <c r="W32" s="326">
        <f t="shared" si="23"/>
        <v>70690809.909399986</v>
      </c>
      <c r="X32" s="226">
        <f t="shared" si="24"/>
        <v>-91049990.090600014</v>
      </c>
      <c r="Y32" s="172">
        <f t="shared" si="25"/>
        <v>0.43706232385025912</v>
      </c>
      <c r="Z32" s="369">
        <f t="shared" si="27"/>
        <v>0</v>
      </c>
    </row>
    <row r="33" spans="1:26" ht="14.5" customHeight="1" thickBot="1" x14ac:dyDescent="0.4">
      <c r="A33" s="623"/>
      <c r="B33" s="352" t="s">
        <v>77</v>
      </c>
      <c r="C33" s="329">
        <f t="shared" ref="C33:H33" si="28">SUM(C27:C32)</f>
        <v>1446432000</v>
      </c>
      <c r="D33" s="178">
        <f>SUM(D27:D32)</f>
        <v>102</v>
      </c>
      <c r="E33" s="178">
        <f>SUM(E27:E32)</f>
        <v>72</v>
      </c>
      <c r="F33" s="329">
        <f t="shared" si="28"/>
        <v>785404608.17199993</v>
      </c>
      <c r="G33" s="330">
        <f t="shared" si="28"/>
        <v>3264414.4142999998</v>
      </c>
      <c r="H33" s="329">
        <f t="shared" si="28"/>
        <v>0</v>
      </c>
      <c r="I33" s="329">
        <f t="shared" si="20"/>
        <v>782140193.75769997</v>
      </c>
      <c r="J33" s="329">
        <f t="shared" si="21"/>
        <v>-664291806.24230003</v>
      </c>
      <c r="K33" s="305">
        <f t="shared" si="22"/>
        <v>0.54073761763961248</v>
      </c>
      <c r="L33" s="369" t="str">
        <f>IF(K33&gt;100%,"CAPAI 100%",IF(K33&gt;90%,"CAPAI 90%","BELUM CAPAI"))</f>
        <v>BELUM CAPAI</v>
      </c>
      <c r="O33" s="615"/>
      <c r="P33" s="354" t="s">
        <v>77</v>
      </c>
      <c r="Q33" s="336">
        <f t="shared" ref="Q33:V33" si="29">SUM(Q27:Q32)</f>
        <v>1347840000</v>
      </c>
      <c r="R33" s="207">
        <f>SUM(R27:R32)</f>
        <v>86</v>
      </c>
      <c r="S33" s="207">
        <f t="shared" si="29"/>
        <v>52</v>
      </c>
      <c r="T33" s="336">
        <f>SUM(T27:T32)</f>
        <v>454757572.34299994</v>
      </c>
      <c r="U33" s="337">
        <f t="shared" si="29"/>
        <v>32186936.9373</v>
      </c>
      <c r="V33" s="336">
        <f t="shared" si="29"/>
        <v>0</v>
      </c>
      <c r="W33" s="336">
        <f t="shared" si="23"/>
        <v>422570635.40569991</v>
      </c>
      <c r="X33" s="336">
        <f t="shared" si="24"/>
        <v>-925269364.59430003</v>
      </c>
      <c r="Y33" s="313">
        <f t="shared" si="25"/>
        <v>0.3135169125457769</v>
      </c>
      <c r="Z33" s="369" t="str">
        <f>IF(Y33&gt;100%,"CAPAI 100%",IF(Y33&gt;90%,"CAPAI 90%","BELUM CAPAI"))</f>
        <v>BELUM CAPAI</v>
      </c>
    </row>
    <row r="34" spans="1:26" ht="14.5" customHeight="1" x14ac:dyDescent="0.55000000000000004">
      <c r="B34" s="324" t="str">
        <f>$B$12</f>
        <v>TARGET Q1</v>
      </c>
      <c r="C34" s="243">
        <v>1301788800</v>
      </c>
      <c r="D34" s="597"/>
      <c r="E34" s="598"/>
      <c r="F34" s="598"/>
      <c r="G34" s="598"/>
      <c r="H34" s="599"/>
      <c r="I34" s="243">
        <f>I33</f>
        <v>782140193.75769997</v>
      </c>
      <c r="J34" s="243">
        <f>I34-C34</f>
        <v>-519648606.24230003</v>
      </c>
      <c r="K34" s="183">
        <f t="shared" si="22"/>
        <v>0.60081957515512496</v>
      </c>
      <c r="O34" s="309"/>
      <c r="P34" s="324" t="str">
        <f>$B$12</f>
        <v>TARGET Q1</v>
      </c>
      <c r="Q34" s="243">
        <v>1213056000</v>
      </c>
      <c r="R34" s="597"/>
      <c r="S34" s="598"/>
      <c r="T34" s="598"/>
      <c r="U34" s="598"/>
      <c r="V34" s="599"/>
      <c r="W34" s="243">
        <f>W33</f>
        <v>422570635.40569991</v>
      </c>
      <c r="X34" s="243">
        <f>W34-Q34</f>
        <v>-790485364.59430003</v>
      </c>
      <c r="Y34" s="183">
        <f>W34/Q34</f>
        <v>0.34835212505086321</v>
      </c>
      <c r="Z34" s="192"/>
    </row>
    <row r="35" spans="1:26" ht="24" thickBot="1" x14ac:dyDescent="0.6">
      <c r="C35" s="210">
        <f>C34/C33</f>
        <v>0.9</v>
      </c>
      <c r="O35" s="309"/>
      <c r="Q35" s="210">
        <f>Q34/Q33</f>
        <v>0.9</v>
      </c>
    </row>
    <row r="36" spans="1:26" ht="19.5" customHeight="1" x14ac:dyDescent="0.35">
      <c r="A36" s="623">
        <v>4</v>
      </c>
      <c r="B36" s="352" t="s">
        <v>57</v>
      </c>
      <c r="C36" s="353" t="s">
        <v>108</v>
      </c>
      <c r="D36" s="616" t="s">
        <v>91</v>
      </c>
      <c r="E36" s="616" t="s">
        <v>62</v>
      </c>
      <c r="F36" s="604" t="s">
        <v>109</v>
      </c>
      <c r="G36" s="605"/>
      <c r="H36" s="605"/>
      <c r="I36" s="606"/>
      <c r="J36" s="621" t="s">
        <v>65</v>
      </c>
      <c r="K36" s="352" t="s">
        <v>66</v>
      </c>
      <c r="O36" s="607">
        <v>4</v>
      </c>
      <c r="P36" s="354" t="s">
        <v>57</v>
      </c>
      <c r="Q36" s="355" t="s">
        <v>53</v>
      </c>
      <c r="R36" s="591" t="s">
        <v>91</v>
      </c>
      <c r="S36" s="591" t="s">
        <v>62</v>
      </c>
      <c r="T36" s="610" t="s">
        <v>109</v>
      </c>
      <c r="U36" s="611"/>
      <c r="V36" s="611"/>
      <c r="W36" s="612"/>
      <c r="X36" s="603" t="s">
        <v>65</v>
      </c>
      <c r="Y36" s="354" t="s">
        <v>66</v>
      </c>
    </row>
    <row r="37" spans="1:26" ht="36" customHeight="1" x14ac:dyDescent="0.35">
      <c r="A37" s="623"/>
      <c r="B37" s="352" t="s">
        <v>93</v>
      </c>
      <c r="C37" s="353" t="str">
        <f>C26</f>
        <v>TARGET 100%</v>
      </c>
      <c r="D37" s="617"/>
      <c r="E37" s="617"/>
      <c r="F37" s="163" t="str">
        <f>F4</f>
        <v>OMSET MAR
 (1-31)</v>
      </c>
      <c r="G37" s="163" t="str">
        <f>G4</f>
        <v>OMSET PRODUK</v>
      </c>
      <c r="H37" s="353" t="s">
        <v>63</v>
      </c>
      <c r="I37" s="353" t="s">
        <v>64</v>
      </c>
      <c r="J37" s="622"/>
      <c r="K37" s="164">
        <f>K26</f>
        <v>1</v>
      </c>
      <c r="L37" s="214"/>
      <c r="M37" s="212"/>
      <c r="O37" s="608"/>
      <c r="P37" s="354" t="s">
        <v>93</v>
      </c>
      <c r="Q37" s="355" t="str">
        <f>Q26</f>
        <v>TARGET 100%</v>
      </c>
      <c r="R37" s="592"/>
      <c r="S37" s="592"/>
      <c r="T37" s="200" t="str">
        <f>T4</f>
        <v>OMSET MAR
 (1-31)</v>
      </c>
      <c r="U37" s="200" t="str">
        <f>G4</f>
        <v>OMSET PRODUK</v>
      </c>
      <c r="V37" s="355" t="s">
        <v>63</v>
      </c>
      <c r="W37" s="355" t="s">
        <v>64</v>
      </c>
      <c r="X37" s="603"/>
      <c r="Y37" s="201">
        <f>K37</f>
        <v>1</v>
      </c>
    </row>
    <row r="38" spans="1:26" x14ac:dyDescent="0.35">
      <c r="A38" s="623"/>
      <c r="B38" s="325" t="s">
        <v>96</v>
      </c>
      <c r="C38" s="326">
        <v>117237120.00000001</v>
      </c>
      <c r="D38" s="222">
        <v>20</v>
      </c>
      <c r="E38" s="308">
        <v>15</v>
      </c>
      <c r="F38" s="169">
        <v>64897435.134800017</v>
      </c>
      <c r="G38" s="169"/>
      <c r="H38" s="326"/>
      <c r="I38" s="326">
        <f t="shared" ref="I38:I44" si="30">F38-G38</f>
        <v>64897435.134800017</v>
      </c>
      <c r="J38" s="226">
        <f t="shared" ref="J38:J44" si="31">I38-C38</f>
        <v>-52339684.865199998</v>
      </c>
      <c r="K38" s="172">
        <f t="shared" ref="K38:K45" si="32">I38/C38</f>
        <v>0.55355705714026415</v>
      </c>
      <c r="L38" s="369">
        <f>IF(K38&gt;120%,"0,55%", IF(K38&gt;100%,"0,45%", IF(K38&gt;80%,"0,35%", IF(K38&gt;60%,"0,2%", 0))))</f>
        <v>0</v>
      </c>
      <c r="M38" s="215"/>
      <c r="N38" s="216"/>
      <c r="O38" s="608"/>
      <c r="P38" s="325" t="s">
        <v>96</v>
      </c>
      <c r="Q38" s="166">
        <v>318240000</v>
      </c>
      <c r="R38" s="222">
        <v>11</v>
      </c>
      <c r="S38" s="308">
        <v>8</v>
      </c>
      <c r="T38" s="169">
        <v>153987840.09019998</v>
      </c>
      <c r="U38" s="169">
        <v>6885135.1350999996</v>
      </c>
      <c r="V38" s="326"/>
      <c r="W38" s="326">
        <f>T38-U38</f>
        <v>147102704.95509997</v>
      </c>
      <c r="X38" s="226">
        <f t="shared" ref="X38:X44" si="33">W38-Q38</f>
        <v>-171137295.04490003</v>
      </c>
      <c r="Y38" s="172">
        <f t="shared" ref="Y38:Y44" si="34">W38/Q38</f>
        <v>0.46223826343357205</v>
      </c>
      <c r="Z38" s="369">
        <f>IF(Y38&gt;120%,"0,55%", IF(Y38&gt;100%,"0,45%", IF(Y38&gt;80%,"0,35%", IF(Y38&gt;60%,"0,2%", 0))))</f>
        <v>0</v>
      </c>
    </row>
    <row r="39" spans="1:26" x14ac:dyDescent="0.35">
      <c r="A39" s="623"/>
      <c r="B39" s="325" t="s">
        <v>97</v>
      </c>
      <c r="C39" s="327">
        <v>502444800</v>
      </c>
      <c r="D39" s="222">
        <v>14</v>
      </c>
      <c r="E39" s="308">
        <v>9</v>
      </c>
      <c r="F39" s="169">
        <v>115976108.10609999</v>
      </c>
      <c r="G39" s="328"/>
      <c r="H39" s="327"/>
      <c r="I39" s="326">
        <f t="shared" si="30"/>
        <v>115976108.10609999</v>
      </c>
      <c r="J39" s="226">
        <f t="shared" si="31"/>
        <v>-386468691.89390004</v>
      </c>
      <c r="K39" s="172">
        <f t="shared" si="32"/>
        <v>0.23082358122942062</v>
      </c>
      <c r="L39" s="369">
        <f t="shared" ref="L39:L43" si="35">IF(K39&gt;120%,"0,55%", IF(K39&gt;100%,"0,45%", IF(K39&gt;80%,"0,35%", IF(K39&gt;60%,"0,2%", 0))))</f>
        <v>0</v>
      </c>
      <c r="M39" s="215"/>
      <c r="N39" s="216"/>
      <c r="O39" s="608"/>
      <c r="P39" s="325" t="s">
        <v>97</v>
      </c>
      <c r="Q39" s="173">
        <v>187200000</v>
      </c>
      <c r="R39" s="222">
        <v>10</v>
      </c>
      <c r="S39" s="308">
        <v>5</v>
      </c>
      <c r="T39" s="169">
        <v>20521171.171500005</v>
      </c>
      <c r="U39" s="328">
        <v>3182432.4325999999</v>
      </c>
      <c r="V39" s="327"/>
      <c r="W39" s="326">
        <f>T39-U39</f>
        <v>17338738.738900006</v>
      </c>
      <c r="X39" s="226">
        <f t="shared" si="33"/>
        <v>-169861261.26109999</v>
      </c>
      <c r="Y39" s="172">
        <f t="shared" si="34"/>
        <v>9.262146762232909E-2</v>
      </c>
      <c r="Z39" s="369">
        <f t="shared" ref="Z39:Z43" si="36">IF(Y39&gt;120%,"0,55%", IF(Y39&gt;100%,"0,45%", IF(Y39&gt;80%,"0,35%", IF(Y39&gt;60%,"0,2%", 0))))</f>
        <v>0</v>
      </c>
    </row>
    <row r="40" spans="1:26" x14ac:dyDescent="0.35">
      <c r="A40" s="623"/>
      <c r="B40" s="325" t="s">
        <v>98</v>
      </c>
      <c r="C40" s="327">
        <v>485696639.99999994</v>
      </c>
      <c r="D40" s="222">
        <v>16</v>
      </c>
      <c r="E40" s="308">
        <v>9</v>
      </c>
      <c r="F40" s="169">
        <v>109982917.92559995</v>
      </c>
      <c r="G40" s="169"/>
      <c r="H40" s="327"/>
      <c r="I40" s="326">
        <f t="shared" si="30"/>
        <v>109982917.92559995</v>
      </c>
      <c r="J40" s="226">
        <f t="shared" si="31"/>
        <v>-375713722.07440001</v>
      </c>
      <c r="K40" s="172">
        <f t="shared" si="32"/>
        <v>0.22644364582303877</v>
      </c>
      <c r="L40" s="369">
        <f t="shared" si="35"/>
        <v>0</v>
      </c>
      <c r="M40" s="215"/>
      <c r="N40" s="216"/>
      <c r="O40" s="608"/>
      <c r="P40" s="325" t="s">
        <v>98</v>
      </c>
      <c r="Q40" s="173">
        <v>299520000</v>
      </c>
      <c r="R40" s="222">
        <v>13</v>
      </c>
      <c r="S40" s="308">
        <v>7</v>
      </c>
      <c r="T40" s="169">
        <v>122925062.74300002</v>
      </c>
      <c r="U40" s="169">
        <v>63209459.459599987</v>
      </c>
      <c r="V40" s="327"/>
      <c r="W40" s="326">
        <f t="shared" ref="W40:W44" si="37">T40-U40</f>
        <v>59715603.283400029</v>
      </c>
      <c r="X40" s="226">
        <f t="shared" si="33"/>
        <v>-239804396.71659997</v>
      </c>
      <c r="Y40" s="172">
        <f t="shared" si="34"/>
        <v>0.19937100455194989</v>
      </c>
      <c r="Z40" s="369">
        <f t="shared" si="36"/>
        <v>0</v>
      </c>
    </row>
    <row r="41" spans="1:26" x14ac:dyDescent="0.35">
      <c r="A41" s="623"/>
      <c r="B41" s="325" t="s">
        <v>99</v>
      </c>
      <c r="C41" s="327">
        <v>217726080</v>
      </c>
      <c r="D41" s="222">
        <v>13</v>
      </c>
      <c r="E41" s="308">
        <v>11</v>
      </c>
      <c r="F41" s="169">
        <v>85638470.720599994</v>
      </c>
      <c r="G41" s="169"/>
      <c r="H41" s="327"/>
      <c r="I41" s="326">
        <f t="shared" si="30"/>
        <v>85638470.720599994</v>
      </c>
      <c r="J41" s="226">
        <f t="shared" si="31"/>
        <v>-132087609.27940001</v>
      </c>
      <c r="K41" s="172">
        <f t="shared" si="32"/>
        <v>0.39333124777977907</v>
      </c>
      <c r="L41" s="369">
        <f t="shared" si="35"/>
        <v>0</v>
      </c>
      <c r="M41" s="215"/>
      <c r="N41" s="216"/>
      <c r="O41" s="608"/>
      <c r="P41" s="325" t="s">
        <v>99</v>
      </c>
      <c r="Q41" s="173">
        <v>655200000</v>
      </c>
      <c r="R41" s="222">
        <v>18</v>
      </c>
      <c r="S41" s="308">
        <v>8</v>
      </c>
      <c r="T41" s="169">
        <v>182417131.83670005</v>
      </c>
      <c r="U41" s="169">
        <v>6565315.3152999999</v>
      </c>
      <c r="V41" s="327"/>
      <c r="W41" s="326">
        <f t="shared" si="37"/>
        <v>175851816.52140006</v>
      </c>
      <c r="X41" s="226">
        <f t="shared" si="33"/>
        <v>-479348183.47859991</v>
      </c>
      <c r="Y41" s="172">
        <f t="shared" si="34"/>
        <v>0.26839410335989022</v>
      </c>
      <c r="Z41" s="369">
        <f t="shared" si="36"/>
        <v>0</v>
      </c>
    </row>
    <row r="42" spans="1:26" x14ac:dyDescent="0.35">
      <c r="A42" s="623"/>
      <c r="B42" s="325" t="s">
        <v>100</v>
      </c>
      <c r="C42" s="327">
        <v>167481600</v>
      </c>
      <c r="D42" s="222">
        <v>11</v>
      </c>
      <c r="E42" s="308">
        <v>8</v>
      </c>
      <c r="F42" s="169">
        <v>52167426.909699999</v>
      </c>
      <c r="G42" s="169"/>
      <c r="H42" s="327"/>
      <c r="I42" s="326">
        <f t="shared" si="30"/>
        <v>52167426.909699999</v>
      </c>
      <c r="J42" s="226">
        <f t="shared" si="31"/>
        <v>-115314173.09029999</v>
      </c>
      <c r="K42" s="172">
        <f t="shared" si="32"/>
        <v>0.31148154131379208</v>
      </c>
      <c r="L42" s="369">
        <f t="shared" si="35"/>
        <v>0</v>
      </c>
      <c r="M42" s="215"/>
      <c r="N42" s="216"/>
      <c r="O42" s="608"/>
      <c r="P42" s="325" t="s">
        <v>100</v>
      </c>
      <c r="Q42" s="173">
        <v>224640000</v>
      </c>
      <c r="R42" s="222">
        <v>11</v>
      </c>
      <c r="S42" s="308">
        <v>7</v>
      </c>
      <c r="T42" s="169">
        <v>50304725.495399989</v>
      </c>
      <c r="U42" s="169"/>
      <c r="V42" s="327"/>
      <c r="W42" s="326">
        <f t="shared" si="37"/>
        <v>50304725.495399989</v>
      </c>
      <c r="X42" s="226">
        <f t="shared" si="33"/>
        <v>-174335274.50460002</v>
      </c>
      <c r="Y42" s="172">
        <f t="shared" si="34"/>
        <v>0.22393485352297005</v>
      </c>
      <c r="Z42" s="369">
        <f t="shared" si="36"/>
        <v>0</v>
      </c>
    </row>
    <row r="43" spans="1:26" x14ac:dyDescent="0.35">
      <c r="A43" s="623"/>
      <c r="B43" s="325" t="s">
        <v>101</v>
      </c>
      <c r="C43" s="327">
        <v>184229760</v>
      </c>
      <c r="D43" s="222">
        <v>16</v>
      </c>
      <c r="E43" s="308">
        <v>9</v>
      </c>
      <c r="F43" s="169">
        <v>79880121.43249999</v>
      </c>
      <c r="G43" s="169"/>
      <c r="H43" s="327"/>
      <c r="I43" s="326">
        <f t="shared" si="30"/>
        <v>79880121.43249999</v>
      </c>
      <c r="J43" s="226">
        <f t="shared" si="31"/>
        <v>-104349638.56750001</v>
      </c>
      <c r="K43" s="172">
        <f t="shared" si="32"/>
        <v>0.4335896732020928</v>
      </c>
      <c r="L43" s="369">
        <f t="shared" si="35"/>
        <v>0</v>
      </c>
      <c r="M43" s="215"/>
      <c r="N43" s="216"/>
      <c r="O43" s="608"/>
      <c r="P43" s="325" t="s">
        <v>101</v>
      </c>
      <c r="Q43" s="173">
        <v>187200000</v>
      </c>
      <c r="R43" s="222">
        <v>6</v>
      </c>
      <c r="S43" s="308">
        <v>4</v>
      </c>
      <c r="T43" s="169">
        <v>87476657.657700002</v>
      </c>
      <c r="U43" s="169"/>
      <c r="V43" s="327"/>
      <c r="W43" s="326">
        <f t="shared" si="37"/>
        <v>87476657.657700002</v>
      </c>
      <c r="X43" s="226">
        <f t="shared" si="33"/>
        <v>-99723342.342299998</v>
      </c>
      <c r="Y43" s="172">
        <f t="shared" si="34"/>
        <v>0.46728983791506412</v>
      </c>
      <c r="Z43" s="369">
        <f t="shared" si="36"/>
        <v>0</v>
      </c>
    </row>
    <row r="44" spans="1:26" ht="14.5" customHeight="1" thickBot="1" x14ac:dyDescent="0.4">
      <c r="A44" s="623"/>
      <c r="B44" s="352" t="s">
        <v>77</v>
      </c>
      <c r="C44" s="329">
        <f>SUM(C38:C43)</f>
        <v>1674816000</v>
      </c>
      <c r="D44" s="178">
        <f>SUM(D38:D43)</f>
        <v>90</v>
      </c>
      <c r="E44" s="178">
        <f t="shared" ref="E44:H44" si="38">SUM(E38:E43)</f>
        <v>61</v>
      </c>
      <c r="F44" s="329">
        <f>SUM(F38:F43)</f>
        <v>508542480.22929996</v>
      </c>
      <c r="G44" s="330">
        <f>SUM(G38:G43)</f>
        <v>0</v>
      </c>
      <c r="H44" s="329">
        <f t="shared" si="38"/>
        <v>0</v>
      </c>
      <c r="I44" s="329">
        <f t="shared" si="30"/>
        <v>508542480.22929996</v>
      </c>
      <c r="J44" s="329">
        <f t="shared" si="31"/>
        <v>-1166273519.7707</v>
      </c>
      <c r="K44" s="305">
        <f t="shared" si="32"/>
        <v>0.30364080605230664</v>
      </c>
      <c r="L44" s="369" t="str">
        <f>IF(K44&gt;100%,"CAPAI 100%",IF(K44&gt;90%,"CAPAI 90%","BELUM CAPAI"))</f>
        <v>BELUM CAPAI</v>
      </c>
      <c r="O44" s="609"/>
      <c r="P44" s="354" t="s">
        <v>77</v>
      </c>
      <c r="Q44" s="336">
        <f t="shared" ref="Q44:V44" si="39">SUM(Q38:Q43)</f>
        <v>1872000000</v>
      </c>
      <c r="R44" s="207">
        <f>SUM(R38:R43)</f>
        <v>69</v>
      </c>
      <c r="S44" s="207">
        <f t="shared" si="39"/>
        <v>39</v>
      </c>
      <c r="T44" s="336">
        <f t="shared" si="39"/>
        <v>617632588.99450004</v>
      </c>
      <c r="U44" s="337">
        <f>SUM(U38:U43)</f>
        <v>79842342.342599988</v>
      </c>
      <c r="V44" s="336">
        <f t="shared" si="39"/>
        <v>0</v>
      </c>
      <c r="W44" s="336">
        <f t="shared" si="37"/>
        <v>537790246.65190005</v>
      </c>
      <c r="X44" s="336">
        <f t="shared" si="33"/>
        <v>-1334209753.3480999</v>
      </c>
      <c r="Y44" s="313">
        <f t="shared" si="34"/>
        <v>0.28728111466447653</v>
      </c>
      <c r="Z44" s="369" t="str">
        <f>IF(Y44&gt;100%,"CAPAI 100%",IF(Y44&gt;90%,"CAPAI 90%","BELUM CAPAI"))</f>
        <v>BELUM CAPAI</v>
      </c>
    </row>
    <row r="45" spans="1:26" ht="14.5" customHeight="1" x14ac:dyDescent="0.55000000000000004">
      <c r="B45" s="324" t="str">
        <f>$B$12</f>
        <v>TARGET Q1</v>
      </c>
      <c r="C45" s="243">
        <v>1507334400</v>
      </c>
      <c r="D45" s="597"/>
      <c r="E45" s="598"/>
      <c r="F45" s="598"/>
      <c r="G45" s="598"/>
      <c r="H45" s="599"/>
      <c r="I45" s="243">
        <f>I44</f>
        <v>508542480.22929996</v>
      </c>
      <c r="J45" s="243">
        <f>I45-C45</f>
        <v>-998791919.77069998</v>
      </c>
      <c r="K45" s="183">
        <f t="shared" si="32"/>
        <v>0.33737867339145178</v>
      </c>
      <c r="O45" s="309"/>
      <c r="P45" s="324" t="str">
        <f>$B$12</f>
        <v>TARGET Q1</v>
      </c>
      <c r="Q45" s="243">
        <v>1684800000</v>
      </c>
      <c r="R45" s="597"/>
      <c r="S45" s="598"/>
      <c r="T45" s="598"/>
      <c r="U45" s="598"/>
      <c r="V45" s="599"/>
      <c r="W45" s="243">
        <f>W44</f>
        <v>537790246.65190005</v>
      </c>
      <c r="X45" s="243">
        <f>W45-Q45</f>
        <v>-1147009753.3480999</v>
      </c>
      <c r="Y45" s="183">
        <f>W45/Q45</f>
        <v>0.31920123851608501</v>
      </c>
      <c r="Z45" s="192"/>
    </row>
    <row r="46" spans="1:26" ht="24" thickBot="1" x14ac:dyDescent="0.6">
      <c r="C46" s="210">
        <f>C45/C44</f>
        <v>0.9</v>
      </c>
      <c r="O46" s="309"/>
      <c r="Q46" s="210">
        <f>Q45/Q44</f>
        <v>0.9</v>
      </c>
    </row>
    <row r="47" spans="1:26" ht="19.5" customHeight="1" x14ac:dyDescent="0.35">
      <c r="A47" s="627">
        <v>5</v>
      </c>
      <c r="B47" s="352" t="s">
        <v>57</v>
      </c>
      <c r="C47" s="353" t="s">
        <v>35</v>
      </c>
      <c r="D47" s="616" t="s">
        <v>91</v>
      </c>
      <c r="E47" s="616" t="s">
        <v>62</v>
      </c>
      <c r="F47" s="604" t="s">
        <v>110</v>
      </c>
      <c r="G47" s="605"/>
      <c r="H47" s="605"/>
      <c r="I47" s="606"/>
      <c r="J47" s="587" t="s">
        <v>65</v>
      </c>
      <c r="K47" s="352" t="s">
        <v>66</v>
      </c>
      <c r="O47" s="613">
        <v>5</v>
      </c>
      <c r="P47" s="354" t="s">
        <v>57</v>
      </c>
      <c r="Q47" s="355" t="s">
        <v>54</v>
      </c>
      <c r="R47" s="591" t="s">
        <v>91</v>
      </c>
      <c r="S47" s="591" t="s">
        <v>62</v>
      </c>
      <c r="T47" s="610" t="s">
        <v>110</v>
      </c>
      <c r="U47" s="611"/>
      <c r="V47" s="611"/>
      <c r="W47" s="612"/>
      <c r="X47" s="603" t="s">
        <v>65</v>
      </c>
      <c r="Y47" s="354" t="s">
        <v>66</v>
      </c>
    </row>
    <row r="48" spans="1:26" ht="36" customHeight="1" x14ac:dyDescent="0.35">
      <c r="A48" s="628"/>
      <c r="B48" s="352" t="s">
        <v>93</v>
      </c>
      <c r="C48" s="353" t="str">
        <f>C37</f>
        <v>TARGET 100%</v>
      </c>
      <c r="D48" s="617"/>
      <c r="E48" s="617"/>
      <c r="F48" s="163" t="str">
        <f>F4</f>
        <v>OMSET MAR
 (1-31)</v>
      </c>
      <c r="G48" s="163" t="str">
        <f>G4</f>
        <v>OMSET PRODUK</v>
      </c>
      <c r="H48" s="353" t="s">
        <v>63</v>
      </c>
      <c r="I48" s="353" t="s">
        <v>64</v>
      </c>
      <c r="J48" s="587"/>
      <c r="K48" s="164">
        <f>K37</f>
        <v>1</v>
      </c>
      <c r="L48" s="211"/>
      <c r="M48" s="212"/>
      <c r="O48" s="614"/>
      <c r="P48" s="354" t="s">
        <v>93</v>
      </c>
      <c r="Q48" s="355" t="str">
        <f>Q37</f>
        <v>TARGET 100%</v>
      </c>
      <c r="R48" s="592"/>
      <c r="S48" s="592"/>
      <c r="T48" s="200" t="str">
        <f>T4</f>
        <v>OMSET MAR
 (1-31)</v>
      </c>
      <c r="U48" s="200" t="str">
        <f>G4</f>
        <v>OMSET PRODUK</v>
      </c>
      <c r="V48" s="355" t="s">
        <v>63</v>
      </c>
      <c r="W48" s="355" t="s">
        <v>64</v>
      </c>
      <c r="X48" s="603"/>
      <c r="Y48" s="201">
        <f>K48</f>
        <v>1</v>
      </c>
    </row>
    <row r="49" spans="1:26" ht="14.5" customHeight="1" x14ac:dyDescent="0.35">
      <c r="A49" s="628"/>
      <c r="B49" s="325" t="s">
        <v>96</v>
      </c>
      <c r="C49" s="326">
        <v>159868800</v>
      </c>
      <c r="D49" s="222">
        <v>18</v>
      </c>
      <c r="E49" s="308">
        <v>16</v>
      </c>
      <c r="F49" s="169">
        <v>75844807.207199976</v>
      </c>
      <c r="G49" s="169">
        <v>324324.32429999998</v>
      </c>
      <c r="H49" s="326"/>
      <c r="I49" s="326">
        <f t="shared" ref="I49:I55" si="40">F49-G49</f>
        <v>75520482.88289997</v>
      </c>
      <c r="J49" s="226">
        <f t="shared" ref="J49:J55" si="41">I49-C49</f>
        <v>-84348317.11710003</v>
      </c>
      <c r="K49" s="172">
        <f t="shared" ref="K49:K56" si="42">I49/C49</f>
        <v>0.4723903781281899</v>
      </c>
      <c r="L49" s="369">
        <f>IF(K49&gt;120%,"0,55%", IF(K49&gt;100%,"0,45%", IF(K49&gt;80%,"0,35%", IF(K49&gt;60%,"0,2%", 0))))</f>
        <v>0</v>
      </c>
      <c r="O49" s="614"/>
      <c r="P49" s="325" t="s">
        <v>96</v>
      </c>
      <c r="Q49" s="166">
        <v>688896000</v>
      </c>
      <c r="R49" s="222">
        <v>26</v>
      </c>
      <c r="S49" s="308">
        <v>16</v>
      </c>
      <c r="T49" s="169">
        <v>290326909.8197</v>
      </c>
      <c r="U49" s="169"/>
      <c r="V49" s="326"/>
      <c r="W49" s="326">
        <f t="shared" ref="W49:W55" si="43">T49-U49</f>
        <v>290326909.8197</v>
      </c>
      <c r="X49" s="226">
        <f t="shared" ref="X49:X55" si="44">W49-Q49</f>
        <v>-398569090.1803</v>
      </c>
      <c r="Y49" s="172">
        <f t="shared" ref="Y49:Y55" si="45">W49/Q49</f>
        <v>0.42143793812084845</v>
      </c>
      <c r="Z49" s="369">
        <f>IF(Y49&gt;120%,"0,55%", IF(Y49&gt;100%,"0,45%", IF(Y49&gt;80%,"0,35%", IF(Y49&gt;60%,"0,2%", 0))))</f>
        <v>0</v>
      </c>
    </row>
    <row r="50" spans="1:26" ht="14.5" customHeight="1" x14ac:dyDescent="0.35">
      <c r="A50" s="628"/>
      <c r="B50" s="325" t="s">
        <v>97</v>
      </c>
      <c r="C50" s="327">
        <v>623488320</v>
      </c>
      <c r="D50" s="222">
        <v>37</v>
      </c>
      <c r="E50" s="308">
        <v>17</v>
      </c>
      <c r="F50" s="169">
        <v>194703710.91050002</v>
      </c>
      <c r="G50" s="328"/>
      <c r="H50" s="327"/>
      <c r="I50" s="326">
        <f t="shared" si="40"/>
        <v>194703710.91050002</v>
      </c>
      <c r="J50" s="226">
        <f t="shared" si="41"/>
        <v>-428784609.08949995</v>
      </c>
      <c r="K50" s="172">
        <f t="shared" si="42"/>
        <v>0.31228124836484511</v>
      </c>
      <c r="L50" s="369">
        <f t="shared" ref="L50:L54" si="46">IF(K50&gt;120%,"0,55%", IF(K50&gt;100%,"0,45%", IF(K50&gt;80%,"0,35%", IF(K50&gt;60%,"0,2%", 0))))</f>
        <v>0</v>
      </c>
      <c r="N50" s="216"/>
      <c r="O50" s="614"/>
      <c r="P50" s="325" t="s">
        <v>97</v>
      </c>
      <c r="Q50" s="173">
        <v>310003200</v>
      </c>
      <c r="R50" s="222">
        <v>14</v>
      </c>
      <c r="S50" s="308">
        <v>10</v>
      </c>
      <c r="T50" s="169">
        <v>62588323.423799992</v>
      </c>
      <c r="U50" s="328"/>
      <c r="V50" s="327"/>
      <c r="W50" s="326">
        <f t="shared" si="43"/>
        <v>62588323.423799992</v>
      </c>
      <c r="X50" s="226">
        <f t="shared" si="44"/>
        <v>-247414876.57620001</v>
      </c>
      <c r="Y50" s="172">
        <f t="shared" si="45"/>
        <v>0.20189573341113895</v>
      </c>
      <c r="Z50" s="369">
        <f t="shared" ref="Z50:Z54" si="47">IF(Y50&gt;120%,"0,55%", IF(Y50&gt;100%,"0,45%", IF(Y50&gt;80%,"0,35%", IF(Y50&gt;60%,"0,2%", 0))))</f>
        <v>0</v>
      </c>
    </row>
    <row r="51" spans="1:26" ht="14.5" customHeight="1" x14ac:dyDescent="0.35">
      <c r="A51" s="628"/>
      <c r="B51" s="325" t="s">
        <v>98</v>
      </c>
      <c r="C51" s="327">
        <v>335724480</v>
      </c>
      <c r="D51" s="222">
        <v>25</v>
      </c>
      <c r="E51" s="308">
        <v>15</v>
      </c>
      <c r="F51" s="169">
        <v>238464436.63950008</v>
      </c>
      <c r="G51" s="169"/>
      <c r="H51" s="327"/>
      <c r="I51" s="326">
        <f t="shared" si="40"/>
        <v>238464436.63950008</v>
      </c>
      <c r="J51" s="226">
        <f t="shared" si="41"/>
        <v>-97260043.360499918</v>
      </c>
      <c r="K51" s="172">
        <f t="shared" si="42"/>
        <v>0.7102980296208965</v>
      </c>
      <c r="L51" s="369" t="str">
        <f t="shared" si="46"/>
        <v>0,2%</v>
      </c>
      <c r="M51" s="191"/>
      <c r="N51" s="216"/>
      <c r="O51" s="614"/>
      <c r="P51" s="325" t="s">
        <v>98</v>
      </c>
      <c r="Q51" s="173">
        <v>172224000</v>
      </c>
      <c r="R51" s="222">
        <v>13</v>
      </c>
      <c r="S51" s="308">
        <v>6</v>
      </c>
      <c r="T51" s="169">
        <v>32487504.504000012</v>
      </c>
      <c r="U51" s="169">
        <v>11572072.071799999</v>
      </c>
      <c r="V51" s="327"/>
      <c r="W51" s="326">
        <f t="shared" si="43"/>
        <v>20915432.432200015</v>
      </c>
      <c r="X51" s="226">
        <f t="shared" si="44"/>
        <v>-151308567.56779999</v>
      </c>
      <c r="Y51" s="172">
        <f t="shared" si="45"/>
        <v>0.121443192773365</v>
      </c>
      <c r="Z51" s="369">
        <f t="shared" si="47"/>
        <v>0</v>
      </c>
    </row>
    <row r="52" spans="1:26" ht="14.5" customHeight="1" x14ac:dyDescent="0.35">
      <c r="A52" s="628"/>
      <c r="B52" s="325" t="s">
        <v>99</v>
      </c>
      <c r="C52" s="327">
        <v>207829440</v>
      </c>
      <c r="D52" s="222">
        <v>18</v>
      </c>
      <c r="E52" s="308">
        <v>7</v>
      </c>
      <c r="F52" s="169">
        <v>57143013.504400015</v>
      </c>
      <c r="G52" s="169"/>
      <c r="H52" s="327"/>
      <c r="I52" s="326">
        <f t="shared" si="40"/>
        <v>57143013.504400015</v>
      </c>
      <c r="J52" s="226">
        <f t="shared" si="41"/>
        <v>-150686426.49559999</v>
      </c>
      <c r="K52" s="172">
        <f t="shared" si="42"/>
        <v>0.27495148668254127</v>
      </c>
      <c r="L52" s="369">
        <f t="shared" si="46"/>
        <v>0</v>
      </c>
      <c r="N52" s="216"/>
      <c r="O52" s="614"/>
      <c r="P52" s="325" t="s">
        <v>99</v>
      </c>
      <c r="Q52" s="173">
        <v>172224000</v>
      </c>
      <c r="R52" s="222">
        <v>13</v>
      </c>
      <c r="S52" s="308">
        <v>8</v>
      </c>
      <c r="T52" s="169">
        <v>38914490.810600013</v>
      </c>
      <c r="U52" s="169">
        <v>855855.85589999997</v>
      </c>
      <c r="V52" s="327"/>
      <c r="W52" s="326">
        <f t="shared" si="43"/>
        <v>38058634.954700015</v>
      </c>
      <c r="X52" s="226">
        <f t="shared" si="44"/>
        <v>-134165365.04529998</v>
      </c>
      <c r="Y52" s="172">
        <f t="shared" si="45"/>
        <v>0.22098334119925223</v>
      </c>
      <c r="Z52" s="369">
        <f t="shared" si="47"/>
        <v>0</v>
      </c>
    </row>
    <row r="53" spans="1:26" ht="14.5" customHeight="1" x14ac:dyDescent="0.35">
      <c r="A53" s="628"/>
      <c r="B53" s="325" t="s">
        <v>100</v>
      </c>
      <c r="C53" s="327">
        <v>111908160.00000001</v>
      </c>
      <c r="D53" s="222">
        <v>18</v>
      </c>
      <c r="E53" s="308">
        <v>12</v>
      </c>
      <c r="F53" s="169">
        <v>45382048.948900014</v>
      </c>
      <c r="G53" s="169"/>
      <c r="H53" s="327"/>
      <c r="I53" s="326">
        <f t="shared" si="40"/>
        <v>45382048.948900014</v>
      </c>
      <c r="J53" s="226">
        <f t="shared" si="41"/>
        <v>-66526111.051100001</v>
      </c>
      <c r="K53" s="172">
        <f t="shared" si="42"/>
        <v>0.40552939972295149</v>
      </c>
      <c r="L53" s="369">
        <f t="shared" si="46"/>
        <v>0</v>
      </c>
      <c r="N53" s="216"/>
      <c r="O53" s="614"/>
      <c r="P53" s="325" t="s">
        <v>100</v>
      </c>
      <c r="Q53" s="173">
        <v>189446400</v>
      </c>
      <c r="R53" s="222">
        <v>14</v>
      </c>
      <c r="S53" s="308">
        <v>11</v>
      </c>
      <c r="T53" s="169">
        <v>95847828.829499945</v>
      </c>
      <c r="U53" s="169"/>
      <c r="V53" s="327"/>
      <c r="W53" s="326">
        <f t="shared" si="43"/>
        <v>95847828.829499945</v>
      </c>
      <c r="X53" s="226">
        <f t="shared" si="44"/>
        <v>-93598571.170500055</v>
      </c>
      <c r="Y53" s="172">
        <f t="shared" si="45"/>
        <v>0.50593639588559058</v>
      </c>
      <c r="Z53" s="369">
        <f t="shared" si="47"/>
        <v>0</v>
      </c>
    </row>
    <row r="54" spans="1:26" ht="14.5" customHeight="1" x14ac:dyDescent="0.35">
      <c r="A54" s="628"/>
      <c r="B54" s="325" t="s">
        <v>101</v>
      </c>
      <c r="C54" s="327">
        <v>159868800</v>
      </c>
      <c r="D54" s="222">
        <v>14</v>
      </c>
      <c r="E54" s="308">
        <v>12</v>
      </c>
      <c r="F54" s="169">
        <v>121403883.4683</v>
      </c>
      <c r="G54" s="169"/>
      <c r="H54" s="327"/>
      <c r="I54" s="326">
        <f t="shared" si="40"/>
        <v>121403883.4683</v>
      </c>
      <c r="J54" s="226">
        <f t="shared" si="41"/>
        <v>-38464916.5317</v>
      </c>
      <c r="K54" s="172">
        <f t="shared" si="42"/>
        <v>0.75939697719817756</v>
      </c>
      <c r="L54" s="369" t="str">
        <f t="shared" si="46"/>
        <v>0,2%</v>
      </c>
      <c r="N54" s="216"/>
      <c r="O54" s="614"/>
      <c r="P54" s="325" t="s">
        <v>101</v>
      </c>
      <c r="Q54" s="173">
        <v>189446400</v>
      </c>
      <c r="R54" s="222">
        <v>12</v>
      </c>
      <c r="S54" s="308">
        <v>10</v>
      </c>
      <c r="T54" s="169">
        <v>48908869.369300008</v>
      </c>
      <c r="U54" s="169"/>
      <c r="V54" s="327"/>
      <c r="W54" s="326">
        <f t="shared" si="43"/>
        <v>48908869.369300008</v>
      </c>
      <c r="X54" s="226">
        <f t="shared" si="44"/>
        <v>-140537530.63069999</v>
      </c>
      <c r="Y54" s="172">
        <f t="shared" si="45"/>
        <v>0.25816731998760606</v>
      </c>
      <c r="Z54" s="369">
        <f t="shared" si="47"/>
        <v>0</v>
      </c>
    </row>
    <row r="55" spans="1:26" ht="14.5" customHeight="1" thickBot="1" x14ac:dyDescent="0.4">
      <c r="A55" s="628"/>
      <c r="B55" s="352" t="s">
        <v>77</v>
      </c>
      <c r="C55" s="329">
        <f t="shared" ref="C55:H55" si="48">SUM(C49:C54)</f>
        <v>1598688000</v>
      </c>
      <c r="D55" s="178">
        <f t="shared" si="48"/>
        <v>130</v>
      </c>
      <c r="E55" s="178">
        <f t="shared" si="48"/>
        <v>79</v>
      </c>
      <c r="F55" s="329">
        <f t="shared" si="48"/>
        <v>732941900.67879999</v>
      </c>
      <c r="G55" s="330">
        <f t="shared" si="48"/>
        <v>324324.32429999998</v>
      </c>
      <c r="H55" s="329">
        <f t="shared" si="48"/>
        <v>0</v>
      </c>
      <c r="I55" s="329">
        <f t="shared" si="40"/>
        <v>732617576.35449994</v>
      </c>
      <c r="J55" s="329">
        <f t="shared" si="41"/>
        <v>-866070423.64550006</v>
      </c>
      <c r="K55" s="305">
        <f t="shared" si="42"/>
        <v>0.45826175986465145</v>
      </c>
      <c r="L55" s="369" t="str">
        <f>IF(K55&gt;100%,"CAPAI 100%",IF(K55&gt;90%,"CAPAI 90%","BELUM CAPAI"))</f>
        <v>BELUM CAPAI</v>
      </c>
      <c r="O55" s="615"/>
      <c r="P55" s="354" t="s">
        <v>77</v>
      </c>
      <c r="Q55" s="336">
        <f t="shared" ref="Q55:V55" si="49">SUM(Q49:Q54)</f>
        <v>1722240000</v>
      </c>
      <c r="R55" s="207">
        <f>SUM(R49:R54)</f>
        <v>92</v>
      </c>
      <c r="S55" s="207">
        <f t="shared" si="49"/>
        <v>61</v>
      </c>
      <c r="T55" s="336">
        <f>SUM(T49:T54)</f>
        <v>569073926.75689995</v>
      </c>
      <c r="U55" s="337">
        <f t="shared" si="49"/>
        <v>12427927.9277</v>
      </c>
      <c r="V55" s="336">
        <f t="shared" si="49"/>
        <v>0</v>
      </c>
      <c r="W55" s="336">
        <f t="shared" si="43"/>
        <v>556645998.82919991</v>
      </c>
      <c r="X55" s="336">
        <f t="shared" si="44"/>
        <v>-1165594001.1708002</v>
      </c>
      <c r="Y55" s="313">
        <f t="shared" si="45"/>
        <v>0.32321046940565767</v>
      </c>
      <c r="Z55" s="369" t="str">
        <f>IF(Y55&gt;100%,"CAPAI 100%",IF(Y55&gt;90%,"CAPAI 90%","BELUM CAPAI"))</f>
        <v>BELUM CAPAI</v>
      </c>
    </row>
    <row r="56" spans="1:26" ht="14.5" customHeight="1" x14ac:dyDescent="0.55000000000000004">
      <c r="B56" s="324" t="str">
        <f>$B$12</f>
        <v>TARGET Q1</v>
      </c>
      <c r="C56" s="243">
        <v>1438819200</v>
      </c>
      <c r="D56" s="597"/>
      <c r="E56" s="598"/>
      <c r="F56" s="598"/>
      <c r="G56" s="598"/>
      <c r="H56" s="599"/>
      <c r="I56" s="243">
        <f>I55</f>
        <v>732617576.35449994</v>
      </c>
      <c r="J56" s="243">
        <f>I56-C56</f>
        <v>-706201623.64550006</v>
      </c>
      <c r="K56" s="183">
        <f t="shared" si="42"/>
        <v>0.50917973318294607</v>
      </c>
      <c r="O56" s="309"/>
      <c r="P56" s="324" t="str">
        <f>$B$12</f>
        <v>TARGET Q1</v>
      </c>
      <c r="Q56" s="243">
        <v>1550016000</v>
      </c>
      <c r="R56" s="597"/>
      <c r="S56" s="598"/>
      <c r="T56" s="598"/>
      <c r="U56" s="598"/>
      <c r="V56" s="599"/>
      <c r="W56" s="243">
        <f>W55</f>
        <v>556645998.82919991</v>
      </c>
      <c r="X56" s="243">
        <f>W56-Q56</f>
        <v>-993370001.17080009</v>
      </c>
      <c r="Y56" s="183">
        <f>W56/Q56</f>
        <v>0.35912274378406411</v>
      </c>
      <c r="Z56" s="192"/>
    </row>
    <row r="57" spans="1:26" ht="24" thickBot="1" x14ac:dyDescent="0.6">
      <c r="C57" s="210">
        <f>C56/C55</f>
        <v>0.9</v>
      </c>
      <c r="O57" s="309"/>
      <c r="Q57" s="210">
        <f>Q56/Q55</f>
        <v>0.9</v>
      </c>
    </row>
    <row r="58" spans="1:26" ht="19.5" customHeight="1" x14ac:dyDescent="0.35">
      <c r="A58" s="626">
        <v>6</v>
      </c>
      <c r="B58" s="352" t="s">
        <v>57</v>
      </c>
      <c r="C58" s="353" t="s">
        <v>34</v>
      </c>
      <c r="D58" s="616" t="s">
        <v>91</v>
      </c>
      <c r="E58" s="616" t="s">
        <v>62</v>
      </c>
      <c r="F58" s="604" t="s">
        <v>112</v>
      </c>
      <c r="G58" s="605"/>
      <c r="H58" s="605"/>
      <c r="I58" s="606"/>
      <c r="J58" s="587" t="s">
        <v>65</v>
      </c>
      <c r="K58" s="352" t="s">
        <v>66</v>
      </c>
      <c r="O58" s="618">
        <v>6</v>
      </c>
      <c r="P58" s="354" t="s">
        <v>57</v>
      </c>
      <c r="Q58" s="355" t="s">
        <v>51</v>
      </c>
      <c r="R58" s="591" t="s">
        <v>91</v>
      </c>
      <c r="S58" s="591" t="s">
        <v>62</v>
      </c>
      <c r="T58" s="610" t="s">
        <v>112</v>
      </c>
      <c r="U58" s="611"/>
      <c r="V58" s="611"/>
      <c r="W58" s="612"/>
      <c r="X58" s="603" t="s">
        <v>65</v>
      </c>
      <c r="Y58" s="354" t="s">
        <v>66</v>
      </c>
    </row>
    <row r="59" spans="1:26" ht="36" customHeight="1" x14ac:dyDescent="0.35">
      <c r="A59" s="626"/>
      <c r="B59" s="352" t="s">
        <v>93</v>
      </c>
      <c r="C59" s="353" t="str">
        <f>C48</f>
        <v>TARGET 100%</v>
      </c>
      <c r="D59" s="617"/>
      <c r="E59" s="617"/>
      <c r="F59" s="163" t="str">
        <f>F4</f>
        <v>OMSET MAR
 (1-31)</v>
      </c>
      <c r="G59" s="163" t="str">
        <f>G4</f>
        <v>OMSET PRODUK</v>
      </c>
      <c r="H59" s="353" t="s">
        <v>63</v>
      </c>
      <c r="I59" s="353" t="s">
        <v>64</v>
      </c>
      <c r="J59" s="587"/>
      <c r="K59" s="164">
        <f>K48</f>
        <v>1</v>
      </c>
      <c r="O59" s="619"/>
      <c r="P59" s="354" t="s">
        <v>93</v>
      </c>
      <c r="Q59" s="355" t="str">
        <f>Q48</f>
        <v>TARGET 100%</v>
      </c>
      <c r="R59" s="592"/>
      <c r="S59" s="592"/>
      <c r="T59" s="200" t="str">
        <f>T4</f>
        <v>OMSET MAR
 (1-31)</v>
      </c>
      <c r="U59" s="200" t="str">
        <f>G4</f>
        <v>OMSET PRODUK</v>
      </c>
      <c r="V59" s="355" t="s">
        <v>63</v>
      </c>
      <c r="W59" s="355" t="s">
        <v>64</v>
      </c>
      <c r="X59" s="603"/>
      <c r="Y59" s="201">
        <f>K59</f>
        <v>1</v>
      </c>
    </row>
    <row r="60" spans="1:26" ht="14.5" customHeight="1" x14ac:dyDescent="0.35">
      <c r="A60" s="626"/>
      <c r="B60" s="325" t="s">
        <v>96</v>
      </c>
      <c r="C60" s="326">
        <v>120219840</v>
      </c>
      <c r="D60" s="222">
        <v>18</v>
      </c>
      <c r="E60" s="308">
        <v>9</v>
      </c>
      <c r="F60" s="169">
        <v>22745545.044999991</v>
      </c>
      <c r="G60" s="169"/>
      <c r="H60" s="326"/>
      <c r="I60" s="326">
        <f t="shared" ref="I60:I66" si="50">F60-G60</f>
        <v>22745545.044999991</v>
      </c>
      <c r="J60" s="226">
        <f t="shared" ref="J60:J66" si="51">I60-C60</f>
        <v>-97474294.955000013</v>
      </c>
      <c r="K60" s="172">
        <f t="shared" ref="K60:K67" si="52">I60/C60</f>
        <v>0.18919959505020129</v>
      </c>
      <c r="L60" s="369">
        <f>IF(K60&gt;120%,"0,55%", IF(K60&gt;100%,"0,45%", IF(K60&gt;80%,"0,35%", IF(K60&gt;60%,"0,2%", 0))))</f>
        <v>0</v>
      </c>
      <c r="O60" s="619"/>
      <c r="P60" s="325" t="s">
        <v>96</v>
      </c>
      <c r="Q60" s="166">
        <v>206668800</v>
      </c>
      <c r="R60" s="222">
        <v>13</v>
      </c>
      <c r="S60" s="308">
        <v>11</v>
      </c>
      <c r="T60" s="169">
        <v>84833599.09889999</v>
      </c>
      <c r="U60" s="169">
        <v>1763513.5134999999</v>
      </c>
      <c r="V60" s="326"/>
      <c r="W60" s="326">
        <f t="shared" ref="W60:W66" si="53">T60-U60</f>
        <v>83070085.585399985</v>
      </c>
      <c r="X60" s="226">
        <f t="shared" ref="X60:X66" si="54">W60-Q60</f>
        <v>-123598714.41460001</v>
      </c>
      <c r="Y60" s="172">
        <f t="shared" ref="Y60:Y66" si="55">W60/Q60</f>
        <v>0.4019478778867443</v>
      </c>
      <c r="Z60" s="369">
        <f>IF(Y60&gt;120%,"0,55%", IF(Y60&gt;100%,"0,45%", IF(Y60&gt;80%,"0,35%", IF(Y60&gt;60%,"0,2%", 0))))</f>
        <v>0</v>
      </c>
    </row>
    <row r="61" spans="1:26" ht="14.5" customHeight="1" x14ac:dyDescent="0.35">
      <c r="A61" s="626"/>
      <c r="B61" s="325" t="s">
        <v>97</v>
      </c>
      <c r="C61" s="327">
        <v>138715200</v>
      </c>
      <c r="D61" s="222">
        <v>11</v>
      </c>
      <c r="E61" s="308">
        <v>8</v>
      </c>
      <c r="F61" s="169">
        <v>36875425.225000001</v>
      </c>
      <c r="G61" s="328"/>
      <c r="H61" s="327"/>
      <c r="I61" s="326">
        <f t="shared" si="50"/>
        <v>36875425.225000001</v>
      </c>
      <c r="J61" s="226">
        <f t="shared" si="51"/>
        <v>-101839774.77500001</v>
      </c>
      <c r="K61" s="172">
        <f t="shared" si="52"/>
        <v>0.26583550486896895</v>
      </c>
      <c r="L61" s="369">
        <f t="shared" ref="L61:L65" si="56">IF(K61&gt;120%,"0,55%", IF(K61&gt;100%,"0,45%", IF(K61&gt;80%,"0,35%", IF(K61&gt;60%,"0,2%", 0))))</f>
        <v>0</v>
      </c>
      <c r="O61" s="619"/>
      <c r="P61" s="325" t="s">
        <v>97</v>
      </c>
      <c r="Q61" s="173">
        <v>195187200</v>
      </c>
      <c r="R61" s="222">
        <v>22</v>
      </c>
      <c r="S61" s="308">
        <v>12</v>
      </c>
      <c r="T61" s="169">
        <v>66349090.090199992</v>
      </c>
      <c r="U61" s="328">
        <v>1373873.8737999999</v>
      </c>
      <c r="V61" s="327"/>
      <c r="W61" s="326">
        <f t="shared" si="53"/>
        <v>64975216.21639999</v>
      </c>
      <c r="X61" s="226">
        <f t="shared" si="54"/>
        <v>-130211983.7836</v>
      </c>
      <c r="Y61" s="172">
        <f>W61/Q61</f>
        <v>0.33288666580800375</v>
      </c>
      <c r="Z61" s="369">
        <f t="shared" ref="Z61:Z65" si="57">IF(Y61&gt;120%,"0,55%", IF(Y61&gt;100%,"0,45%", IF(Y61&gt;80%,"0,35%", IF(Y61&gt;60%,"0,2%", 0))))</f>
        <v>0</v>
      </c>
    </row>
    <row r="62" spans="1:26" ht="14.5" customHeight="1" x14ac:dyDescent="0.35">
      <c r="A62" s="626"/>
      <c r="B62" s="325" t="s">
        <v>98</v>
      </c>
      <c r="C62" s="327">
        <v>212696640</v>
      </c>
      <c r="D62" s="222">
        <v>25</v>
      </c>
      <c r="E62" s="308">
        <v>17</v>
      </c>
      <c r="F62" s="169">
        <v>50207679.279499993</v>
      </c>
      <c r="G62" s="169">
        <v>2679279.2793000001</v>
      </c>
      <c r="H62" s="327"/>
      <c r="I62" s="326">
        <f t="shared" si="50"/>
        <v>47528400.000199996</v>
      </c>
      <c r="J62" s="226">
        <f t="shared" si="51"/>
        <v>-165168239.9998</v>
      </c>
      <c r="K62" s="172">
        <f t="shared" si="52"/>
        <v>0.22345628026940151</v>
      </c>
      <c r="L62" s="369">
        <f t="shared" si="56"/>
        <v>0</v>
      </c>
      <c r="O62" s="619"/>
      <c r="P62" s="325" t="s">
        <v>98</v>
      </c>
      <c r="Q62" s="173">
        <v>252595200</v>
      </c>
      <c r="R62" s="222">
        <v>16</v>
      </c>
      <c r="S62" s="308">
        <v>8</v>
      </c>
      <c r="T62" s="169">
        <v>125497572.0722</v>
      </c>
      <c r="U62" s="169">
        <v>5891891.8922999995</v>
      </c>
      <c r="V62" s="327"/>
      <c r="W62" s="326">
        <f t="shared" si="53"/>
        <v>119605680.17990001</v>
      </c>
      <c r="X62" s="226">
        <f t="shared" si="54"/>
        <v>-132989519.82009999</v>
      </c>
      <c r="Y62" s="172">
        <f t="shared" si="55"/>
        <v>0.47350733576845483</v>
      </c>
      <c r="Z62" s="369">
        <f t="shared" si="57"/>
        <v>0</v>
      </c>
    </row>
    <row r="63" spans="1:26" ht="14.5" customHeight="1" x14ac:dyDescent="0.35">
      <c r="A63" s="626"/>
      <c r="B63" s="325" t="s">
        <v>99</v>
      </c>
      <c r="C63" s="327">
        <v>194201280</v>
      </c>
      <c r="D63" s="222">
        <v>14</v>
      </c>
      <c r="E63" s="308">
        <v>10</v>
      </c>
      <c r="F63" s="169">
        <v>46732283.783599995</v>
      </c>
      <c r="G63" s="169">
        <v>342342.34230000002</v>
      </c>
      <c r="H63" s="327"/>
      <c r="I63" s="326">
        <f t="shared" si="50"/>
        <v>46389941.441299997</v>
      </c>
      <c r="J63" s="226">
        <f t="shared" si="51"/>
        <v>-147811338.5587</v>
      </c>
      <c r="K63" s="172">
        <f t="shared" si="52"/>
        <v>0.23887556993084699</v>
      </c>
      <c r="L63" s="369">
        <f t="shared" si="56"/>
        <v>0</v>
      </c>
      <c r="O63" s="619"/>
      <c r="P63" s="325" t="s">
        <v>99</v>
      </c>
      <c r="Q63" s="173">
        <v>229632000</v>
      </c>
      <c r="R63" s="222">
        <v>17</v>
      </c>
      <c r="S63" s="308">
        <v>9</v>
      </c>
      <c r="T63" s="169">
        <v>135422189.18969998</v>
      </c>
      <c r="U63" s="169"/>
      <c r="V63" s="327"/>
      <c r="W63" s="326">
        <f t="shared" si="53"/>
        <v>135422189.18969998</v>
      </c>
      <c r="X63" s="226">
        <f t="shared" si="54"/>
        <v>-94209810.810300022</v>
      </c>
      <c r="Y63" s="172">
        <f t="shared" si="55"/>
        <v>0.58973570403820019</v>
      </c>
      <c r="Z63" s="369">
        <f t="shared" si="57"/>
        <v>0</v>
      </c>
    </row>
    <row r="64" spans="1:26" ht="14.5" customHeight="1" x14ac:dyDescent="0.35">
      <c r="A64" s="626"/>
      <c r="B64" s="325" t="s">
        <v>100</v>
      </c>
      <c r="C64" s="327">
        <v>120219840</v>
      </c>
      <c r="D64" s="222">
        <v>13</v>
      </c>
      <c r="E64" s="308">
        <v>9</v>
      </c>
      <c r="F64" s="169">
        <v>67267356.756300002</v>
      </c>
      <c r="G64" s="169"/>
      <c r="H64" s="327"/>
      <c r="I64" s="326">
        <f t="shared" si="50"/>
        <v>67267356.756300002</v>
      </c>
      <c r="J64" s="226">
        <f t="shared" si="51"/>
        <v>-52952483.243699998</v>
      </c>
      <c r="K64" s="172">
        <f t="shared" si="52"/>
        <v>0.55953623591829771</v>
      </c>
      <c r="L64" s="369">
        <f t="shared" si="56"/>
        <v>0</v>
      </c>
      <c r="O64" s="619"/>
      <c r="P64" s="325" t="s">
        <v>100</v>
      </c>
      <c r="Q64" s="173">
        <v>126297600</v>
      </c>
      <c r="R64" s="222">
        <v>11</v>
      </c>
      <c r="S64" s="308">
        <v>3</v>
      </c>
      <c r="T64" s="169">
        <v>23624954.9549</v>
      </c>
      <c r="U64" s="169"/>
      <c r="V64" s="327"/>
      <c r="W64" s="326">
        <f t="shared" si="53"/>
        <v>23624954.9549</v>
      </c>
      <c r="X64" s="226">
        <f t="shared" si="54"/>
        <v>-102672645.0451</v>
      </c>
      <c r="Y64" s="172">
        <f t="shared" si="55"/>
        <v>0.18705782972043808</v>
      </c>
      <c r="Z64" s="369">
        <f t="shared" si="57"/>
        <v>0</v>
      </c>
    </row>
    <row r="65" spans="1:26" ht="14.5" customHeight="1" x14ac:dyDescent="0.35">
      <c r="A65" s="626"/>
      <c r="B65" s="325" t="s">
        <v>101</v>
      </c>
      <c r="C65" s="327">
        <v>138715200</v>
      </c>
      <c r="D65" s="222">
        <v>11</v>
      </c>
      <c r="E65" s="308">
        <v>7</v>
      </c>
      <c r="F65" s="169">
        <v>53552150.450099967</v>
      </c>
      <c r="G65" s="169">
        <v>662162.16210000007</v>
      </c>
      <c r="H65" s="327"/>
      <c r="I65" s="326">
        <f t="shared" si="50"/>
        <v>52889988.287999965</v>
      </c>
      <c r="J65" s="226">
        <f t="shared" si="51"/>
        <v>-85825211.712000042</v>
      </c>
      <c r="K65" s="172">
        <f t="shared" si="52"/>
        <v>0.38128473511194133</v>
      </c>
      <c r="L65" s="369">
        <f t="shared" si="56"/>
        <v>0</v>
      </c>
      <c r="O65" s="619"/>
      <c r="P65" s="325" t="s">
        <v>101</v>
      </c>
      <c r="Q65" s="173">
        <v>137779200</v>
      </c>
      <c r="R65" s="222">
        <v>12</v>
      </c>
      <c r="S65" s="308">
        <v>12</v>
      </c>
      <c r="T65" s="169">
        <v>44589351.351200014</v>
      </c>
      <c r="U65" s="169"/>
      <c r="V65" s="327"/>
      <c r="W65" s="326">
        <f t="shared" si="53"/>
        <v>44589351.351200014</v>
      </c>
      <c r="X65" s="226">
        <f t="shared" si="54"/>
        <v>-93189848.648799986</v>
      </c>
      <c r="Y65" s="172">
        <f t="shared" si="55"/>
        <v>0.32362904815240628</v>
      </c>
      <c r="Z65" s="369">
        <f t="shared" si="57"/>
        <v>0</v>
      </c>
    </row>
    <row r="66" spans="1:26" ht="15" customHeight="1" thickBot="1" x14ac:dyDescent="0.4">
      <c r="A66" s="626"/>
      <c r="B66" s="352" t="s">
        <v>77</v>
      </c>
      <c r="C66" s="329">
        <f t="shared" ref="C66:H66" si="58">SUM(C60:C65)</f>
        <v>924768000</v>
      </c>
      <c r="D66" s="178">
        <f t="shared" si="58"/>
        <v>92</v>
      </c>
      <c r="E66" s="178">
        <f t="shared" si="58"/>
        <v>60</v>
      </c>
      <c r="F66" s="329">
        <f t="shared" si="58"/>
        <v>277380440.53949994</v>
      </c>
      <c r="G66" s="330">
        <f t="shared" si="58"/>
        <v>3683783.7837000005</v>
      </c>
      <c r="H66" s="329">
        <f t="shared" si="58"/>
        <v>0</v>
      </c>
      <c r="I66" s="329">
        <f t="shared" si="50"/>
        <v>273696656.75579995</v>
      </c>
      <c r="J66" s="329">
        <f t="shared" si="51"/>
        <v>-651071343.24419999</v>
      </c>
      <c r="K66" s="305">
        <f t="shared" si="52"/>
        <v>0.29596250817048164</v>
      </c>
      <c r="L66" s="369" t="str">
        <f>IF(K66&gt;100%,"CAPAI 100%",IF(K66&gt;90%,"CAPAI 90%","BELUM CAPAI"))</f>
        <v>BELUM CAPAI</v>
      </c>
      <c r="O66" s="620"/>
      <c r="P66" s="354" t="s">
        <v>77</v>
      </c>
      <c r="Q66" s="336">
        <f t="shared" ref="Q66:V66" si="59">SUM(Q60:Q65)</f>
        <v>1148160000</v>
      </c>
      <c r="R66" s="207">
        <f>SUM(R60:R65)</f>
        <v>91</v>
      </c>
      <c r="S66" s="207">
        <f t="shared" si="59"/>
        <v>55</v>
      </c>
      <c r="T66" s="336">
        <f t="shared" si="59"/>
        <v>480316756.75709999</v>
      </c>
      <c r="U66" s="337">
        <f t="shared" si="59"/>
        <v>9029279.2795999981</v>
      </c>
      <c r="V66" s="336">
        <f t="shared" si="59"/>
        <v>0</v>
      </c>
      <c r="W66" s="336">
        <f t="shared" si="53"/>
        <v>471287477.47749996</v>
      </c>
      <c r="X66" s="336">
        <f t="shared" si="54"/>
        <v>-676872522.52250004</v>
      </c>
      <c r="Y66" s="313">
        <f t="shared" si="55"/>
        <v>0.41047195293121164</v>
      </c>
      <c r="Z66" s="369" t="str">
        <f>IF(Y66&gt;100%,"CAPAI 100%",IF(Y66&gt;90%,"CAPAI 90%","BELUM CAPAI"))</f>
        <v>BELUM CAPAI</v>
      </c>
    </row>
    <row r="67" spans="1:26" ht="14.5" customHeight="1" x14ac:dyDescent="0.55000000000000004">
      <c r="B67" s="324" t="str">
        <f>$B$12</f>
        <v>TARGET Q1</v>
      </c>
      <c r="C67" s="243">
        <v>832291200</v>
      </c>
      <c r="D67" s="597"/>
      <c r="E67" s="598"/>
      <c r="F67" s="598"/>
      <c r="G67" s="598"/>
      <c r="H67" s="599"/>
      <c r="I67" s="243">
        <f>I66</f>
        <v>273696656.75579995</v>
      </c>
      <c r="J67" s="243">
        <f>I67-C67</f>
        <v>-558594543.24419999</v>
      </c>
      <c r="K67" s="183">
        <f t="shared" si="52"/>
        <v>0.32884723130053511</v>
      </c>
      <c r="O67" s="309"/>
      <c r="P67" s="324" t="str">
        <f>$B$12</f>
        <v>TARGET Q1</v>
      </c>
      <c r="Q67" s="243">
        <v>1033344000</v>
      </c>
      <c r="R67" s="597"/>
      <c r="S67" s="598"/>
      <c r="T67" s="598"/>
      <c r="U67" s="598"/>
      <c r="V67" s="599"/>
      <c r="W67" s="243">
        <f>W66</f>
        <v>471287477.47749996</v>
      </c>
      <c r="X67" s="243">
        <f>W67-Q67</f>
        <v>-562056522.52250004</v>
      </c>
      <c r="Y67" s="183">
        <f>W67/Q67</f>
        <v>0.45607994770134624</v>
      </c>
      <c r="Z67" s="192"/>
    </row>
    <row r="68" spans="1:26" ht="24" thickBot="1" x14ac:dyDescent="0.6">
      <c r="C68" s="210">
        <f>C67/C66</f>
        <v>0.9</v>
      </c>
      <c r="O68" s="309"/>
      <c r="Q68" s="210">
        <f>Q67/Q66</f>
        <v>0.9</v>
      </c>
    </row>
    <row r="69" spans="1:26" ht="19.5" customHeight="1" x14ac:dyDescent="0.35">
      <c r="A69" s="623">
        <v>7</v>
      </c>
      <c r="B69" s="352" t="s">
        <v>57</v>
      </c>
      <c r="C69" s="353" t="s">
        <v>113</v>
      </c>
      <c r="D69" s="616" t="s">
        <v>91</v>
      </c>
      <c r="E69" s="616" t="s">
        <v>62</v>
      </c>
      <c r="F69" s="604" t="s">
        <v>114</v>
      </c>
      <c r="G69" s="605"/>
      <c r="H69" s="605"/>
      <c r="I69" s="606"/>
      <c r="J69" s="587" t="s">
        <v>65</v>
      </c>
      <c r="K69" s="352" t="s">
        <v>66</v>
      </c>
      <c r="O69" s="607">
        <v>7</v>
      </c>
      <c r="P69" s="354" t="s">
        <v>57</v>
      </c>
      <c r="Q69" s="355" t="s">
        <v>115</v>
      </c>
      <c r="R69" s="591" t="s">
        <v>91</v>
      </c>
      <c r="S69" s="591" t="s">
        <v>62</v>
      </c>
      <c r="T69" s="610" t="s">
        <v>114</v>
      </c>
      <c r="U69" s="611"/>
      <c r="V69" s="611"/>
      <c r="W69" s="612"/>
      <c r="X69" s="603" t="s">
        <v>65</v>
      </c>
      <c r="Y69" s="354" t="s">
        <v>66</v>
      </c>
    </row>
    <row r="70" spans="1:26" ht="36" customHeight="1" x14ac:dyDescent="0.35">
      <c r="A70" s="623"/>
      <c r="B70" s="352" t="s">
        <v>93</v>
      </c>
      <c r="C70" s="353" t="str">
        <f>C59</f>
        <v>TARGET 100%</v>
      </c>
      <c r="D70" s="617"/>
      <c r="E70" s="617"/>
      <c r="F70" s="163" t="str">
        <f>F4</f>
        <v>OMSET MAR
 (1-31)</v>
      </c>
      <c r="G70" s="163" t="str">
        <f>G4</f>
        <v>OMSET PRODUK</v>
      </c>
      <c r="H70" s="353" t="s">
        <v>63</v>
      </c>
      <c r="I70" s="353" t="s">
        <v>64</v>
      </c>
      <c r="J70" s="587"/>
      <c r="K70" s="164">
        <f>K59</f>
        <v>1</v>
      </c>
      <c r="O70" s="608"/>
      <c r="P70" s="354" t="s">
        <v>93</v>
      </c>
      <c r="Q70" s="355" t="str">
        <f>Q59</f>
        <v>TARGET 100%</v>
      </c>
      <c r="R70" s="592"/>
      <c r="S70" s="592"/>
      <c r="T70" s="200" t="str">
        <f>T4</f>
        <v>OMSET MAR
 (1-31)</v>
      </c>
      <c r="U70" s="200" t="str">
        <f>G4</f>
        <v>OMSET PRODUK</v>
      </c>
      <c r="V70" s="355" t="s">
        <v>63</v>
      </c>
      <c r="W70" s="355" t="s">
        <v>64</v>
      </c>
      <c r="X70" s="603"/>
      <c r="Y70" s="201">
        <f>K70</f>
        <v>1</v>
      </c>
    </row>
    <row r="71" spans="1:26" ht="14.5" customHeight="1" x14ac:dyDescent="0.35">
      <c r="A71" s="623"/>
      <c r="B71" s="325" t="s">
        <v>96</v>
      </c>
      <c r="C71" s="326">
        <v>121680000</v>
      </c>
      <c r="D71" s="222">
        <v>17</v>
      </c>
      <c r="E71" s="308">
        <v>15</v>
      </c>
      <c r="F71" s="169">
        <v>57507790.089400046</v>
      </c>
      <c r="G71" s="169"/>
      <c r="H71" s="326"/>
      <c r="I71" s="326">
        <f t="shared" ref="I71:I77" si="60">F71-G71</f>
        <v>57507790.089400046</v>
      </c>
      <c r="J71" s="226">
        <f t="shared" ref="J71:J77" si="61">I71-C71</f>
        <v>-64172209.910599954</v>
      </c>
      <c r="K71" s="172">
        <f t="shared" ref="K71:K78" si="62">I71/C71</f>
        <v>0.47261497443622652</v>
      </c>
      <c r="L71" s="369">
        <f>IF(K71&gt;120%,"0,55%", IF(K71&gt;100%,"0,45%", IF(K71&gt;80%,"0,35%", IF(K71&gt;60%,"0,2%", 0))))</f>
        <v>0</v>
      </c>
      <c r="M71" s="191"/>
      <c r="N71" s="191"/>
      <c r="O71" s="608"/>
      <c r="P71" s="325" t="s">
        <v>96</v>
      </c>
      <c r="Q71" s="166">
        <v>206668800</v>
      </c>
      <c r="R71" s="222">
        <v>23</v>
      </c>
      <c r="S71" s="308">
        <v>19</v>
      </c>
      <c r="T71" s="169">
        <v>97528177.02700001</v>
      </c>
      <c r="U71" s="169">
        <v>14656306.306399999</v>
      </c>
      <c r="V71" s="326"/>
      <c r="W71" s="326">
        <f>T71-U71</f>
        <v>82871870.720600009</v>
      </c>
      <c r="X71" s="226">
        <f t="shared" ref="X71:X77" si="63">W71-Q71</f>
        <v>-123796929.27939999</v>
      </c>
      <c r="Y71" s="172">
        <f t="shared" ref="Y71:Y77" si="64">W71/Q71</f>
        <v>0.40098878360255641</v>
      </c>
      <c r="Z71" s="369">
        <f>IF(Y71&gt;120%,"0,55%", IF(Y71&gt;100%,"0,45%", IF(Y71&gt;80%,"0,35%", IF(Y71&gt;60%,"0,2%", 0))))</f>
        <v>0</v>
      </c>
    </row>
    <row r="72" spans="1:26" ht="14.5" customHeight="1" x14ac:dyDescent="0.35">
      <c r="A72" s="623"/>
      <c r="B72" s="325" t="s">
        <v>97</v>
      </c>
      <c r="C72" s="327">
        <v>146016000</v>
      </c>
      <c r="D72" s="222">
        <v>17</v>
      </c>
      <c r="E72" s="308">
        <v>13</v>
      </c>
      <c r="F72" s="169">
        <v>53708972.387300007</v>
      </c>
      <c r="G72" s="328">
        <v>342342.34230000002</v>
      </c>
      <c r="H72" s="327"/>
      <c r="I72" s="326">
        <f t="shared" si="60"/>
        <v>53366630.045000009</v>
      </c>
      <c r="J72" s="226">
        <f t="shared" si="61"/>
        <v>-92649369.954999983</v>
      </c>
      <c r="K72" s="172">
        <f t="shared" si="62"/>
        <v>0.36548481019203383</v>
      </c>
      <c r="L72" s="369">
        <f t="shared" ref="L72:L76" si="65">IF(K72&gt;120%,"0,55%", IF(K72&gt;100%,"0,45%", IF(K72&gt;80%,"0,35%", IF(K72&gt;60%,"0,2%", 0))))</f>
        <v>0</v>
      </c>
      <c r="M72" s="191"/>
      <c r="N72" s="191"/>
      <c r="O72" s="608"/>
      <c r="P72" s="325" t="s">
        <v>97</v>
      </c>
      <c r="Q72" s="173">
        <v>149260800</v>
      </c>
      <c r="R72" s="222">
        <v>17</v>
      </c>
      <c r="S72" s="308">
        <v>13</v>
      </c>
      <c r="T72" s="169">
        <v>65912382.884199962</v>
      </c>
      <c r="U72" s="328">
        <v>2567567.5677</v>
      </c>
      <c r="V72" s="327"/>
      <c r="W72" s="326">
        <f t="shared" ref="W72:W77" si="66">T72-U72</f>
        <v>63344815.316499963</v>
      </c>
      <c r="X72" s="226">
        <f t="shared" si="63"/>
        <v>-85915984.683500037</v>
      </c>
      <c r="Y72" s="172">
        <f t="shared" si="64"/>
        <v>0.42439016350240627</v>
      </c>
      <c r="Z72" s="369">
        <f t="shared" ref="Z72:Z76" si="67">IF(Y72&gt;120%,"0,55%", IF(Y72&gt;100%,"0,45%", IF(Y72&gt;80%,"0,35%", IF(Y72&gt;60%,"0,2%", 0))))</f>
        <v>0</v>
      </c>
    </row>
    <row r="73" spans="1:26" ht="14.5" customHeight="1" x14ac:dyDescent="0.35">
      <c r="A73" s="623"/>
      <c r="B73" s="325" t="s">
        <v>98</v>
      </c>
      <c r="C73" s="327">
        <v>206856000</v>
      </c>
      <c r="D73" s="222">
        <v>21</v>
      </c>
      <c r="E73" s="308">
        <v>12</v>
      </c>
      <c r="F73" s="169">
        <v>52677072.5396</v>
      </c>
      <c r="G73" s="169"/>
      <c r="H73" s="327"/>
      <c r="I73" s="326">
        <f t="shared" si="60"/>
        <v>52677072.5396</v>
      </c>
      <c r="J73" s="226">
        <f t="shared" si="61"/>
        <v>-154178927.46039999</v>
      </c>
      <c r="K73" s="172">
        <f t="shared" si="62"/>
        <v>0.25465576313764166</v>
      </c>
      <c r="L73" s="369">
        <f t="shared" si="65"/>
        <v>0</v>
      </c>
      <c r="M73" s="191"/>
      <c r="N73" s="191"/>
      <c r="O73" s="608"/>
      <c r="P73" s="325" t="s">
        <v>98</v>
      </c>
      <c r="Q73" s="173">
        <v>229632000</v>
      </c>
      <c r="R73" s="222">
        <v>15</v>
      </c>
      <c r="S73" s="308">
        <v>8</v>
      </c>
      <c r="T73" s="169">
        <v>118446792.79299998</v>
      </c>
      <c r="U73" s="169">
        <v>846846.84680000006</v>
      </c>
      <c r="V73" s="327"/>
      <c r="W73" s="326">
        <f t="shared" si="66"/>
        <v>117599945.94619998</v>
      </c>
      <c r="X73" s="226">
        <f t="shared" si="63"/>
        <v>-112032054.05380002</v>
      </c>
      <c r="Y73" s="172">
        <f t="shared" si="64"/>
        <v>0.51212351042624715</v>
      </c>
      <c r="Z73" s="369">
        <f t="shared" si="67"/>
        <v>0</v>
      </c>
    </row>
    <row r="74" spans="1:26" ht="14.5" customHeight="1" x14ac:dyDescent="0.35">
      <c r="A74" s="623"/>
      <c r="B74" s="325" t="s">
        <v>99</v>
      </c>
      <c r="C74" s="327">
        <v>243360000</v>
      </c>
      <c r="D74" s="222">
        <v>20</v>
      </c>
      <c r="E74" s="308">
        <v>11</v>
      </c>
      <c r="F74" s="169">
        <v>52543025.9366</v>
      </c>
      <c r="G74" s="169"/>
      <c r="H74" s="327"/>
      <c r="I74" s="326">
        <f t="shared" si="60"/>
        <v>52543025.9366</v>
      </c>
      <c r="J74" s="226">
        <f t="shared" si="61"/>
        <v>-190816974.0634</v>
      </c>
      <c r="K74" s="172">
        <f t="shared" si="62"/>
        <v>0.21590658257971729</v>
      </c>
      <c r="L74" s="369">
        <f t="shared" si="65"/>
        <v>0</v>
      </c>
      <c r="M74" s="191"/>
      <c r="N74" s="191"/>
      <c r="O74" s="608"/>
      <c r="P74" s="325" t="s">
        <v>99</v>
      </c>
      <c r="Q74" s="173">
        <v>114816000</v>
      </c>
      <c r="R74" s="222">
        <v>12</v>
      </c>
      <c r="S74" s="308">
        <v>9</v>
      </c>
      <c r="T74" s="169">
        <v>80760310.810800016</v>
      </c>
      <c r="U74" s="169"/>
      <c r="V74" s="327"/>
      <c r="W74" s="326">
        <f t="shared" si="66"/>
        <v>80760310.810800016</v>
      </c>
      <c r="X74" s="226">
        <f t="shared" si="63"/>
        <v>-34055689.189199984</v>
      </c>
      <c r="Y74" s="172">
        <f t="shared" si="64"/>
        <v>0.70338899465928106</v>
      </c>
      <c r="Z74" s="369" t="str">
        <f t="shared" si="67"/>
        <v>0,2%</v>
      </c>
    </row>
    <row r="75" spans="1:26" ht="14.5" customHeight="1" x14ac:dyDescent="0.35">
      <c r="A75" s="623"/>
      <c r="B75" s="325" t="s">
        <v>100</v>
      </c>
      <c r="C75" s="327">
        <v>219024000</v>
      </c>
      <c r="D75" s="222">
        <v>21</v>
      </c>
      <c r="E75" s="308">
        <v>15</v>
      </c>
      <c r="F75" s="169">
        <v>83473955.928299993</v>
      </c>
      <c r="G75" s="169"/>
      <c r="H75" s="327"/>
      <c r="I75" s="326">
        <f t="shared" si="60"/>
        <v>83473955.928299993</v>
      </c>
      <c r="J75" s="226">
        <f t="shared" si="61"/>
        <v>-135550044.07170001</v>
      </c>
      <c r="K75" s="172">
        <f t="shared" si="62"/>
        <v>0.3811178497712579</v>
      </c>
      <c r="L75" s="369">
        <f t="shared" si="65"/>
        <v>0</v>
      </c>
      <c r="M75" s="191"/>
      <c r="N75" s="191"/>
      <c r="O75" s="608"/>
      <c r="P75" s="325" t="s">
        <v>100</v>
      </c>
      <c r="Q75" s="173">
        <v>206668800</v>
      </c>
      <c r="R75" s="222">
        <v>19</v>
      </c>
      <c r="S75" s="308">
        <v>16</v>
      </c>
      <c r="T75" s="169">
        <v>170601286.0359</v>
      </c>
      <c r="U75" s="169"/>
      <c r="V75" s="327"/>
      <c r="W75" s="326">
        <f t="shared" si="66"/>
        <v>170601286.0359</v>
      </c>
      <c r="X75" s="226">
        <f t="shared" si="63"/>
        <v>-36067513.964100003</v>
      </c>
      <c r="Y75" s="172">
        <f t="shared" si="64"/>
        <v>0.82548157262199229</v>
      </c>
      <c r="Z75" s="369" t="str">
        <f t="shared" si="67"/>
        <v>0,35%</v>
      </c>
    </row>
    <row r="76" spans="1:26" ht="14.5" customHeight="1" x14ac:dyDescent="0.35">
      <c r="A76" s="623"/>
      <c r="B76" s="325" t="s">
        <v>101</v>
      </c>
      <c r="C76" s="327">
        <v>279864000</v>
      </c>
      <c r="D76" s="222">
        <v>15</v>
      </c>
      <c r="E76" s="308">
        <v>10</v>
      </c>
      <c r="F76" s="169">
        <v>253799064.40539995</v>
      </c>
      <c r="G76" s="169">
        <v>342342.34230000002</v>
      </c>
      <c r="H76" s="327"/>
      <c r="I76" s="326">
        <f t="shared" si="60"/>
        <v>253456722.06309995</v>
      </c>
      <c r="J76" s="226">
        <f t="shared" si="61"/>
        <v>-26407277.936900049</v>
      </c>
      <c r="K76" s="172">
        <f t="shared" si="62"/>
        <v>0.90564246227846368</v>
      </c>
      <c r="L76" s="369" t="str">
        <f t="shared" si="65"/>
        <v>0,35%</v>
      </c>
      <c r="M76" s="191"/>
      <c r="N76" s="191"/>
      <c r="O76" s="608"/>
      <c r="P76" s="325" t="s">
        <v>101</v>
      </c>
      <c r="Q76" s="173">
        <v>241113600</v>
      </c>
      <c r="R76" s="222">
        <v>12</v>
      </c>
      <c r="S76" s="308">
        <v>8</v>
      </c>
      <c r="T76" s="169">
        <v>157111072.07130003</v>
      </c>
      <c r="U76" s="169">
        <v>47839189.188600019</v>
      </c>
      <c r="V76" s="327"/>
      <c r="W76" s="326">
        <f t="shared" si="66"/>
        <v>109271882.88270001</v>
      </c>
      <c r="X76" s="226">
        <f t="shared" si="63"/>
        <v>-131841717.11729999</v>
      </c>
      <c r="Y76" s="172">
        <f t="shared" si="64"/>
        <v>0.45319667941874708</v>
      </c>
      <c r="Z76" s="369">
        <f t="shared" si="67"/>
        <v>0</v>
      </c>
    </row>
    <row r="77" spans="1:26" ht="14.5" customHeight="1" thickBot="1" x14ac:dyDescent="0.4">
      <c r="A77" s="623"/>
      <c r="B77" s="352" t="s">
        <v>77</v>
      </c>
      <c r="C77" s="329">
        <f t="shared" ref="C77:H77" si="68">SUM(C71:C76)</f>
        <v>1216800000</v>
      </c>
      <c r="D77" s="178">
        <f t="shared" si="68"/>
        <v>111</v>
      </c>
      <c r="E77" s="178">
        <f t="shared" si="68"/>
        <v>76</v>
      </c>
      <c r="F77" s="329">
        <f t="shared" si="68"/>
        <v>553709881.28659999</v>
      </c>
      <c r="G77" s="330">
        <f t="shared" si="68"/>
        <v>684684.68460000004</v>
      </c>
      <c r="H77" s="329">
        <f t="shared" si="68"/>
        <v>0</v>
      </c>
      <c r="I77" s="329">
        <f t="shared" si="60"/>
        <v>553025196.602</v>
      </c>
      <c r="J77" s="329">
        <f t="shared" si="61"/>
        <v>-663774803.398</v>
      </c>
      <c r="K77" s="305">
        <f t="shared" si="62"/>
        <v>0.45449145019888232</v>
      </c>
      <c r="L77" s="369" t="str">
        <f>IF(K77&gt;100%,"CAPAI 100%",IF(K77&gt;90%,"CAPAI 90%","BELUM CAPAI"))</f>
        <v>BELUM CAPAI</v>
      </c>
      <c r="N77" s="191"/>
      <c r="O77" s="609"/>
      <c r="P77" s="354" t="s">
        <v>77</v>
      </c>
      <c r="Q77" s="336">
        <f t="shared" ref="Q77:V77" si="69">SUM(Q71:Q76)</f>
        <v>1148160000</v>
      </c>
      <c r="R77" s="207">
        <f>SUM(R71:R76)</f>
        <v>98</v>
      </c>
      <c r="S77" s="207">
        <f t="shared" si="69"/>
        <v>73</v>
      </c>
      <c r="T77" s="336">
        <f t="shared" si="69"/>
        <v>690360021.62220001</v>
      </c>
      <c r="U77" s="337">
        <f t="shared" si="69"/>
        <v>65909909.909500018</v>
      </c>
      <c r="V77" s="336">
        <f t="shared" si="69"/>
        <v>0</v>
      </c>
      <c r="W77" s="336">
        <f t="shared" si="66"/>
        <v>624450111.71270001</v>
      </c>
      <c r="X77" s="336">
        <f t="shared" si="63"/>
        <v>-523709888.28729999</v>
      </c>
      <c r="Y77" s="313">
        <f t="shared" si="64"/>
        <v>0.54387028960484607</v>
      </c>
      <c r="Z77" s="369" t="str">
        <f>IF(Y77&gt;100%,"CAPAI 100%",IF(Y77&gt;90%,"CAPAI 90%","BELUM CAPAI"))</f>
        <v>BELUM CAPAI</v>
      </c>
    </row>
    <row r="78" spans="1:26" ht="14.5" customHeight="1" x14ac:dyDescent="0.55000000000000004">
      <c r="B78" s="324" t="str">
        <f>$B$12</f>
        <v>TARGET Q1</v>
      </c>
      <c r="C78" s="243">
        <v>1095120000</v>
      </c>
      <c r="D78" s="597"/>
      <c r="E78" s="598"/>
      <c r="F78" s="598"/>
      <c r="G78" s="598"/>
      <c r="H78" s="599"/>
      <c r="I78" s="243">
        <f>I77</f>
        <v>553025196.602</v>
      </c>
      <c r="J78" s="243">
        <f>I78-C78</f>
        <v>-542094803.398</v>
      </c>
      <c r="K78" s="183">
        <f t="shared" si="62"/>
        <v>0.50499050022098035</v>
      </c>
      <c r="O78" s="309"/>
      <c r="P78" s="324" t="str">
        <f>$B$12</f>
        <v>TARGET Q1</v>
      </c>
      <c r="Q78" s="243">
        <v>1033344000</v>
      </c>
      <c r="R78" s="597"/>
      <c r="S78" s="598"/>
      <c r="T78" s="598"/>
      <c r="U78" s="598"/>
      <c r="V78" s="599"/>
      <c r="W78" s="243">
        <f>W77</f>
        <v>624450111.71270001</v>
      </c>
      <c r="X78" s="243">
        <f>W78-Q78</f>
        <v>-408893888.28729999</v>
      </c>
      <c r="Y78" s="183">
        <f>W78/Q78</f>
        <v>0.60430032178316229</v>
      </c>
      <c r="Z78" s="192"/>
    </row>
    <row r="79" spans="1:26" ht="14.5" customHeight="1" thickBot="1" x14ac:dyDescent="0.6">
      <c r="C79" s="210">
        <f>C78/C77</f>
        <v>0.9</v>
      </c>
      <c r="O79" s="309"/>
      <c r="Q79" s="210">
        <f>Q78/Q77</f>
        <v>0.9</v>
      </c>
    </row>
    <row r="80" spans="1:26" ht="20.149999999999999" customHeight="1" x14ac:dyDescent="0.35">
      <c r="A80" s="623">
        <v>8</v>
      </c>
      <c r="B80" s="352" t="s">
        <v>57</v>
      </c>
      <c r="C80" s="353" t="s">
        <v>116</v>
      </c>
      <c r="D80" s="616" t="s">
        <v>91</v>
      </c>
      <c r="E80" s="616" t="s">
        <v>62</v>
      </c>
      <c r="F80" s="604" t="s">
        <v>117</v>
      </c>
      <c r="G80" s="605"/>
      <c r="H80" s="605"/>
      <c r="I80" s="606"/>
      <c r="J80" s="587" t="s">
        <v>65</v>
      </c>
      <c r="K80" s="352" t="s">
        <v>66</v>
      </c>
      <c r="O80" s="607">
        <v>8</v>
      </c>
      <c r="P80" s="354" t="s">
        <v>57</v>
      </c>
      <c r="Q80" s="355" t="s">
        <v>118</v>
      </c>
      <c r="R80" s="591" t="s">
        <v>91</v>
      </c>
      <c r="S80" s="591" t="s">
        <v>62</v>
      </c>
      <c r="T80" s="610" t="s">
        <v>117</v>
      </c>
      <c r="U80" s="611"/>
      <c r="V80" s="611"/>
      <c r="W80" s="612"/>
      <c r="X80" s="603" t="s">
        <v>65</v>
      </c>
      <c r="Y80" s="354" t="s">
        <v>66</v>
      </c>
    </row>
    <row r="81" spans="1:26" ht="33" customHeight="1" x14ac:dyDescent="0.35">
      <c r="A81" s="623"/>
      <c r="B81" s="352" t="s">
        <v>93</v>
      </c>
      <c r="C81" s="353" t="str">
        <f>C70</f>
        <v>TARGET 100%</v>
      </c>
      <c r="D81" s="617"/>
      <c r="E81" s="617"/>
      <c r="F81" s="163" t="str">
        <f>F4</f>
        <v>OMSET MAR
 (1-31)</v>
      </c>
      <c r="G81" s="163" t="str">
        <f>G4</f>
        <v>OMSET PRODUK</v>
      </c>
      <c r="H81" s="353" t="s">
        <v>63</v>
      </c>
      <c r="I81" s="353" t="s">
        <v>64</v>
      </c>
      <c r="J81" s="587"/>
      <c r="K81" s="164">
        <f>K70</f>
        <v>1</v>
      </c>
      <c r="O81" s="608"/>
      <c r="P81" s="354" t="s">
        <v>93</v>
      </c>
      <c r="Q81" s="355" t="str">
        <f>Q70</f>
        <v>TARGET 100%</v>
      </c>
      <c r="R81" s="592"/>
      <c r="S81" s="592"/>
      <c r="T81" s="200" t="str">
        <f>T4</f>
        <v>OMSET MAR
 (1-31)</v>
      </c>
      <c r="U81" s="200" t="str">
        <f>G4</f>
        <v>OMSET PRODUK</v>
      </c>
      <c r="V81" s="355" t="s">
        <v>63</v>
      </c>
      <c r="W81" s="355" t="s">
        <v>64</v>
      </c>
      <c r="X81" s="603"/>
      <c r="Y81" s="201">
        <f>K81</f>
        <v>1</v>
      </c>
    </row>
    <row r="82" spans="1:26" ht="14.5" customHeight="1" x14ac:dyDescent="0.35">
      <c r="A82" s="623"/>
      <c r="B82" s="325" t="s">
        <v>96</v>
      </c>
      <c r="C82" s="326">
        <v>113892480</v>
      </c>
      <c r="D82" s="222">
        <v>5</v>
      </c>
      <c r="E82" s="308">
        <v>2</v>
      </c>
      <c r="F82" s="169">
        <v>19393481.981799997</v>
      </c>
      <c r="G82" s="169">
        <v>337837.83779999998</v>
      </c>
      <c r="H82" s="326"/>
      <c r="I82" s="326">
        <f>F82-G82</f>
        <v>19055644.143999998</v>
      </c>
      <c r="J82" s="226">
        <f t="shared" ref="J82:J88" si="70">I82-C82</f>
        <v>-94836835.856000006</v>
      </c>
      <c r="K82" s="172">
        <f t="shared" ref="K82:K89" si="71">I82/C82</f>
        <v>0.16731257536933078</v>
      </c>
      <c r="L82" s="369">
        <f>IF(K82&gt;120%,"0,55%", IF(K82&gt;100%,"0,45%", IF(K82&gt;80%,"0,35%", IF(K82&gt;60%,"0,2%", 0))))</f>
        <v>0</v>
      </c>
      <c r="O82" s="608"/>
      <c r="P82" s="325" t="s">
        <v>96</v>
      </c>
      <c r="Q82" s="166">
        <v>101836800.00000001</v>
      </c>
      <c r="R82" s="222">
        <v>8</v>
      </c>
      <c r="S82" s="308">
        <v>6</v>
      </c>
      <c r="T82" s="169">
        <v>22567502.251999993</v>
      </c>
      <c r="U82" s="169"/>
      <c r="V82" s="326"/>
      <c r="W82" s="326">
        <f t="shared" ref="W82:W88" si="72">T82-U82</f>
        <v>22567502.251999993</v>
      </c>
      <c r="X82" s="226">
        <f t="shared" ref="X82:X87" si="73">T82-Q82</f>
        <v>-79269297.748000026</v>
      </c>
      <c r="Y82" s="172">
        <f t="shared" ref="Y82:Y88" si="74">W82/Q82</f>
        <v>0.22160458942150568</v>
      </c>
      <c r="Z82" s="369">
        <f>IF(Y82&gt;120%,"0,55%", IF(Y82&gt;100%,"0,45%", IF(Y82&gt;80%,"0,35%", IF(Y82&gt;60%,"0,2%", 0))))</f>
        <v>0</v>
      </c>
    </row>
    <row r="83" spans="1:26" ht="16" customHeight="1" x14ac:dyDescent="0.35">
      <c r="A83" s="623"/>
      <c r="B83" s="325" t="s">
        <v>97</v>
      </c>
      <c r="C83" s="327">
        <v>96370560</v>
      </c>
      <c r="D83" s="222">
        <v>8</v>
      </c>
      <c r="E83" s="308">
        <v>6</v>
      </c>
      <c r="F83" s="169">
        <v>40259775.675199993</v>
      </c>
      <c r="G83" s="328"/>
      <c r="H83" s="327"/>
      <c r="I83" s="326">
        <f t="shared" ref="I83:I88" si="75">F83-G83</f>
        <v>40259775.675199993</v>
      </c>
      <c r="J83" s="226">
        <f t="shared" si="70"/>
        <v>-56110784.324800007</v>
      </c>
      <c r="K83" s="172">
        <f t="shared" si="71"/>
        <v>0.41776010926158352</v>
      </c>
      <c r="L83" s="369">
        <f t="shared" ref="L83:L87" si="76">IF(K83&gt;120%,"0,55%", IF(K83&gt;100%,"0,45%", IF(K83&gt;80%,"0,35%", IF(K83&gt;60%,"0,2%", 0))))</f>
        <v>0</v>
      </c>
      <c r="O83" s="608"/>
      <c r="P83" s="325" t="s">
        <v>97</v>
      </c>
      <c r="Q83" s="173">
        <v>84864000.000000015</v>
      </c>
      <c r="R83" s="222">
        <v>6</v>
      </c>
      <c r="S83" s="308">
        <v>4</v>
      </c>
      <c r="T83" s="169">
        <v>14558835.585500002</v>
      </c>
      <c r="U83" s="328"/>
      <c r="V83" s="327"/>
      <c r="W83" s="326">
        <f t="shared" si="72"/>
        <v>14558835.585500002</v>
      </c>
      <c r="X83" s="226">
        <f t="shared" si="73"/>
        <v>-70305164.414500013</v>
      </c>
      <c r="Y83" s="172">
        <f>W83/Q83</f>
        <v>0.17155490650334651</v>
      </c>
      <c r="Z83" s="369">
        <f t="shared" ref="Z83:Z87" si="77">IF(Y83&gt;120%,"0,55%", IF(Y83&gt;100%,"0,45%", IF(Y83&gt;80%,"0,35%", IF(Y83&gt;60%,"0,2%", 0))))</f>
        <v>0</v>
      </c>
    </row>
    <row r="84" spans="1:26" ht="14.5" customHeight="1" x14ac:dyDescent="0.35">
      <c r="A84" s="623"/>
      <c r="B84" s="325" t="s">
        <v>98</v>
      </c>
      <c r="C84" s="327">
        <v>122653440.00000001</v>
      </c>
      <c r="D84" s="222">
        <v>14</v>
      </c>
      <c r="E84" s="308">
        <v>10</v>
      </c>
      <c r="F84" s="169">
        <v>25113473.873499993</v>
      </c>
      <c r="G84" s="169"/>
      <c r="H84" s="327"/>
      <c r="I84" s="326">
        <f t="shared" si="75"/>
        <v>25113473.873499993</v>
      </c>
      <c r="J84" s="226">
        <f t="shared" si="70"/>
        <v>-97539966.126500025</v>
      </c>
      <c r="K84" s="172">
        <f t="shared" si="71"/>
        <v>0.20475148412877772</v>
      </c>
      <c r="L84" s="369">
        <f t="shared" si="76"/>
        <v>0</v>
      </c>
      <c r="O84" s="608"/>
      <c r="P84" s="325" t="s">
        <v>98</v>
      </c>
      <c r="Q84" s="173">
        <v>93350400.000000015</v>
      </c>
      <c r="R84" s="222">
        <v>6</v>
      </c>
      <c r="S84" s="308">
        <v>3</v>
      </c>
      <c r="T84" s="169">
        <v>32153603.603700001</v>
      </c>
      <c r="U84" s="169">
        <v>2675675.6755999997</v>
      </c>
      <c r="V84" s="327"/>
      <c r="W84" s="326">
        <f t="shared" si="72"/>
        <v>29477927.928100001</v>
      </c>
      <c r="X84" s="226">
        <f t="shared" si="73"/>
        <v>-61196796.396300018</v>
      </c>
      <c r="Y84" s="172">
        <f t="shared" si="74"/>
        <v>0.31577719997021969</v>
      </c>
      <c r="Z84" s="369">
        <f t="shared" si="77"/>
        <v>0</v>
      </c>
    </row>
    <row r="85" spans="1:26" ht="14.5" customHeight="1" x14ac:dyDescent="0.35">
      <c r="A85" s="623"/>
      <c r="B85" s="325" t="s">
        <v>99</v>
      </c>
      <c r="C85" s="327">
        <v>96370560</v>
      </c>
      <c r="D85" s="222">
        <v>8</v>
      </c>
      <c r="E85" s="308">
        <v>4</v>
      </c>
      <c r="F85" s="169">
        <v>9225022.071800001</v>
      </c>
      <c r="G85" s="169"/>
      <c r="H85" s="327"/>
      <c r="I85" s="326">
        <f t="shared" si="75"/>
        <v>9225022.071800001</v>
      </c>
      <c r="J85" s="226">
        <f t="shared" si="70"/>
        <v>-87145537.928200006</v>
      </c>
      <c r="K85" s="172">
        <f t="shared" si="71"/>
        <v>9.5724483408626049E-2</v>
      </c>
      <c r="L85" s="369">
        <f t="shared" si="76"/>
        <v>0</v>
      </c>
      <c r="O85" s="608"/>
      <c r="P85" s="325" t="s">
        <v>99</v>
      </c>
      <c r="Q85" s="173">
        <v>84864000.000000015</v>
      </c>
      <c r="R85" s="222">
        <v>11</v>
      </c>
      <c r="S85" s="308">
        <v>5</v>
      </c>
      <c r="T85" s="169">
        <v>25379770.270199995</v>
      </c>
      <c r="U85" s="169"/>
      <c r="V85" s="327"/>
      <c r="W85" s="326">
        <f t="shared" si="72"/>
        <v>25379770.270199995</v>
      </c>
      <c r="X85" s="226">
        <f t="shared" si="73"/>
        <v>-59484229.729800016</v>
      </c>
      <c r="Y85" s="172">
        <f t="shared" si="74"/>
        <v>0.29906403504666279</v>
      </c>
      <c r="Z85" s="369">
        <f t="shared" si="77"/>
        <v>0</v>
      </c>
    </row>
    <row r="86" spans="1:26" ht="14.5" customHeight="1" x14ac:dyDescent="0.35">
      <c r="A86" s="623"/>
      <c r="B86" s="325" t="s">
        <v>100</v>
      </c>
      <c r="C86" s="327">
        <v>219024000</v>
      </c>
      <c r="D86" s="222">
        <v>15</v>
      </c>
      <c r="E86" s="308">
        <v>10</v>
      </c>
      <c r="F86" s="169">
        <v>30069806.306000002</v>
      </c>
      <c r="G86" s="169"/>
      <c r="H86" s="327"/>
      <c r="I86" s="326">
        <f t="shared" si="75"/>
        <v>30069806.306000002</v>
      </c>
      <c r="J86" s="226">
        <f t="shared" si="70"/>
        <v>-188954193.69400001</v>
      </c>
      <c r="K86" s="172">
        <f t="shared" si="71"/>
        <v>0.13729000614544526</v>
      </c>
      <c r="L86" s="369">
        <f t="shared" si="76"/>
        <v>0</v>
      </c>
      <c r="O86" s="608"/>
      <c r="P86" s="325" t="s">
        <v>100</v>
      </c>
      <c r="Q86" s="173">
        <v>271564800.00000006</v>
      </c>
      <c r="R86" s="222">
        <v>15</v>
      </c>
      <c r="S86" s="308">
        <v>11</v>
      </c>
      <c r="T86" s="169">
        <v>154255211.48720005</v>
      </c>
      <c r="U86" s="169"/>
      <c r="V86" s="327"/>
      <c r="W86" s="326">
        <f t="shared" si="72"/>
        <v>154255211.48720005</v>
      </c>
      <c r="X86" s="226">
        <f t="shared" si="73"/>
        <v>-117309588.51280001</v>
      </c>
      <c r="Y86" s="172">
        <f t="shared" si="74"/>
        <v>0.56802358585206925</v>
      </c>
      <c r="Z86" s="369">
        <f t="shared" si="77"/>
        <v>0</v>
      </c>
    </row>
    <row r="87" spans="1:26" ht="14.5" customHeight="1" x14ac:dyDescent="0.35">
      <c r="A87" s="623"/>
      <c r="B87" s="325" t="s">
        <v>101</v>
      </c>
      <c r="C87" s="327">
        <v>227784960</v>
      </c>
      <c r="D87" s="222">
        <v>17</v>
      </c>
      <c r="E87" s="308">
        <v>15</v>
      </c>
      <c r="F87" s="169">
        <v>201435348.19790006</v>
      </c>
      <c r="G87" s="169"/>
      <c r="H87" s="327"/>
      <c r="I87" s="326">
        <f t="shared" si="75"/>
        <v>201435348.19790006</v>
      </c>
      <c r="J87" s="226">
        <f t="shared" si="70"/>
        <v>-26349611.802099943</v>
      </c>
      <c r="K87" s="172">
        <f t="shared" si="71"/>
        <v>0.88432242496563451</v>
      </c>
      <c r="L87" s="369" t="str">
        <f t="shared" si="76"/>
        <v>0,35%</v>
      </c>
      <c r="O87" s="608"/>
      <c r="P87" s="325" t="s">
        <v>101</v>
      </c>
      <c r="Q87" s="173">
        <v>212160000.00000003</v>
      </c>
      <c r="R87" s="222">
        <v>11</v>
      </c>
      <c r="S87" s="308">
        <v>9</v>
      </c>
      <c r="T87" s="169">
        <v>47716193.85589999</v>
      </c>
      <c r="U87" s="169">
        <v>2702702.7028000001</v>
      </c>
      <c r="V87" s="327"/>
      <c r="W87" s="326">
        <f t="shared" si="72"/>
        <v>45013491.153099991</v>
      </c>
      <c r="X87" s="226">
        <f t="shared" si="73"/>
        <v>-164443806.14410004</v>
      </c>
      <c r="Y87" s="172">
        <f>W87/Q87</f>
        <v>0.21216766192072015</v>
      </c>
      <c r="Z87" s="369">
        <f t="shared" si="77"/>
        <v>0</v>
      </c>
    </row>
    <row r="88" spans="1:26" ht="14.5" customHeight="1" thickBot="1" x14ac:dyDescent="0.4">
      <c r="A88" s="623"/>
      <c r="B88" s="352" t="s">
        <v>77</v>
      </c>
      <c r="C88" s="329">
        <f t="shared" ref="C88:H88" si="78">SUM(C82:C87)</f>
        <v>876096000</v>
      </c>
      <c r="D88" s="178">
        <f t="shared" si="78"/>
        <v>67</v>
      </c>
      <c r="E88" s="178">
        <f t="shared" si="78"/>
        <v>47</v>
      </c>
      <c r="F88" s="329">
        <f t="shared" si="78"/>
        <v>325496908.10620004</v>
      </c>
      <c r="G88" s="330">
        <f t="shared" si="78"/>
        <v>337837.83779999998</v>
      </c>
      <c r="H88" s="329">
        <f t="shared" si="78"/>
        <v>0</v>
      </c>
      <c r="I88" s="329">
        <f t="shared" si="75"/>
        <v>325159070.26840001</v>
      </c>
      <c r="J88" s="329">
        <f t="shared" si="70"/>
        <v>-550936929.73160005</v>
      </c>
      <c r="K88" s="305">
        <f>I88/C88</f>
        <v>0.3711454797971912</v>
      </c>
      <c r="L88" s="369" t="str">
        <f>IF(K88&gt;100%,"CAPAI 100%",IF(K88&gt;90%,"CAPAI 90%","BELUM CAPAI"))</f>
        <v>BELUM CAPAI</v>
      </c>
      <c r="O88" s="609"/>
      <c r="P88" s="354" t="s">
        <v>77</v>
      </c>
      <c r="Q88" s="336">
        <f t="shared" ref="Q88:V88" si="79">SUM(Q82:Q87)</f>
        <v>848640000.00000012</v>
      </c>
      <c r="R88" s="207">
        <f>SUM(R82:R87)</f>
        <v>57</v>
      </c>
      <c r="S88" s="207">
        <f t="shared" si="79"/>
        <v>38</v>
      </c>
      <c r="T88" s="336">
        <f t="shared" si="79"/>
        <v>296631117.05450004</v>
      </c>
      <c r="U88" s="337">
        <f t="shared" si="79"/>
        <v>5378378.3783999998</v>
      </c>
      <c r="V88" s="336">
        <f t="shared" si="79"/>
        <v>0</v>
      </c>
      <c r="W88" s="336">
        <f t="shared" si="72"/>
        <v>291252738.67610002</v>
      </c>
      <c r="X88" s="336">
        <f>W88-Q88</f>
        <v>-557387261.3239001</v>
      </c>
      <c r="Y88" s="313">
        <f t="shared" si="74"/>
        <v>0.34319939983514797</v>
      </c>
      <c r="Z88" s="369" t="str">
        <f>IF(Y88&gt;100%,"CAPAI 100%",IF(Y88&gt;90%,"CAPAI 90%","BELUM CAPAI"))</f>
        <v>BELUM CAPAI</v>
      </c>
    </row>
    <row r="89" spans="1:26" ht="14.5" customHeight="1" x14ac:dyDescent="0.55000000000000004">
      <c r="B89" s="324" t="str">
        <f>$B$12</f>
        <v>TARGET Q1</v>
      </c>
      <c r="C89" s="243">
        <v>788486400</v>
      </c>
      <c r="D89" s="597"/>
      <c r="E89" s="598"/>
      <c r="F89" s="598"/>
      <c r="G89" s="598"/>
      <c r="H89" s="599"/>
      <c r="I89" s="243">
        <f>I88</f>
        <v>325159070.26840001</v>
      </c>
      <c r="J89" s="243">
        <f>I89-C89</f>
        <v>-463327329.73159999</v>
      </c>
      <c r="K89" s="183">
        <f t="shared" si="71"/>
        <v>0.41238386644132352</v>
      </c>
      <c r="O89" s="309"/>
      <c r="P89" s="324" t="str">
        <f>$B$12</f>
        <v>TARGET Q1</v>
      </c>
      <c r="Q89" s="243">
        <v>763776000.00000012</v>
      </c>
      <c r="R89" s="597"/>
      <c r="S89" s="598"/>
      <c r="T89" s="598"/>
      <c r="U89" s="598"/>
      <c r="V89" s="599"/>
      <c r="W89" s="243">
        <f>W88</f>
        <v>291252738.67610002</v>
      </c>
      <c r="X89" s="243">
        <f>W89-Q89</f>
        <v>-472523261.3239001</v>
      </c>
      <c r="Y89" s="183">
        <f>W89/Q89</f>
        <v>0.38133266648349773</v>
      </c>
      <c r="Z89" s="192"/>
    </row>
    <row r="90" spans="1:26" ht="24" thickBot="1" x14ac:dyDescent="0.6">
      <c r="C90" s="210">
        <f>C89/C88</f>
        <v>0.9</v>
      </c>
      <c r="O90" s="309"/>
      <c r="Q90" s="210">
        <f>Q89/Q88</f>
        <v>0.9</v>
      </c>
    </row>
    <row r="91" spans="1:26" ht="20.5" customHeight="1" x14ac:dyDescent="0.35">
      <c r="A91" s="624">
        <v>9</v>
      </c>
      <c r="B91" s="352" t="s">
        <v>57</v>
      </c>
      <c r="C91" s="353" t="s">
        <v>43</v>
      </c>
      <c r="D91" s="616" t="s">
        <v>91</v>
      </c>
      <c r="E91" s="616" t="s">
        <v>62</v>
      </c>
      <c r="F91" s="604" t="s">
        <v>119</v>
      </c>
      <c r="G91" s="605"/>
      <c r="H91" s="605"/>
      <c r="I91" s="606"/>
      <c r="J91" s="587" t="s">
        <v>65</v>
      </c>
      <c r="K91" s="352" t="s">
        <v>66</v>
      </c>
      <c r="O91" s="607">
        <v>9</v>
      </c>
      <c r="P91" s="354" t="s">
        <v>57</v>
      </c>
      <c r="Q91" s="355" t="s">
        <v>120</v>
      </c>
      <c r="R91" s="591" t="s">
        <v>91</v>
      </c>
      <c r="S91" s="591" t="s">
        <v>62</v>
      </c>
      <c r="T91" s="610" t="s">
        <v>119</v>
      </c>
      <c r="U91" s="611"/>
      <c r="V91" s="611"/>
      <c r="W91" s="612"/>
      <c r="X91" s="603" t="s">
        <v>65</v>
      </c>
      <c r="Y91" s="354" t="s">
        <v>66</v>
      </c>
    </row>
    <row r="92" spans="1:26" ht="33.65" customHeight="1" x14ac:dyDescent="0.35">
      <c r="A92" s="625"/>
      <c r="B92" s="352" t="s">
        <v>93</v>
      </c>
      <c r="C92" s="353" t="str">
        <f>C81</f>
        <v>TARGET 100%</v>
      </c>
      <c r="D92" s="617"/>
      <c r="E92" s="617"/>
      <c r="F92" s="163" t="str">
        <f>F4</f>
        <v>OMSET MAR
 (1-31)</v>
      </c>
      <c r="G92" s="163" t="str">
        <f>G4</f>
        <v>OMSET PRODUK</v>
      </c>
      <c r="H92" s="353" t="s">
        <v>63</v>
      </c>
      <c r="I92" s="353" t="s">
        <v>64</v>
      </c>
      <c r="J92" s="587"/>
      <c r="K92" s="164">
        <f>K81</f>
        <v>1</v>
      </c>
      <c r="O92" s="608"/>
      <c r="P92" s="354" t="s">
        <v>93</v>
      </c>
      <c r="Q92" s="355" t="str">
        <f>Q81</f>
        <v>TARGET 100%</v>
      </c>
      <c r="R92" s="592"/>
      <c r="S92" s="592"/>
      <c r="T92" s="200" t="str">
        <f>T15</f>
        <v>OMSET MAR
 (1-31)</v>
      </c>
      <c r="U92" s="200" t="str">
        <f>G4</f>
        <v>OMSET PRODUK</v>
      </c>
      <c r="V92" s="355" t="s">
        <v>63</v>
      </c>
      <c r="W92" s="355" t="s">
        <v>64</v>
      </c>
      <c r="X92" s="603"/>
      <c r="Y92" s="201">
        <f>K92</f>
        <v>1</v>
      </c>
    </row>
    <row r="93" spans="1:26" ht="14.5" customHeight="1" x14ac:dyDescent="0.35">
      <c r="A93" s="625"/>
      <c r="B93" s="325" t="s">
        <v>96</v>
      </c>
      <c r="C93" s="326">
        <v>194201280</v>
      </c>
      <c r="D93" s="222">
        <v>27</v>
      </c>
      <c r="E93" s="308">
        <v>16</v>
      </c>
      <c r="F93" s="169">
        <v>64948195.043999977</v>
      </c>
      <c r="G93" s="169">
        <v>1959459.4594000001</v>
      </c>
      <c r="H93" s="326"/>
      <c r="I93" s="326">
        <f t="shared" ref="I93:I99" si="80">F93-G93</f>
        <v>62988735.584599979</v>
      </c>
      <c r="J93" s="226">
        <f t="shared" ref="J93:J99" si="81">I93-C93</f>
        <v>-131212544.41540003</v>
      </c>
      <c r="K93" s="172">
        <f t="shared" ref="K93:K100" si="82">I93/C93</f>
        <v>0.32434768496170563</v>
      </c>
      <c r="L93" s="369">
        <f>IF(K93&gt;120%,"0,55%", IF(K93&gt;100%,"0,45%", IF(K93&gt;80%,"0,35%", IF(K93&gt;60%,"0,2%", 0))))</f>
        <v>0</v>
      </c>
      <c r="O93" s="608"/>
      <c r="P93" s="325" t="s">
        <v>96</v>
      </c>
      <c r="Q93" s="166">
        <v>89856000</v>
      </c>
      <c r="R93" s="222">
        <v>14</v>
      </c>
      <c r="S93" s="308">
        <v>9</v>
      </c>
      <c r="T93" s="169">
        <v>47615178.828999989</v>
      </c>
      <c r="U93" s="169">
        <v>2432432.4323999998</v>
      </c>
      <c r="V93" s="326"/>
      <c r="W93" s="326">
        <f t="shared" ref="W93:W99" si="83">T93-U93</f>
        <v>45182746.396599986</v>
      </c>
      <c r="X93" s="226">
        <f t="shared" ref="X93:X98" si="84">T93-Q93</f>
        <v>-42240821.171000011</v>
      </c>
      <c r="Y93" s="172">
        <f t="shared" ref="Y93:Y99" si="85">W93/Q93</f>
        <v>0.50283505160033815</v>
      </c>
      <c r="Z93" s="369">
        <f>IF(Y93&gt;120%,"0,55%", IF(Y93&gt;100%,"0,45%", IF(Y93&gt;80%,"0,35%", IF(Y93&gt;60%,"0,2%", 0))))</f>
        <v>0</v>
      </c>
    </row>
    <row r="94" spans="1:26" ht="14.5" customHeight="1" x14ac:dyDescent="0.35">
      <c r="A94" s="625"/>
      <c r="B94" s="325" t="s">
        <v>97</v>
      </c>
      <c r="C94" s="327">
        <v>157210560</v>
      </c>
      <c r="D94" s="222">
        <v>14</v>
      </c>
      <c r="E94" s="308">
        <v>9</v>
      </c>
      <c r="F94" s="169">
        <v>49933606.720299996</v>
      </c>
      <c r="G94" s="328"/>
      <c r="H94" s="327"/>
      <c r="I94" s="326">
        <f t="shared" si="80"/>
        <v>49933606.720299996</v>
      </c>
      <c r="J94" s="226">
        <f t="shared" si="81"/>
        <v>-107276953.27970001</v>
      </c>
      <c r="K94" s="172">
        <f t="shared" si="82"/>
        <v>0.3176224721818941</v>
      </c>
      <c r="L94" s="369">
        <f t="shared" ref="L94:L98" si="86">IF(K94&gt;120%,"0,55%", IF(K94&gt;100%,"0,45%", IF(K94&gt;80%,"0,35%", IF(K94&gt;60%,"0,2%", 0))))</f>
        <v>0</v>
      </c>
      <c r="O94" s="608"/>
      <c r="P94" s="325" t="s">
        <v>97</v>
      </c>
      <c r="Q94" s="173">
        <v>323481600</v>
      </c>
      <c r="R94" s="222">
        <v>15</v>
      </c>
      <c r="S94" s="308">
        <v>9</v>
      </c>
      <c r="T94" s="169">
        <v>51335914.414499991</v>
      </c>
      <c r="U94" s="328">
        <v>608108.10809999995</v>
      </c>
      <c r="V94" s="327"/>
      <c r="W94" s="326">
        <f t="shared" si="83"/>
        <v>50727806.306399994</v>
      </c>
      <c r="X94" s="226">
        <f t="shared" si="84"/>
        <v>-272145685.5855</v>
      </c>
      <c r="Y94" s="172">
        <f t="shared" si="85"/>
        <v>0.15681821255490264</v>
      </c>
      <c r="Z94" s="369">
        <f t="shared" ref="Z94:Z98" si="87">IF(Y94&gt;120%,"0,55%", IF(Y94&gt;100%,"0,45%", IF(Y94&gt;80%,"0,35%", IF(Y94&gt;60%,"0,2%", 0))))</f>
        <v>0</v>
      </c>
    </row>
    <row r="95" spans="1:26" ht="14.5" customHeight="1" x14ac:dyDescent="0.35">
      <c r="A95" s="625"/>
      <c r="B95" s="325" t="s">
        <v>98</v>
      </c>
      <c r="C95" s="327">
        <v>175705920</v>
      </c>
      <c r="D95" s="222">
        <v>18</v>
      </c>
      <c r="E95" s="308">
        <v>11</v>
      </c>
      <c r="F95" s="169">
        <v>61359002.25150001</v>
      </c>
      <c r="G95" s="169"/>
      <c r="H95" s="327"/>
      <c r="I95" s="326">
        <f>F95-G95</f>
        <v>61359002.25150001</v>
      </c>
      <c r="J95" s="226">
        <f t="shared" si="81"/>
        <v>-114346917.74849999</v>
      </c>
      <c r="K95" s="172">
        <f t="shared" si="82"/>
        <v>0.34921419979190232</v>
      </c>
      <c r="L95" s="369">
        <f t="shared" si="86"/>
        <v>0</v>
      </c>
      <c r="O95" s="608"/>
      <c r="P95" s="325" t="s">
        <v>98</v>
      </c>
      <c r="Q95" s="173">
        <v>125798400.00000001</v>
      </c>
      <c r="R95" s="222">
        <v>14</v>
      </c>
      <c r="S95" s="308">
        <v>9</v>
      </c>
      <c r="T95" s="169">
        <v>55973934.684700005</v>
      </c>
      <c r="U95" s="169"/>
      <c r="V95" s="327"/>
      <c r="W95" s="326">
        <f t="shared" si="83"/>
        <v>55973934.684700005</v>
      </c>
      <c r="X95" s="226">
        <f t="shared" si="84"/>
        <v>-69824465.315300018</v>
      </c>
      <c r="Y95" s="172">
        <f t="shared" si="85"/>
        <v>0.44494949605638862</v>
      </c>
      <c r="Z95" s="369">
        <f t="shared" si="87"/>
        <v>0</v>
      </c>
    </row>
    <row r="96" spans="1:26" ht="14.5" customHeight="1" x14ac:dyDescent="0.35">
      <c r="A96" s="625"/>
      <c r="B96" s="325" t="s">
        <v>99</v>
      </c>
      <c r="C96" s="327">
        <v>157210560</v>
      </c>
      <c r="D96" s="222">
        <v>17</v>
      </c>
      <c r="E96" s="308">
        <v>13</v>
      </c>
      <c r="F96" s="169">
        <v>50997404.052699991</v>
      </c>
      <c r="G96" s="169"/>
      <c r="H96" s="327"/>
      <c r="I96" s="326">
        <f>F96-G96</f>
        <v>50997404.052699991</v>
      </c>
      <c r="J96" s="226">
        <f t="shared" si="81"/>
        <v>-106213155.94730002</v>
      </c>
      <c r="K96" s="172">
        <f t="shared" si="82"/>
        <v>0.32438917622772917</v>
      </c>
      <c r="L96" s="369">
        <f t="shared" si="86"/>
        <v>0</v>
      </c>
      <c r="O96" s="608"/>
      <c r="P96" s="325" t="s">
        <v>99</v>
      </c>
      <c r="Q96" s="173">
        <v>107827200</v>
      </c>
      <c r="R96" s="222">
        <v>13</v>
      </c>
      <c r="S96" s="308">
        <v>5</v>
      </c>
      <c r="T96" s="169">
        <v>20338081.081300002</v>
      </c>
      <c r="U96" s="169"/>
      <c r="V96" s="327"/>
      <c r="W96" s="326">
        <f t="shared" si="83"/>
        <v>20338081.081300002</v>
      </c>
      <c r="X96" s="226">
        <f t="shared" si="84"/>
        <v>-87489118.918699995</v>
      </c>
      <c r="Y96" s="172">
        <f t="shared" si="85"/>
        <v>0.18861735333292529</v>
      </c>
      <c r="Z96" s="369">
        <f t="shared" si="87"/>
        <v>0</v>
      </c>
    </row>
    <row r="97" spans="1:27" ht="14.5" customHeight="1" x14ac:dyDescent="0.35">
      <c r="A97" s="625"/>
      <c r="B97" s="325" t="s">
        <v>100</v>
      </c>
      <c r="C97" s="327">
        <v>110972160</v>
      </c>
      <c r="D97" s="222">
        <v>18</v>
      </c>
      <c r="E97" s="308">
        <v>10</v>
      </c>
      <c r="F97" s="169">
        <v>85973123.422899947</v>
      </c>
      <c r="G97" s="169"/>
      <c r="H97" s="327"/>
      <c r="I97" s="326">
        <f t="shared" si="80"/>
        <v>85973123.422899947</v>
      </c>
      <c r="J97" s="226">
        <f t="shared" si="81"/>
        <v>-24999036.577100053</v>
      </c>
      <c r="K97" s="172">
        <f t="shared" si="82"/>
        <v>0.77472695334487451</v>
      </c>
      <c r="L97" s="369" t="str">
        <f t="shared" si="86"/>
        <v>0,2%</v>
      </c>
      <c r="O97" s="608"/>
      <c r="P97" s="325" t="s">
        <v>100</v>
      </c>
      <c r="Q97" s="173">
        <v>116812800</v>
      </c>
      <c r="R97" s="222">
        <v>9</v>
      </c>
      <c r="S97" s="308">
        <v>5</v>
      </c>
      <c r="T97" s="169">
        <v>39620941.441300012</v>
      </c>
      <c r="U97" s="169"/>
      <c r="V97" s="327"/>
      <c r="W97" s="326">
        <f t="shared" si="83"/>
        <v>39620941.441300012</v>
      </c>
      <c r="X97" s="226">
        <f t="shared" si="84"/>
        <v>-77191858.558699995</v>
      </c>
      <c r="Y97" s="172">
        <f t="shared" si="85"/>
        <v>0.33918321828857806</v>
      </c>
      <c r="Z97" s="369">
        <f t="shared" si="87"/>
        <v>0</v>
      </c>
    </row>
    <row r="98" spans="1:27" ht="14.5" customHeight="1" x14ac:dyDescent="0.35">
      <c r="A98" s="625"/>
      <c r="B98" s="325" t="s">
        <v>101</v>
      </c>
      <c r="C98" s="327">
        <v>129467520.00000001</v>
      </c>
      <c r="D98" s="222">
        <v>12</v>
      </c>
      <c r="E98" s="308">
        <v>10</v>
      </c>
      <c r="F98" s="169">
        <v>113825573.71239999</v>
      </c>
      <c r="G98" s="169">
        <v>337837.83779999998</v>
      </c>
      <c r="H98" s="327"/>
      <c r="I98" s="326">
        <f t="shared" si="80"/>
        <v>113487735.87459999</v>
      </c>
      <c r="J98" s="226">
        <f t="shared" si="81"/>
        <v>-15979784.125400022</v>
      </c>
      <c r="K98" s="172">
        <f t="shared" si="82"/>
        <v>0.87657302676841253</v>
      </c>
      <c r="L98" s="369" t="str">
        <f t="shared" si="86"/>
        <v>0,35%</v>
      </c>
      <c r="O98" s="608"/>
      <c r="P98" s="325" t="s">
        <v>101</v>
      </c>
      <c r="Q98" s="173">
        <v>134784000</v>
      </c>
      <c r="R98" s="222">
        <v>8</v>
      </c>
      <c r="S98" s="308">
        <v>7</v>
      </c>
      <c r="T98" s="169">
        <v>41916355.855700009</v>
      </c>
      <c r="U98" s="169">
        <v>563063.06310000003</v>
      </c>
      <c r="V98" s="327"/>
      <c r="W98" s="326">
        <f t="shared" si="83"/>
        <v>41353292.792600006</v>
      </c>
      <c r="X98" s="226">
        <f t="shared" si="84"/>
        <v>-92867644.144299984</v>
      </c>
      <c r="Y98" s="172">
        <f t="shared" si="85"/>
        <v>0.30681158589001667</v>
      </c>
      <c r="Z98" s="369">
        <f t="shared" si="87"/>
        <v>0</v>
      </c>
    </row>
    <row r="99" spans="1:27" s="187" customFormat="1" ht="14.5" customHeight="1" thickBot="1" x14ac:dyDescent="0.4">
      <c r="A99" s="625"/>
      <c r="B99" s="352" t="s">
        <v>77</v>
      </c>
      <c r="C99" s="329">
        <f t="shared" ref="C99:H99" si="88">SUM(C93:C98)</f>
        <v>924768000</v>
      </c>
      <c r="D99" s="178">
        <f t="shared" si="88"/>
        <v>106</v>
      </c>
      <c r="E99" s="178">
        <f t="shared" si="88"/>
        <v>69</v>
      </c>
      <c r="F99" s="329">
        <f t="shared" si="88"/>
        <v>427036905.20379996</v>
      </c>
      <c r="G99" s="330">
        <f t="shared" si="88"/>
        <v>2297297.2971999999</v>
      </c>
      <c r="H99" s="329">
        <f t="shared" si="88"/>
        <v>0</v>
      </c>
      <c r="I99" s="329">
        <f t="shared" si="80"/>
        <v>424739607.90659994</v>
      </c>
      <c r="J99" s="329">
        <f t="shared" si="81"/>
        <v>-500028392.09340006</v>
      </c>
      <c r="K99" s="305">
        <f t="shared" si="82"/>
        <v>0.45929315018101829</v>
      </c>
      <c r="L99" s="369" t="str">
        <f>IF(K99&gt;100%,"CAPAI 100%",IF(K99&gt;90%,"CAPAI 90%","BELUM CAPAI"))</f>
        <v>BELUM CAPAI</v>
      </c>
      <c r="M99" s="217"/>
      <c r="O99" s="609"/>
      <c r="P99" s="354" t="s">
        <v>77</v>
      </c>
      <c r="Q99" s="336">
        <f t="shared" ref="Q99:V99" si="89">SUM(Q93:Q98)</f>
        <v>898560000</v>
      </c>
      <c r="R99" s="207">
        <f t="shared" si="89"/>
        <v>73</v>
      </c>
      <c r="S99" s="207">
        <f>SUM(S93:S98)</f>
        <v>44</v>
      </c>
      <c r="T99" s="336">
        <f t="shared" si="89"/>
        <v>256800406.30649999</v>
      </c>
      <c r="U99" s="337">
        <f t="shared" si="89"/>
        <v>3603603.6035999996</v>
      </c>
      <c r="V99" s="336">
        <f t="shared" si="89"/>
        <v>0</v>
      </c>
      <c r="W99" s="336">
        <f t="shared" si="83"/>
        <v>253196802.70289999</v>
      </c>
      <c r="X99" s="336">
        <f>W99-Q99</f>
        <v>-645363197.29710007</v>
      </c>
      <c r="Y99" s="313">
        <f t="shared" si="85"/>
        <v>0.28178062978866186</v>
      </c>
      <c r="Z99" s="369" t="str">
        <f>IF(Y99&gt;100%,"CAPAI 100%",IF(Y99&gt;90%,"CAPAI 90%","BELUM CAPAI"))</f>
        <v>BELUM CAPAI</v>
      </c>
      <c r="AA99" s="218"/>
    </row>
    <row r="100" spans="1:27" ht="15" customHeight="1" x14ac:dyDescent="0.55000000000000004">
      <c r="A100" s="219"/>
      <c r="B100" s="324" t="str">
        <f>$B$12</f>
        <v>TARGET Q1</v>
      </c>
      <c r="C100" s="243">
        <v>832291200</v>
      </c>
      <c r="D100" s="597"/>
      <c r="E100" s="598"/>
      <c r="F100" s="598"/>
      <c r="G100" s="598"/>
      <c r="H100" s="599"/>
      <c r="I100" s="243">
        <f>I99</f>
        <v>424739607.90659994</v>
      </c>
      <c r="J100" s="243">
        <f>I100-C100</f>
        <v>-407551592.09340006</v>
      </c>
      <c r="K100" s="183">
        <f t="shared" si="82"/>
        <v>0.51032572242335372</v>
      </c>
      <c r="O100" s="309"/>
      <c r="P100" s="324" t="str">
        <f>$B$12</f>
        <v>TARGET Q1</v>
      </c>
      <c r="Q100" s="243">
        <v>808704000</v>
      </c>
      <c r="R100" s="597"/>
      <c r="S100" s="598"/>
      <c r="T100" s="598"/>
      <c r="U100" s="598"/>
      <c r="V100" s="599"/>
      <c r="W100" s="243">
        <f>W99</f>
        <v>253196802.70289999</v>
      </c>
      <c r="X100" s="243">
        <f>W100-Q100</f>
        <v>-555507197.29710007</v>
      </c>
      <c r="Y100" s="183">
        <f>W100/Q100</f>
        <v>0.31308958865406872</v>
      </c>
      <c r="Z100" s="192"/>
    </row>
    <row r="101" spans="1:27" ht="24" thickBot="1" x14ac:dyDescent="0.6">
      <c r="C101" s="210">
        <f>C100/C99</f>
        <v>0.9</v>
      </c>
      <c r="O101" s="309"/>
      <c r="Q101" s="210">
        <f>Q100/Q99</f>
        <v>0.9</v>
      </c>
    </row>
    <row r="102" spans="1:27" ht="17.149999999999999" customHeight="1" x14ac:dyDescent="0.35">
      <c r="A102" s="623">
        <v>10</v>
      </c>
      <c r="B102" s="352" t="s">
        <v>57</v>
      </c>
      <c r="C102" s="353" t="s">
        <v>37</v>
      </c>
      <c r="D102" s="616" t="s">
        <v>91</v>
      </c>
      <c r="E102" s="616" t="s">
        <v>62</v>
      </c>
      <c r="F102" s="604" t="s">
        <v>121</v>
      </c>
      <c r="G102" s="605"/>
      <c r="H102" s="605"/>
      <c r="I102" s="606"/>
      <c r="J102" s="587" t="s">
        <v>65</v>
      </c>
      <c r="K102" s="352" t="s">
        <v>66</v>
      </c>
      <c r="O102" s="613">
        <v>10</v>
      </c>
      <c r="P102" s="354" t="s">
        <v>57</v>
      </c>
      <c r="Q102" s="355" t="s">
        <v>122</v>
      </c>
      <c r="R102" s="591" t="s">
        <v>91</v>
      </c>
      <c r="S102" s="591" t="s">
        <v>62</v>
      </c>
      <c r="T102" s="610" t="s">
        <v>121</v>
      </c>
      <c r="U102" s="611"/>
      <c r="V102" s="611"/>
      <c r="W102" s="612"/>
      <c r="X102" s="603" t="s">
        <v>65</v>
      </c>
      <c r="Y102" s="354" t="s">
        <v>66</v>
      </c>
    </row>
    <row r="103" spans="1:27" ht="37.5" customHeight="1" x14ac:dyDescent="0.35">
      <c r="A103" s="623"/>
      <c r="B103" s="352" t="s">
        <v>93</v>
      </c>
      <c r="C103" s="353" t="str">
        <f>C92</f>
        <v>TARGET 100%</v>
      </c>
      <c r="D103" s="617"/>
      <c r="E103" s="617"/>
      <c r="F103" s="163" t="str">
        <f>F4</f>
        <v>OMSET MAR
 (1-31)</v>
      </c>
      <c r="G103" s="163" t="str">
        <f>G4</f>
        <v>OMSET PRODUK</v>
      </c>
      <c r="H103" s="353" t="s">
        <v>63</v>
      </c>
      <c r="I103" s="353" t="s">
        <v>64</v>
      </c>
      <c r="J103" s="587"/>
      <c r="K103" s="164">
        <f>K92</f>
        <v>1</v>
      </c>
      <c r="O103" s="614"/>
      <c r="P103" s="354" t="s">
        <v>93</v>
      </c>
      <c r="Q103" s="355" t="str">
        <f>Q92</f>
        <v>TARGET 100%</v>
      </c>
      <c r="R103" s="592"/>
      <c r="S103" s="592"/>
      <c r="T103" s="200" t="str">
        <f>T4</f>
        <v>OMSET MAR
 (1-31)</v>
      </c>
      <c r="U103" s="200" t="str">
        <f>G4</f>
        <v>OMSET PRODUK</v>
      </c>
      <c r="V103" s="355" t="s">
        <v>63</v>
      </c>
      <c r="W103" s="355" t="s">
        <v>64</v>
      </c>
      <c r="X103" s="603"/>
      <c r="Y103" s="201">
        <f>K103</f>
        <v>1</v>
      </c>
    </row>
    <row r="104" spans="1:27" ht="14.5" customHeight="1" x14ac:dyDescent="0.35">
      <c r="A104" s="623"/>
      <c r="B104" s="325" t="s">
        <v>96</v>
      </c>
      <c r="C104" s="326">
        <v>369907200</v>
      </c>
      <c r="D104" s="222">
        <v>30</v>
      </c>
      <c r="E104" s="308">
        <v>19</v>
      </c>
      <c r="F104" s="169">
        <v>188447454.61040005</v>
      </c>
      <c r="G104" s="169"/>
      <c r="H104" s="326"/>
      <c r="I104" s="326">
        <f t="shared" ref="I104:I110" si="90">F104-G104</f>
        <v>188447454.61040005</v>
      </c>
      <c r="J104" s="226">
        <f t="shared" ref="J104:J110" si="91">I104-C104</f>
        <v>-181459745.38959995</v>
      </c>
      <c r="K104" s="172">
        <f>I104/C104</f>
        <v>0.50944521926147979</v>
      </c>
      <c r="L104" s="369">
        <f>IF(K104&gt;120%,"0,55%", IF(K104&gt;100%,"0,45%", IF(K104&gt;80%,"0,35%", IF(K104&gt;60%,"0,2%", 0))))</f>
        <v>0</v>
      </c>
      <c r="O104" s="614"/>
      <c r="P104" s="325" t="s">
        <v>96</v>
      </c>
      <c r="Q104" s="166">
        <v>123302400</v>
      </c>
      <c r="R104" s="222">
        <v>12</v>
      </c>
      <c r="S104" s="308">
        <v>7</v>
      </c>
      <c r="T104" s="169">
        <v>21357112.612799998</v>
      </c>
      <c r="U104" s="169">
        <v>1531531.5315999999</v>
      </c>
      <c r="V104" s="326"/>
      <c r="W104" s="326">
        <f t="shared" ref="W104:W110" si="92">T104-U104</f>
        <v>19825581.0812</v>
      </c>
      <c r="X104" s="226">
        <f t="shared" ref="X104:X109" si="93">T104-Q104</f>
        <v>-101945287.3872</v>
      </c>
      <c r="Y104" s="172">
        <f t="shared" ref="Y104:Y111" si="94">W104/Q104</f>
        <v>0.16078828215184782</v>
      </c>
      <c r="Z104" s="369">
        <f>IF(Y104&gt;120%,"0,55%", IF(Y104&gt;100%,"0,45%", IF(Y104&gt;80%,"0,35%", IF(Y104&gt;60%,"0,2%", 0))))</f>
        <v>0</v>
      </c>
    </row>
    <row r="105" spans="1:27" ht="14.5" customHeight="1" x14ac:dyDescent="0.35">
      <c r="A105" s="623"/>
      <c r="B105" s="325" t="s">
        <v>97</v>
      </c>
      <c r="C105" s="327">
        <v>0</v>
      </c>
      <c r="D105" s="222"/>
      <c r="E105" s="308"/>
      <c r="F105" s="169"/>
      <c r="G105" s="328"/>
      <c r="H105" s="327"/>
      <c r="I105" s="326">
        <f t="shared" si="90"/>
        <v>0</v>
      </c>
      <c r="J105" s="226">
        <f t="shared" si="91"/>
        <v>0</v>
      </c>
      <c r="K105" s="172">
        <v>0</v>
      </c>
      <c r="L105" s="369">
        <f t="shared" ref="L105:L109" si="95">IF(K105&gt;120%,"0,55%", IF(K105&gt;100%,"0,45%", IF(K105&gt;80%,"0,35%", IF(K105&gt;60%,"0,2%", 0))))</f>
        <v>0</v>
      </c>
      <c r="O105" s="614"/>
      <c r="P105" s="325" t="s">
        <v>97</v>
      </c>
      <c r="Q105" s="173">
        <v>426816000</v>
      </c>
      <c r="R105" s="222">
        <v>29</v>
      </c>
      <c r="S105" s="308">
        <v>19</v>
      </c>
      <c r="T105" s="169">
        <v>194736655.40539986</v>
      </c>
      <c r="U105" s="328"/>
      <c r="V105" s="327"/>
      <c r="W105" s="326">
        <f>T105-U105</f>
        <v>194736655.40539986</v>
      </c>
      <c r="X105" s="226">
        <f>T105-Q105</f>
        <v>-232079344.59460014</v>
      </c>
      <c r="Y105" s="172">
        <f t="shared" si="94"/>
        <v>0.45625434708492618</v>
      </c>
      <c r="Z105" s="369">
        <f t="shared" ref="Z105:Z109" si="96">IF(Y105&gt;120%,"0,55%", IF(Y105&gt;100%,"0,45%", IF(Y105&gt;80%,"0,35%", IF(Y105&gt;60%,"0,2%", 0))))</f>
        <v>0</v>
      </c>
    </row>
    <row r="106" spans="1:27" ht="14.5" customHeight="1" x14ac:dyDescent="0.35">
      <c r="A106" s="623"/>
      <c r="B106" s="325" t="s">
        <v>98</v>
      </c>
      <c r="C106" s="327">
        <v>138715200</v>
      </c>
      <c r="D106" s="222">
        <v>13</v>
      </c>
      <c r="E106" s="308">
        <v>7</v>
      </c>
      <c r="F106" s="169">
        <v>27677205.855599996</v>
      </c>
      <c r="G106" s="169"/>
      <c r="H106" s="327"/>
      <c r="I106" s="326">
        <f t="shared" si="90"/>
        <v>27677205.855599996</v>
      </c>
      <c r="J106" s="226">
        <f t="shared" si="91"/>
        <v>-111037994.1444</v>
      </c>
      <c r="K106" s="172">
        <f t="shared" ref="K106:K109" si="97">I106/C106</f>
        <v>0.19952540064535101</v>
      </c>
      <c r="L106" s="369">
        <f t="shared" si="95"/>
        <v>0</v>
      </c>
      <c r="O106" s="614"/>
      <c r="P106" s="325" t="s">
        <v>98</v>
      </c>
      <c r="Q106" s="173">
        <v>0</v>
      </c>
      <c r="R106" s="222"/>
      <c r="S106" s="308"/>
      <c r="T106" s="169"/>
      <c r="U106" s="169"/>
      <c r="V106" s="327"/>
      <c r="W106" s="326">
        <f t="shared" si="92"/>
        <v>0</v>
      </c>
      <c r="X106" s="226">
        <f t="shared" si="93"/>
        <v>0</v>
      </c>
      <c r="Y106" s="172">
        <v>0</v>
      </c>
      <c r="Z106" s="369">
        <f t="shared" si="96"/>
        <v>0</v>
      </c>
    </row>
    <row r="107" spans="1:27" ht="14.5" customHeight="1" x14ac:dyDescent="0.35">
      <c r="A107" s="623"/>
      <c r="B107" s="325" t="s">
        <v>99</v>
      </c>
      <c r="C107" s="327">
        <v>138715200</v>
      </c>
      <c r="D107" s="222">
        <v>10</v>
      </c>
      <c r="E107" s="308">
        <v>6</v>
      </c>
      <c r="F107" s="169">
        <v>27595437.361899998</v>
      </c>
      <c r="G107" s="169"/>
      <c r="H107" s="327"/>
      <c r="I107" s="326">
        <f t="shared" si="90"/>
        <v>27595437.361899998</v>
      </c>
      <c r="J107" s="226">
        <f t="shared" si="91"/>
        <v>-111119762.6381</v>
      </c>
      <c r="K107" s="172">
        <f t="shared" si="97"/>
        <v>0.19893593032270435</v>
      </c>
      <c r="L107" s="369">
        <f t="shared" si="95"/>
        <v>0</v>
      </c>
      <c r="O107" s="614"/>
      <c r="P107" s="325" t="s">
        <v>99</v>
      </c>
      <c r="Q107" s="173">
        <v>151756800</v>
      </c>
      <c r="R107" s="222">
        <v>22</v>
      </c>
      <c r="S107" s="308">
        <v>12</v>
      </c>
      <c r="T107" s="169">
        <v>58347549.549700007</v>
      </c>
      <c r="U107" s="169"/>
      <c r="V107" s="327"/>
      <c r="W107" s="326">
        <f t="shared" si="92"/>
        <v>58347549.549700007</v>
      </c>
      <c r="X107" s="226">
        <f t="shared" si="93"/>
        <v>-93409250.450299993</v>
      </c>
      <c r="Y107" s="172">
        <f t="shared" si="94"/>
        <v>0.38448062656632193</v>
      </c>
      <c r="Z107" s="369">
        <f t="shared" si="96"/>
        <v>0</v>
      </c>
    </row>
    <row r="108" spans="1:27" ht="14.5" customHeight="1" x14ac:dyDescent="0.35">
      <c r="A108" s="623"/>
      <c r="B108" s="325" t="s">
        <v>100</v>
      </c>
      <c r="C108" s="327">
        <v>129467520.00000001</v>
      </c>
      <c r="D108" s="222">
        <v>7</v>
      </c>
      <c r="E108" s="308">
        <v>5</v>
      </c>
      <c r="F108" s="169">
        <v>11850968.468499998</v>
      </c>
      <c r="G108" s="169"/>
      <c r="H108" s="327"/>
      <c r="I108" s="326">
        <f t="shared" si="90"/>
        <v>11850968.468499998</v>
      </c>
      <c r="J108" s="226">
        <f t="shared" si="91"/>
        <v>-117616551.53150001</v>
      </c>
      <c r="K108" s="172">
        <f t="shared" si="97"/>
        <v>9.1536228302666153E-2</v>
      </c>
      <c r="L108" s="369">
        <f t="shared" si="95"/>
        <v>0</v>
      </c>
      <c r="O108" s="614"/>
      <c r="P108" s="325" t="s">
        <v>100</v>
      </c>
      <c r="Q108" s="173">
        <v>132787200.00000001</v>
      </c>
      <c r="R108" s="222">
        <v>11</v>
      </c>
      <c r="S108" s="308">
        <v>7</v>
      </c>
      <c r="T108" s="169">
        <v>36169847.747800007</v>
      </c>
      <c r="U108" s="169"/>
      <c r="V108" s="327"/>
      <c r="W108" s="326">
        <f t="shared" si="92"/>
        <v>36169847.747800007</v>
      </c>
      <c r="X108" s="226">
        <f t="shared" si="93"/>
        <v>-96617352.252200007</v>
      </c>
      <c r="Y108" s="172">
        <f t="shared" si="94"/>
        <v>0.27238956576989348</v>
      </c>
      <c r="Z108" s="369">
        <f t="shared" si="96"/>
        <v>0</v>
      </c>
    </row>
    <row r="109" spans="1:27" ht="14.5" customHeight="1" x14ac:dyDescent="0.35">
      <c r="A109" s="623"/>
      <c r="B109" s="325" t="s">
        <v>101</v>
      </c>
      <c r="C109" s="327">
        <v>147962880</v>
      </c>
      <c r="D109" s="222">
        <v>18</v>
      </c>
      <c r="E109" s="308">
        <v>14</v>
      </c>
      <c r="F109" s="169">
        <v>51222227.026499979</v>
      </c>
      <c r="G109" s="169"/>
      <c r="H109" s="327"/>
      <c r="I109" s="326">
        <f t="shared" si="90"/>
        <v>51222227.026499979</v>
      </c>
      <c r="J109" s="226">
        <f t="shared" si="91"/>
        <v>-96740652.973500013</v>
      </c>
      <c r="K109" s="172">
        <f t="shared" si="97"/>
        <v>0.34618295498506096</v>
      </c>
      <c r="L109" s="369">
        <f t="shared" si="95"/>
        <v>0</v>
      </c>
      <c r="O109" s="614"/>
      <c r="P109" s="325" t="s">
        <v>101</v>
      </c>
      <c r="Q109" s="173">
        <v>113817600</v>
      </c>
      <c r="R109" s="222">
        <v>12</v>
      </c>
      <c r="S109" s="308">
        <v>8</v>
      </c>
      <c r="T109" s="169">
        <v>48308826.577</v>
      </c>
      <c r="U109" s="169"/>
      <c r="V109" s="327"/>
      <c r="W109" s="326">
        <f t="shared" si="92"/>
        <v>48308826.577</v>
      </c>
      <c r="X109" s="226">
        <f t="shared" si="93"/>
        <v>-65508773.423</v>
      </c>
      <c r="Y109" s="172">
        <f t="shared" si="94"/>
        <v>0.42444074182727454</v>
      </c>
      <c r="Z109" s="369">
        <f t="shared" si="96"/>
        <v>0</v>
      </c>
    </row>
    <row r="110" spans="1:27" ht="14.5" customHeight="1" thickBot="1" x14ac:dyDescent="0.4">
      <c r="A110" s="623"/>
      <c r="B110" s="352" t="s">
        <v>77</v>
      </c>
      <c r="C110" s="329">
        <f t="shared" ref="C110:H110" si="98">SUM(C104:C109)</f>
        <v>924768000</v>
      </c>
      <c r="D110" s="178">
        <f t="shared" si="98"/>
        <v>78</v>
      </c>
      <c r="E110" s="178">
        <f t="shared" si="98"/>
        <v>51</v>
      </c>
      <c r="F110" s="329">
        <f t="shared" si="98"/>
        <v>306793293.3229</v>
      </c>
      <c r="G110" s="330">
        <f t="shared" si="98"/>
        <v>0</v>
      </c>
      <c r="H110" s="329">
        <f t="shared" si="98"/>
        <v>0</v>
      </c>
      <c r="I110" s="329">
        <f t="shared" si="90"/>
        <v>306793293.3229</v>
      </c>
      <c r="J110" s="329">
        <f t="shared" si="91"/>
        <v>-617974706.67709994</v>
      </c>
      <c r="K110" s="305">
        <f>I110/C110</f>
        <v>0.3317516321097832</v>
      </c>
      <c r="L110" s="369" t="str">
        <f>IF(K110&gt;100%,"CAPAI 100%",IF(K110&gt;90%,"CAPAI 90%","BELUM CAPAI"))</f>
        <v>BELUM CAPAI</v>
      </c>
      <c r="O110" s="615"/>
      <c r="P110" s="354" t="s">
        <v>77</v>
      </c>
      <c r="Q110" s="336">
        <f t="shared" ref="Q110:V110" si="99">SUM(Q104:Q109)</f>
        <v>948480000</v>
      </c>
      <c r="R110" s="207">
        <f t="shared" si="99"/>
        <v>86</v>
      </c>
      <c r="S110" s="207">
        <f t="shared" si="99"/>
        <v>53</v>
      </c>
      <c r="T110" s="336">
        <f t="shared" si="99"/>
        <v>358919991.8926999</v>
      </c>
      <c r="U110" s="337">
        <f t="shared" si="99"/>
        <v>1531531.5315999999</v>
      </c>
      <c r="V110" s="336">
        <f t="shared" si="99"/>
        <v>0</v>
      </c>
      <c r="W110" s="336">
        <f t="shared" si="92"/>
        <v>357388460.3610999</v>
      </c>
      <c r="X110" s="336">
        <f>W110-Q110</f>
        <v>-591091539.63890004</v>
      </c>
      <c r="Y110" s="313">
        <f t="shared" si="94"/>
        <v>0.37680126134562658</v>
      </c>
      <c r="Z110" s="369" t="str">
        <f>IF(Y110&gt;100%,"CAPAI 100%",IF(Y110&gt;90%,"CAPAI 90%","BELUM CAPAI"))</f>
        <v>BELUM CAPAI</v>
      </c>
    </row>
    <row r="111" spans="1:27" ht="14.5" customHeight="1" x14ac:dyDescent="0.35">
      <c r="B111" s="324" t="str">
        <f>$B$12</f>
        <v>TARGET Q1</v>
      </c>
      <c r="C111" s="243">
        <v>832291200</v>
      </c>
      <c r="D111" s="597"/>
      <c r="E111" s="598"/>
      <c r="F111" s="598"/>
      <c r="G111" s="598"/>
      <c r="H111" s="599"/>
      <c r="I111" s="243">
        <f>I110</f>
        <v>306793293.3229</v>
      </c>
      <c r="J111" s="243">
        <f>I111-C111</f>
        <v>-525497906.6771</v>
      </c>
      <c r="K111" s="183">
        <f>I111/C111</f>
        <v>0.3686129245664258</v>
      </c>
      <c r="P111" s="324" t="str">
        <f>$B$12</f>
        <v>TARGET Q1</v>
      </c>
      <c r="Q111" s="243">
        <v>853632000</v>
      </c>
      <c r="R111" s="597"/>
      <c r="S111" s="598"/>
      <c r="T111" s="598"/>
      <c r="U111" s="598"/>
      <c r="V111" s="599"/>
      <c r="W111" s="243">
        <f>W110</f>
        <v>357388460.3610999</v>
      </c>
      <c r="X111" s="243">
        <f>W111-Q111</f>
        <v>-496243539.6389001</v>
      </c>
      <c r="Y111" s="183">
        <f t="shared" si="94"/>
        <v>0.41866806816180729</v>
      </c>
      <c r="Z111" s="192"/>
    </row>
    <row r="112" spans="1:27" ht="14.5" customHeight="1" x14ac:dyDescent="0.35">
      <c r="C112" s="210">
        <f>C111/C110</f>
        <v>0.9</v>
      </c>
      <c r="Q112" s="210">
        <f>Q111/Q110</f>
        <v>0.9</v>
      </c>
    </row>
    <row r="113" spans="2:28" x14ac:dyDescent="0.35">
      <c r="C113" s="210"/>
    </row>
    <row r="114" spans="2:28" s="290" customFormat="1" ht="14.5" customHeight="1" x14ac:dyDescent="0.35">
      <c r="C114" s="291"/>
      <c r="D114" s="292"/>
      <c r="E114" s="293"/>
      <c r="F114" s="294"/>
      <c r="G114" s="295"/>
      <c r="H114" s="291"/>
      <c r="I114" s="291"/>
      <c r="J114" s="296"/>
      <c r="K114" s="292"/>
      <c r="L114" s="297"/>
      <c r="M114" s="298"/>
      <c r="Q114" s="292"/>
      <c r="R114" s="299"/>
      <c r="S114" s="292"/>
      <c r="T114" s="294"/>
      <c r="U114" s="295"/>
      <c r="V114" s="291"/>
      <c r="W114" s="291"/>
      <c r="X114" s="291"/>
      <c r="Y114" s="292"/>
      <c r="Z114" s="291"/>
      <c r="AA114" s="300"/>
    </row>
    <row r="115" spans="2:28" ht="14.5" customHeight="1" x14ac:dyDescent="0.35"/>
    <row r="116" spans="2:28" ht="15" customHeight="1" x14ac:dyDescent="0.35">
      <c r="B116" s="580" t="s">
        <v>123</v>
      </c>
      <c r="C116" s="581"/>
      <c r="D116" s="581"/>
      <c r="E116" s="581"/>
      <c r="F116" s="581"/>
      <c r="G116" s="581"/>
      <c r="H116" s="581"/>
      <c r="I116" s="581"/>
      <c r="J116" s="581"/>
      <c r="K116" s="581"/>
      <c r="L116" s="581"/>
      <c r="M116" s="582"/>
      <c r="P116" s="600" t="s">
        <v>124</v>
      </c>
      <c r="Q116" s="600"/>
      <c r="R116" s="600"/>
      <c r="S116" s="600"/>
      <c r="T116" s="600"/>
      <c r="U116" s="600"/>
      <c r="V116" s="600"/>
      <c r="W116" s="600"/>
      <c r="X116" s="600"/>
      <c r="Y116" s="600"/>
      <c r="Z116" s="600"/>
      <c r="AA116" s="600"/>
    </row>
    <row r="117" spans="2:28" ht="15" customHeight="1" x14ac:dyDescent="0.35">
      <c r="B117" s="583"/>
      <c r="C117" s="584"/>
      <c r="D117" s="584"/>
      <c r="E117" s="584"/>
      <c r="F117" s="584"/>
      <c r="G117" s="584"/>
      <c r="H117" s="584"/>
      <c r="I117" s="584"/>
      <c r="J117" s="584"/>
      <c r="K117" s="584"/>
      <c r="L117" s="584"/>
      <c r="M117" s="585"/>
      <c r="P117" s="600"/>
      <c r="Q117" s="600"/>
      <c r="R117" s="600"/>
      <c r="S117" s="600"/>
      <c r="T117" s="600"/>
      <c r="U117" s="600"/>
      <c r="V117" s="600"/>
      <c r="W117" s="600"/>
      <c r="X117" s="600"/>
      <c r="Y117" s="600"/>
      <c r="Z117" s="600"/>
      <c r="AA117" s="600"/>
    </row>
    <row r="118" spans="2:28" ht="15" customHeight="1" x14ac:dyDescent="0.35">
      <c r="B118" s="586" t="s">
        <v>125</v>
      </c>
      <c r="C118" s="587" t="s">
        <v>94</v>
      </c>
      <c r="D118" s="586" t="s">
        <v>91</v>
      </c>
      <c r="E118" s="586" t="s">
        <v>62</v>
      </c>
      <c r="F118" s="588" t="str">
        <f>F48</f>
        <v>OMSET MAR
 (1-31)</v>
      </c>
      <c r="G118" s="588" t="s">
        <v>95</v>
      </c>
      <c r="H118" s="587" t="s">
        <v>63</v>
      </c>
      <c r="I118" s="587" t="s">
        <v>64</v>
      </c>
      <c r="J118" s="587" t="s">
        <v>126</v>
      </c>
      <c r="K118" s="589" t="s">
        <v>66</v>
      </c>
      <c r="L118" s="590" t="s">
        <v>127</v>
      </c>
      <c r="M118" s="301" t="s">
        <v>128</v>
      </c>
      <c r="P118" s="601" t="s">
        <v>125</v>
      </c>
      <c r="Q118" s="601" t="s">
        <v>94</v>
      </c>
      <c r="R118" s="602" t="s">
        <v>91</v>
      </c>
      <c r="S118" s="601" t="s">
        <v>62</v>
      </c>
      <c r="T118" s="579" t="str">
        <f>T26</f>
        <v>OMSET MAR
 (1-31)</v>
      </c>
      <c r="U118" s="579" t="str">
        <f>G4</f>
        <v>OMSET PRODUK</v>
      </c>
      <c r="V118" s="603" t="s">
        <v>63</v>
      </c>
      <c r="W118" s="603" t="s">
        <v>64</v>
      </c>
      <c r="X118" s="603" t="s">
        <v>126</v>
      </c>
      <c r="Y118" s="578" t="s">
        <v>66</v>
      </c>
      <c r="Z118" s="579" t="s">
        <v>127</v>
      </c>
      <c r="AA118" s="310" t="s">
        <v>128</v>
      </c>
    </row>
    <row r="119" spans="2:28" ht="30" customHeight="1" x14ac:dyDescent="0.35">
      <c r="B119" s="586"/>
      <c r="C119" s="587"/>
      <c r="D119" s="586"/>
      <c r="E119" s="586"/>
      <c r="F119" s="588"/>
      <c r="G119" s="588"/>
      <c r="H119" s="587"/>
      <c r="I119" s="587"/>
      <c r="J119" s="587"/>
      <c r="K119" s="589"/>
      <c r="L119" s="590"/>
      <c r="M119" s="302">
        <f>K103</f>
        <v>1</v>
      </c>
      <c r="P119" s="601"/>
      <c r="Q119" s="601"/>
      <c r="R119" s="602"/>
      <c r="S119" s="601"/>
      <c r="T119" s="579"/>
      <c r="U119" s="579"/>
      <c r="V119" s="603"/>
      <c r="W119" s="603"/>
      <c r="X119" s="603"/>
      <c r="Y119" s="578"/>
      <c r="Z119" s="579"/>
      <c r="AA119" s="311">
        <f>K4</f>
        <v>1</v>
      </c>
    </row>
    <row r="120" spans="2:28" x14ac:dyDescent="0.35">
      <c r="B120" s="226" t="str">
        <f>C3</f>
        <v>CHRISTOPER</v>
      </c>
      <c r="C120" s="326">
        <f t="shared" ref="C120:H120" si="100">C11</f>
        <v>1370304000</v>
      </c>
      <c r="D120" s="222">
        <f t="shared" si="100"/>
        <v>101</v>
      </c>
      <c r="E120" s="222">
        <f t="shared" si="100"/>
        <v>75</v>
      </c>
      <c r="F120" s="331">
        <f t="shared" si="100"/>
        <v>707527173.02919996</v>
      </c>
      <c r="G120" s="332">
        <f t="shared" si="100"/>
        <v>1351351.3511999999</v>
      </c>
      <c r="H120" s="326">
        <f t="shared" si="100"/>
        <v>0</v>
      </c>
      <c r="I120" s="326">
        <f>F120-G120</f>
        <v>706175821.67799997</v>
      </c>
      <c r="J120" s="326">
        <f t="shared" ref="J120:J125" si="101">I120-C120</f>
        <v>-664128178.32200003</v>
      </c>
      <c r="K120" s="172">
        <f t="shared" ref="K120:K125" si="102">I120/C120</f>
        <v>0.51534245078318386</v>
      </c>
      <c r="L120" s="226">
        <f t="shared" ref="L120:L125" si="103">H120+I120</f>
        <v>706175821.67799997</v>
      </c>
      <c r="M120" s="333">
        <f t="shared" ref="M120:M125" si="104">L120/C120</f>
        <v>0.51534245078318386</v>
      </c>
      <c r="N120" s="228">
        <f>F120+H120</f>
        <v>707527173.02919996</v>
      </c>
      <c r="P120" s="250" t="str">
        <f>Q3</f>
        <v>AGPS:BANTEN-BKS</v>
      </c>
      <c r="Q120" s="326">
        <f t="shared" ref="Q120:V120" si="105">Q11</f>
        <v>1123200000</v>
      </c>
      <c r="R120" s="338">
        <f t="shared" si="105"/>
        <v>82</v>
      </c>
      <c r="S120" s="222">
        <f t="shared" si="105"/>
        <v>39</v>
      </c>
      <c r="T120" s="326">
        <f t="shared" si="105"/>
        <v>414591133.54109991</v>
      </c>
      <c r="U120" s="339">
        <f t="shared" si="105"/>
        <v>51220720.720800005</v>
      </c>
      <c r="V120" s="326">
        <f t="shared" si="105"/>
        <v>0</v>
      </c>
      <c r="W120" s="326">
        <f>T120-U120</f>
        <v>363370412.82029992</v>
      </c>
      <c r="X120" s="326">
        <f t="shared" ref="X120:X125" si="106">W120-Q120</f>
        <v>-759829587.17970014</v>
      </c>
      <c r="Y120" s="172">
        <f t="shared" ref="Y120:Y125" si="107">W120/Q120</f>
        <v>0.32351354417761746</v>
      </c>
      <c r="Z120" s="226">
        <f t="shared" ref="Z120:Z125" si="108">V120+W120</f>
        <v>363370412.82029992</v>
      </c>
      <c r="AA120" s="333">
        <f t="shared" ref="AA120:AA125" si="109">Z120/Q120</f>
        <v>0.32351354417761746</v>
      </c>
      <c r="AB120" s="228">
        <f>T120+V120</f>
        <v>414591133.54109991</v>
      </c>
    </row>
    <row r="121" spans="2:28" x14ac:dyDescent="0.35">
      <c r="B121" s="226" t="str">
        <f>C14</f>
        <v>ANNAUFAL</v>
      </c>
      <c r="C121" s="326">
        <f t="shared" ref="C121:H121" si="110">C22</f>
        <v>1522560000</v>
      </c>
      <c r="D121" s="222">
        <f t="shared" si="110"/>
        <v>104</v>
      </c>
      <c r="E121" s="222">
        <f t="shared" si="110"/>
        <v>60</v>
      </c>
      <c r="F121" s="331">
        <f t="shared" si="110"/>
        <v>646755338.90129995</v>
      </c>
      <c r="G121" s="332">
        <f t="shared" si="110"/>
        <v>1711711.7117000001</v>
      </c>
      <c r="H121" s="326">
        <f t="shared" si="110"/>
        <v>0</v>
      </c>
      <c r="I121" s="326">
        <f>F121-G121</f>
        <v>645043627.18959999</v>
      </c>
      <c r="J121" s="326">
        <f t="shared" si="101"/>
        <v>-877516372.81040001</v>
      </c>
      <c r="K121" s="172">
        <f t="shared" si="102"/>
        <v>0.42365727931221103</v>
      </c>
      <c r="L121" s="226">
        <f t="shared" si="103"/>
        <v>645043627.18959999</v>
      </c>
      <c r="M121" s="333">
        <f t="shared" si="104"/>
        <v>0.42365727931221103</v>
      </c>
      <c r="N121" s="228">
        <f>F121+H121</f>
        <v>646755338.90129995</v>
      </c>
      <c r="P121" s="250" t="str">
        <f>Q14</f>
        <v>AGPS:BOGOR</v>
      </c>
      <c r="Q121" s="326">
        <f t="shared" ref="Q121:V121" si="111">Q22</f>
        <v>1422720000</v>
      </c>
      <c r="R121" s="338">
        <f t="shared" si="111"/>
        <v>82</v>
      </c>
      <c r="S121" s="222">
        <f t="shared" si="111"/>
        <v>57</v>
      </c>
      <c r="T121" s="326">
        <f t="shared" si="111"/>
        <v>423468572.63730013</v>
      </c>
      <c r="U121" s="339">
        <f t="shared" si="111"/>
        <v>52432432.433200002</v>
      </c>
      <c r="V121" s="326">
        <f t="shared" si="111"/>
        <v>0</v>
      </c>
      <c r="W121" s="326">
        <f>T121-U121</f>
        <v>371036140.20410013</v>
      </c>
      <c r="X121" s="326">
        <f t="shared" si="106"/>
        <v>-1051683859.7958999</v>
      </c>
      <c r="Y121" s="172">
        <f t="shared" si="107"/>
        <v>0.26079350835308435</v>
      </c>
      <c r="Z121" s="226">
        <f>V121+W121</f>
        <v>371036140.20410013</v>
      </c>
      <c r="AA121" s="333">
        <f t="shared" si="109"/>
        <v>0.26079350835308435</v>
      </c>
      <c r="AB121" s="228">
        <f>T121+V121</f>
        <v>423468572.63730013</v>
      </c>
    </row>
    <row r="122" spans="2:28" x14ac:dyDescent="0.35">
      <c r="B122" s="226" t="str">
        <f>C25</f>
        <v>DIKI HERMAWAN</v>
      </c>
      <c r="C122" s="326">
        <f t="shared" ref="C122:H122" si="112">C33</f>
        <v>1446432000</v>
      </c>
      <c r="D122" s="222">
        <f t="shared" si="112"/>
        <v>102</v>
      </c>
      <c r="E122" s="222">
        <f t="shared" si="112"/>
        <v>72</v>
      </c>
      <c r="F122" s="331">
        <f t="shared" si="112"/>
        <v>785404608.17199993</v>
      </c>
      <c r="G122" s="332">
        <f t="shared" si="112"/>
        <v>3264414.4142999998</v>
      </c>
      <c r="H122" s="326">
        <f t="shared" si="112"/>
        <v>0</v>
      </c>
      <c r="I122" s="326">
        <f>F122-G122</f>
        <v>782140193.75769997</v>
      </c>
      <c r="J122" s="326">
        <f t="shared" si="101"/>
        <v>-664291806.24230003</v>
      </c>
      <c r="K122" s="172">
        <f t="shared" si="102"/>
        <v>0.54073761763961248</v>
      </c>
      <c r="L122" s="226">
        <f t="shared" si="103"/>
        <v>782140193.75769997</v>
      </c>
      <c r="M122" s="333">
        <f t="shared" si="104"/>
        <v>0.54073761763961248</v>
      </c>
      <c r="N122" s="228">
        <f>F122+H122</f>
        <v>785404608.17199993</v>
      </c>
      <c r="P122" s="250" t="str">
        <f>Q25</f>
        <v>AGPS : BEKASI</v>
      </c>
      <c r="Q122" s="326">
        <f t="shared" ref="Q122:V122" si="113">Q33</f>
        <v>1347840000</v>
      </c>
      <c r="R122" s="338">
        <f t="shared" si="113"/>
        <v>86</v>
      </c>
      <c r="S122" s="222">
        <f t="shared" si="113"/>
        <v>52</v>
      </c>
      <c r="T122" s="326">
        <f t="shared" si="113"/>
        <v>454757572.34299994</v>
      </c>
      <c r="U122" s="339">
        <f t="shared" si="113"/>
        <v>32186936.9373</v>
      </c>
      <c r="V122" s="326">
        <f t="shared" si="113"/>
        <v>0</v>
      </c>
      <c r="W122" s="326">
        <f>T122-U122</f>
        <v>422570635.40569991</v>
      </c>
      <c r="X122" s="326">
        <f t="shared" si="106"/>
        <v>-925269364.59430003</v>
      </c>
      <c r="Y122" s="172">
        <f t="shared" si="107"/>
        <v>0.3135169125457769</v>
      </c>
      <c r="Z122" s="226">
        <f t="shared" si="108"/>
        <v>422570635.40569991</v>
      </c>
      <c r="AA122" s="333">
        <f t="shared" si="109"/>
        <v>0.3135169125457769</v>
      </c>
      <c r="AB122" s="228">
        <f>T122+V122</f>
        <v>454757572.34299994</v>
      </c>
    </row>
    <row r="123" spans="2:28" ht="14.5" customHeight="1" x14ac:dyDescent="0.35">
      <c r="B123" s="226" t="str">
        <f>C36</f>
        <v>AGPC:TKAB-KRW</v>
      </c>
      <c r="C123" s="326">
        <f t="shared" ref="C123:H123" si="114">C44</f>
        <v>1674816000</v>
      </c>
      <c r="D123" s="222">
        <f t="shared" si="114"/>
        <v>90</v>
      </c>
      <c r="E123" s="222">
        <f t="shared" si="114"/>
        <v>61</v>
      </c>
      <c r="F123" s="331">
        <f t="shared" si="114"/>
        <v>508542480.22929996</v>
      </c>
      <c r="G123" s="332">
        <f t="shared" si="114"/>
        <v>0</v>
      </c>
      <c r="H123" s="326">
        <f t="shared" si="114"/>
        <v>0</v>
      </c>
      <c r="I123" s="326">
        <f>F123-G123</f>
        <v>508542480.22929996</v>
      </c>
      <c r="J123" s="326">
        <f t="shared" si="101"/>
        <v>-1166273519.7707</v>
      </c>
      <c r="K123" s="172">
        <f t="shared" si="102"/>
        <v>0.30364080605230664</v>
      </c>
      <c r="L123" s="226">
        <f t="shared" si="103"/>
        <v>508542480.22929996</v>
      </c>
      <c r="M123" s="333">
        <f t="shared" si="104"/>
        <v>0.30364080605230664</v>
      </c>
      <c r="N123" s="228">
        <f>F123+H123</f>
        <v>508542480.22929996</v>
      </c>
      <c r="P123" s="250" t="str">
        <f>Q36</f>
        <v>GILBERT</v>
      </c>
      <c r="Q123" s="326">
        <f t="shared" ref="Q123:V123" si="115">Q44</f>
        <v>1872000000</v>
      </c>
      <c r="R123" s="338">
        <f t="shared" si="115"/>
        <v>69</v>
      </c>
      <c r="S123" s="222">
        <f t="shared" si="115"/>
        <v>39</v>
      </c>
      <c r="T123" s="326">
        <f t="shared" si="115"/>
        <v>617632588.99450004</v>
      </c>
      <c r="U123" s="339">
        <f t="shared" si="115"/>
        <v>79842342.342599988</v>
      </c>
      <c r="V123" s="326">
        <f t="shared" si="115"/>
        <v>0</v>
      </c>
      <c r="W123" s="326">
        <f>T123-U123</f>
        <v>537790246.65190005</v>
      </c>
      <c r="X123" s="326">
        <f t="shared" si="106"/>
        <v>-1334209753.3480999</v>
      </c>
      <c r="Y123" s="172">
        <f t="shared" si="107"/>
        <v>0.28728111466447653</v>
      </c>
      <c r="Z123" s="226">
        <f t="shared" si="108"/>
        <v>537790246.65190005</v>
      </c>
      <c r="AA123" s="333">
        <f t="shared" si="109"/>
        <v>0.28728111466447653</v>
      </c>
      <c r="AB123" s="228">
        <f>T123+V123</f>
        <v>617632588.99450004</v>
      </c>
    </row>
    <row r="124" spans="2:28" ht="14.5" customHeight="1" x14ac:dyDescent="0.35">
      <c r="B124" s="226" t="str">
        <f>C47</f>
        <v>RIDWAN</v>
      </c>
      <c r="C124" s="326">
        <f t="shared" ref="C124:H124" si="116">C55</f>
        <v>1598688000</v>
      </c>
      <c r="D124" s="222">
        <f t="shared" si="116"/>
        <v>130</v>
      </c>
      <c r="E124" s="222">
        <f t="shared" si="116"/>
        <v>79</v>
      </c>
      <c r="F124" s="331">
        <f t="shared" si="116"/>
        <v>732941900.67879999</v>
      </c>
      <c r="G124" s="332">
        <f t="shared" si="116"/>
        <v>324324.32429999998</v>
      </c>
      <c r="H124" s="326">
        <f t="shared" si="116"/>
        <v>0</v>
      </c>
      <c r="I124" s="326">
        <f>F124-G124</f>
        <v>732617576.35449994</v>
      </c>
      <c r="J124" s="326">
        <f t="shared" si="101"/>
        <v>-866070423.64550006</v>
      </c>
      <c r="K124" s="172">
        <f t="shared" si="102"/>
        <v>0.45826175986465145</v>
      </c>
      <c r="L124" s="226">
        <f t="shared" si="103"/>
        <v>732617576.35449994</v>
      </c>
      <c r="M124" s="333">
        <f t="shared" si="104"/>
        <v>0.45826175986465145</v>
      </c>
      <c r="N124" s="228">
        <f>F124+H124</f>
        <v>732941900.67879999</v>
      </c>
      <c r="P124" s="250" t="str">
        <f>Q47</f>
        <v>FAUZI</v>
      </c>
      <c r="Q124" s="326">
        <f t="shared" ref="Q124:V124" si="117">Q55</f>
        <v>1722240000</v>
      </c>
      <c r="R124" s="338">
        <f t="shared" si="117"/>
        <v>92</v>
      </c>
      <c r="S124" s="222">
        <f t="shared" si="117"/>
        <v>61</v>
      </c>
      <c r="T124" s="326">
        <f t="shared" si="117"/>
        <v>569073926.75689995</v>
      </c>
      <c r="U124" s="339">
        <f t="shared" si="117"/>
        <v>12427927.9277</v>
      </c>
      <c r="V124" s="326">
        <f t="shared" si="117"/>
        <v>0</v>
      </c>
      <c r="W124" s="326">
        <f>T124-U124</f>
        <v>556645998.82919991</v>
      </c>
      <c r="X124" s="326">
        <f t="shared" si="106"/>
        <v>-1165594001.1708002</v>
      </c>
      <c r="Y124" s="172">
        <f t="shared" si="107"/>
        <v>0.32321046940565767</v>
      </c>
      <c r="Z124" s="226">
        <f t="shared" si="108"/>
        <v>556645998.82919991</v>
      </c>
      <c r="AA124" s="333">
        <f t="shared" si="109"/>
        <v>0.32321046940565767</v>
      </c>
      <c r="AB124" s="228">
        <f>T124+V124</f>
        <v>569073926.75689995</v>
      </c>
    </row>
    <row r="125" spans="2:28" x14ac:dyDescent="0.35">
      <c r="B125" s="352" t="s">
        <v>77</v>
      </c>
      <c r="C125" s="329">
        <f t="shared" ref="C125:H125" si="118">SUM(C120:C124)</f>
        <v>7612800000</v>
      </c>
      <c r="D125" s="178">
        <f t="shared" si="118"/>
        <v>527</v>
      </c>
      <c r="E125" s="178">
        <f t="shared" si="118"/>
        <v>347</v>
      </c>
      <c r="F125" s="334">
        <f t="shared" si="118"/>
        <v>3381171501.0106001</v>
      </c>
      <c r="G125" s="335">
        <f t="shared" si="118"/>
        <v>6651801.8015000001</v>
      </c>
      <c r="H125" s="329">
        <f t="shared" si="118"/>
        <v>0</v>
      </c>
      <c r="I125" s="329">
        <f>SUM(I120:I124)</f>
        <v>3374519699.2090998</v>
      </c>
      <c r="J125" s="329">
        <f t="shared" si="101"/>
        <v>-4238280300.7909002</v>
      </c>
      <c r="K125" s="305">
        <f t="shared" si="102"/>
        <v>0.44326919125802594</v>
      </c>
      <c r="L125" s="353">
        <f t="shared" si="103"/>
        <v>3374519699.2090998</v>
      </c>
      <c r="M125" s="305">
        <f t="shared" si="104"/>
        <v>0.44326919125802594</v>
      </c>
      <c r="P125" s="354" t="s">
        <v>77</v>
      </c>
      <c r="Q125" s="336">
        <f>SUM(Q120:Q124)</f>
        <v>7488000000</v>
      </c>
      <c r="R125" s="340">
        <f>SUM(R120:R124)</f>
        <v>411</v>
      </c>
      <c r="S125" s="207">
        <f t="shared" ref="S125:W125" si="119">SUM(S120:S124)</f>
        <v>248</v>
      </c>
      <c r="T125" s="336">
        <f>SUM(T120:T124)</f>
        <v>2479523794.2728</v>
      </c>
      <c r="U125" s="337">
        <f t="shared" si="119"/>
        <v>228110360.36160001</v>
      </c>
      <c r="V125" s="336">
        <f t="shared" si="119"/>
        <v>0</v>
      </c>
      <c r="W125" s="336">
        <f t="shared" si="119"/>
        <v>2251413433.9112</v>
      </c>
      <c r="X125" s="336">
        <f t="shared" si="106"/>
        <v>-5236586566.0888004</v>
      </c>
      <c r="Y125" s="313">
        <f t="shared" si="107"/>
        <v>0.30066952910138889</v>
      </c>
      <c r="Z125" s="355">
        <f t="shared" si="108"/>
        <v>2251413433.9112</v>
      </c>
      <c r="AA125" s="313">
        <f t="shared" si="109"/>
        <v>0.30066952910138889</v>
      </c>
    </row>
    <row r="126" spans="2:28" x14ac:dyDescent="0.35">
      <c r="C126" s="202"/>
      <c r="D126" s="245"/>
      <c r="E126" s="245"/>
      <c r="F126" s="245"/>
      <c r="G126" s="245"/>
      <c r="H126" s="245"/>
      <c r="I126" s="245"/>
      <c r="J126" s="245"/>
      <c r="K126" s="245"/>
      <c r="L126" s="197"/>
      <c r="M126" s="246"/>
      <c r="Q126" s="202"/>
      <c r="R126" s="245"/>
      <c r="S126" s="245"/>
      <c r="T126" s="245"/>
      <c r="U126" s="245"/>
      <c r="V126" s="245"/>
      <c r="W126" s="202"/>
      <c r="X126" s="247"/>
      <c r="Y126" s="248"/>
      <c r="Z126" s="197"/>
      <c r="AA126" s="246"/>
    </row>
    <row r="127" spans="2:28" x14ac:dyDescent="0.35">
      <c r="K127" s="249"/>
    </row>
    <row r="128" spans="2:28" ht="15" customHeight="1" x14ac:dyDescent="0.35">
      <c r="B128" s="580" t="s">
        <v>129</v>
      </c>
      <c r="C128" s="581"/>
      <c r="D128" s="581"/>
      <c r="E128" s="581"/>
      <c r="F128" s="581"/>
      <c r="G128" s="581"/>
      <c r="H128" s="581"/>
      <c r="I128" s="581"/>
      <c r="J128" s="581"/>
      <c r="K128" s="581"/>
      <c r="L128" s="581"/>
      <c r="M128" s="582"/>
      <c r="P128" s="580" t="s">
        <v>130</v>
      </c>
      <c r="Q128" s="581"/>
      <c r="R128" s="581"/>
      <c r="S128" s="581"/>
      <c r="T128" s="581"/>
      <c r="U128" s="581"/>
      <c r="V128" s="581"/>
      <c r="W128" s="581"/>
      <c r="X128" s="581"/>
      <c r="Y128" s="581"/>
      <c r="Z128" s="581"/>
      <c r="AA128" s="582"/>
    </row>
    <row r="129" spans="2:28" ht="15" customHeight="1" x14ac:dyDescent="0.35">
      <c r="B129" s="583"/>
      <c r="C129" s="584"/>
      <c r="D129" s="584"/>
      <c r="E129" s="584"/>
      <c r="F129" s="584"/>
      <c r="G129" s="584"/>
      <c r="H129" s="584"/>
      <c r="I129" s="584"/>
      <c r="J129" s="584"/>
      <c r="K129" s="584"/>
      <c r="L129" s="584"/>
      <c r="M129" s="585"/>
      <c r="P129" s="583"/>
      <c r="Q129" s="584"/>
      <c r="R129" s="584"/>
      <c r="S129" s="584"/>
      <c r="T129" s="584"/>
      <c r="U129" s="584"/>
      <c r="V129" s="584"/>
      <c r="W129" s="584"/>
      <c r="X129" s="584"/>
      <c r="Y129" s="584"/>
      <c r="Z129" s="584"/>
      <c r="AA129" s="585"/>
    </row>
    <row r="130" spans="2:28" ht="15" customHeight="1" x14ac:dyDescent="0.35">
      <c r="B130" s="586" t="s">
        <v>125</v>
      </c>
      <c r="C130" s="587" t="s">
        <v>94</v>
      </c>
      <c r="D130" s="586" t="s">
        <v>91</v>
      </c>
      <c r="E130" s="586" t="s">
        <v>62</v>
      </c>
      <c r="F130" s="588" t="str">
        <f>F48</f>
        <v>OMSET MAR
 (1-31)</v>
      </c>
      <c r="G130" s="588" t="str">
        <f>G48</f>
        <v>OMSET PRODUK</v>
      </c>
      <c r="H130" s="587" t="s">
        <v>63</v>
      </c>
      <c r="I130" s="587" t="s">
        <v>64</v>
      </c>
      <c r="J130" s="587" t="s">
        <v>126</v>
      </c>
      <c r="K130" s="589" t="s">
        <v>66</v>
      </c>
      <c r="L130" s="590" t="s">
        <v>127</v>
      </c>
      <c r="M130" s="301" t="s">
        <v>128</v>
      </c>
      <c r="P130" s="591" t="s">
        <v>125</v>
      </c>
      <c r="Q130" s="591" t="s">
        <v>94</v>
      </c>
      <c r="R130" s="593" t="s">
        <v>91</v>
      </c>
      <c r="S130" s="591" t="s">
        <v>62</v>
      </c>
      <c r="T130" s="576" t="str">
        <f>T26</f>
        <v>OMSET MAR
 (1-31)</v>
      </c>
      <c r="U130" s="576" t="str">
        <f>G4</f>
        <v>OMSET PRODUK</v>
      </c>
      <c r="V130" s="595" t="s">
        <v>63</v>
      </c>
      <c r="W130" s="595" t="s">
        <v>64</v>
      </c>
      <c r="X130" s="595" t="s">
        <v>126</v>
      </c>
      <c r="Y130" s="574" t="s">
        <v>66</v>
      </c>
      <c r="Z130" s="576" t="s">
        <v>127</v>
      </c>
      <c r="AA130" s="310" t="s">
        <v>128</v>
      </c>
    </row>
    <row r="131" spans="2:28" ht="27.75" customHeight="1" x14ac:dyDescent="0.35">
      <c r="B131" s="586"/>
      <c r="C131" s="587"/>
      <c r="D131" s="586"/>
      <c r="E131" s="586"/>
      <c r="F131" s="588"/>
      <c r="G131" s="588"/>
      <c r="H131" s="587"/>
      <c r="I131" s="587"/>
      <c r="J131" s="587"/>
      <c r="K131" s="589"/>
      <c r="L131" s="590"/>
      <c r="M131" s="302">
        <f>M119</f>
        <v>1</v>
      </c>
      <c r="P131" s="592"/>
      <c r="Q131" s="592"/>
      <c r="R131" s="594"/>
      <c r="S131" s="592"/>
      <c r="T131" s="577"/>
      <c r="U131" s="577"/>
      <c r="V131" s="596"/>
      <c r="W131" s="596"/>
      <c r="X131" s="596"/>
      <c r="Y131" s="575"/>
      <c r="Z131" s="577"/>
      <c r="AA131" s="311">
        <f>K4</f>
        <v>1</v>
      </c>
    </row>
    <row r="132" spans="2:28" ht="15" customHeight="1" x14ac:dyDescent="0.35">
      <c r="B132" s="226" t="str">
        <f>C58</f>
        <v>AHMAD</v>
      </c>
      <c r="C132" s="326">
        <f t="shared" ref="C132:H132" si="120">C66</f>
        <v>924768000</v>
      </c>
      <c r="D132" s="222">
        <f t="shared" si="120"/>
        <v>92</v>
      </c>
      <c r="E132" s="222">
        <f t="shared" si="120"/>
        <v>60</v>
      </c>
      <c r="F132" s="331">
        <f t="shared" si="120"/>
        <v>277380440.53949994</v>
      </c>
      <c r="G132" s="332">
        <f t="shared" si="120"/>
        <v>3683783.7837000005</v>
      </c>
      <c r="H132" s="326">
        <f t="shared" si="120"/>
        <v>0</v>
      </c>
      <c r="I132" s="326">
        <f>F132-G132</f>
        <v>273696656.75579995</v>
      </c>
      <c r="J132" s="326">
        <f t="shared" ref="J132:J137" si="121">I132-C132</f>
        <v>-651071343.24419999</v>
      </c>
      <c r="K132" s="172">
        <f t="shared" ref="K132:K137" si="122">I132/C132</f>
        <v>0.29596250817048164</v>
      </c>
      <c r="L132" s="226">
        <f t="shared" ref="L132:L137" si="123">H132+I132</f>
        <v>273696656.75579995</v>
      </c>
      <c r="M132" s="333">
        <f t="shared" ref="M132:M137" si="124">L132/C132</f>
        <v>0.29596250817048164</v>
      </c>
      <c r="N132" s="228">
        <f>F132+H132</f>
        <v>277380440.53949994</v>
      </c>
      <c r="P132" s="250" t="str">
        <f>Q58</f>
        <v>AGUSTIAN</v>
      </c>
      <c r="Q132" s="226">
        <f t="shared" ref="Q132:V132" si="125">Q66</f>
        <v>1148160000</v>
      </c>
      <c r="R132" s="251">
        <f t="shared" si="125"/>
        <v>91</v>
      </c>
      <c r="S132" s="165">
        <f t="shared" si="125"/>
        <v>55</v>
      </c>
      <c r="T132" s="226">
        <f t="shared" si="125"/>
        <v>480316756.75709999</v>
      </c>
      <c r="U132" s="252">
        <f t="shared" si="125"/>
        <v>9029279.2795999981</v>
      </c>
      <c r="V132" s="226">
        <f t="shared" si="125"/>
        <v>0</v>
      </c>
      <c r="W132" s="226">
        <f>T132-U132</f>
        <v>471287477.47749996</v>
      </c>
      <c r="X132" s="226">
        <f t="shared" ref="X132:X137" si="126">W132-Q132</f>
        <v>-676872522.52250004</v>
      </c>
      <c r="Y132" s="172">
        <f t="shared" ref="Y132:Y137" si="127">W132/Q132</f>
        <v>0.41047195293121164</v>
      </c>
      <c r="Z132" s="171">
        <f t="shared" ref="Z132:Z137" si="128">V132+W132</f>
        <v>471287477.47749996</v>
      </c>
      <c r="AA132" s="227">
        <f t="shared" ref="AA132:AA137" si="129">Z132/Q132</f>
        <v>0.41047195293121164</v>
      </c>
      <c r="AB132" s="228">
        <f>T132+V132</f>
        <v>480316756.75709999</v>
      </c>
    </row>
    <row r="133" spans="2:28" x14ac:dyDescent="0.35">
      <c r="B133" s="226" t="str">
        <f>C69</f>
        <v>AGPC:DPK-SKB</v>
      </c>
      <c r="C133" s="326">
        <f t="shared" ref="C133:H133" si="130">C77</f>
        <v>1216800000</v>
      </c>
      <c r="D133" s="222">
        <f t="shared" si="130"/>
        <v>111</v>
      </c>
      <c r="E133" s="222">
        <f t="shared" si="130"/>
        <v>76</v>
      </c>
      <c r="F133" s="331">
        <f t="shared" si="130"/>
        <v>553709881.28659999</v>
      </c>
      <c r="G133" s="332">
        <f t="shared" si="130"/>
        <v>684684.68460000004</v>
      </c>
      <c r="H133" s="326">
        <f t="shared" si="130"/>
        <v>0</v>
      </c>
      <c r="I133" s="326">
        <f>F133-G133</f>
        <v>553025196.602</v>
      </c>
      <c r="J133" s="326">
        <f t="shared" si="121"/>
        <v>-663774803.398</v>
      </c>
      <c r="K133" s="172">
        <f t="shared" si="122"/>
        <v>0.45449145019888232</v>
      </c>
      <c r="L133" s="226">
        <f t="shared" si="123"/>
        <v>553025196.602</v>
      </c>
      <c r="M133" s="333">
        <f t="shared" si="124"/>
        <v>0.45449145019888232</v>
      </c>
      <c r="N133" s="228">
        <f>F133+H133</f>
        <v>553709881.28659999</v>
      </c>
      <c r="P133" s="250" t="str">
        <f>Q69</f>
        <v>RAYFAHMI</v>
      </c>
      <c r="Q133" s="226">
        <f t="shared" ref="Q133:V133" si="131">Q77</f>
        <v>1148160000</v>
      </c>
      <c r="R133" s="251">
        <f t="shared" si="131"/>
        <v>98</v>
      </c>
      <c r="S133" s="165">
        <f t="shared" si="131"/>
        <v>73</v>
      </c>
      <c r="T133" s="226">
        <f t="shared" si="131"/>
        <v>690360021.62220001</v>
      </c>
      <c r="U133" s="252">
        <f t="shared" si="131"/>
        <v>65909909.909500018</v>
      </c>
      <c r="V133" s="226">
        <f t="shared" si="131"/>
        <v>0</v>
      </c>
      <c r="W133" s="226">
        <f>T133-U133</f>
        <v>624450111.71270001</v>
      </c>
      <c r="X133" s="226">
        <f t="shared" si="126"/>
        <v>-523709888.28729999</v>
      </c>
      <c r="Y133" s="172">
        <f t="shared" si="127"/>
        <v>0.54387028960484607</v>
      </c>
      <c r="Z133" s="171">
        <f>V133+W133</f>
        <v>624450111.71270001</v>
      </c>
      <c r="AA133" s="227">
        <f t="shared" si="129"/>
        <v>0.54387028960484607</v>
      </c>
      <c r="AB133" s="228">
        <f>T133+V133</f>
        <v>690360021.62220001</v>
      </c>
    </row>
    <row r="134" spans="2:28" x14ac:dyDescent="0.35">
      <c r="B134" s="226" t="str">
        <f>C80</f>
        <v>NURRAHMAN</v>
      </c>
      <c r="C134" s="326">
        <f t="shared" ref="C134:H134" si="132">C88</f>
        <v>876096000</v>
      </c>
      <c r="D134" s="222">
        <f t="shared" si="132"/>
        <v>67</v>
      </c>
      <c r="E134" s="222">
        <f t="shared" si="132"/>
        <v>47</v>
      </c>
      <c r="F134" s="331">
        <f t="shared" si="132"/>
        <v>325496908.10620004</v>
      </c>
      <c r="G134" s="332">
        <f t="shared" si="132"/>
        <v>337837.83779999998</v>
      </c>
      <c r="H134" s="326">
        <f t="shared" si="132"/>
        <v>0</v>
      </c>
      <c r="I134" s="326">
        <f>F134-G134</f>
        <v>325159070.26840001</v>
      </c>
      <c r="J134" s="326">
        <f t="shared" si="121"/>
        <v>-550936929.73160005</v>
      </c>
      <c r="K134" s="172">
        <f t="shared" si="122"/>
        <v>0.3711454797971912</v>
      </c>
      <c r="L134" s="226">
        <f t="shared" si="123"/>
        <v>325159070.26840001</v>
      </c>
      <c r="M134" s="333">
        <f t="shared" si="124"/>
        <v>0.3711454797971912</v>
      </c>
      <c r="N134" s="228">
        <f>F134+H134</f>
        <v>325496908.10620004</v>
      </c>
      <c r="P134" s="250" t="str">
        <f>Q80</f>
        <v>AGPS:JAKTIM-CKR</v>
      </c>
      <c r="Q134" s="166">
        <f t="shared" ref="Q134:V134" si="133">Q88</f>
        <v>848640000.00000012</v>
      </c>
      <c r="R134" s="230">
        <f t="shared" si="133"/>
        <v>57</v>
      </c>
      <c r="S134" s="167">
        <f t="shared" si="133"/>
        <v>38</v>
      </c>
      <c r="T134" s="166">
        <f t="shared" si="133"/>
        <v>296631117.05450004</v>
      </c>
      <c r="U134" s="231">
        <f t="shared" si="133"/>
        <v>5378378.3783999998</v>
      </c>
      <c r="V134" s="166">
        <f t="shared" si="133"/>
        <v>0</v>
      </c>
      <c r="W134" s="226">
        <f>T134-U134</f>
        <v>291252738.67610002</v>
      </c>
      <c r="X134" s="226">
        <f t="shared" si="126"/>
        <v>-557387261.3239001</v>
      </c>
      <c r="Y134" s="172">
        <f t="shared" si="127"/>
        <v>0.34319939983514797</v>
      </c>
      <c r="Z134" s="171">
        <f t="shared" si="128"/>
        <v>291252738.67610002</v>
      </c>
      <c r="AA134" s="227">
        <f t="shared" si="129"/>
        <v>0.34319939983514797</v>
      </c>
      <c r="AB134" s="228">
        <f>T134+V134</f>
        <v>296631117.05450004</v>
      </c>
    </row>
    <row r="135" spans="2:28" x14ac:dyDescent="0.35">
      <c r="B135" s="226" t="str">
        <f>C91</f>
        <v>IPNU</v>
      </c>
      <c r="C135" s="326">
        <f t="shared" ref="C135:H135" si="134">C99</f>
        <v>924768000</v>
      </c>
      <c r="D135" s="222">
        <f t="shared" si="134"/>
        <v>106</v>
      </c>
      <c r="E135" s="222">
        <f t="shared" si="134"/>
        <v>69</v>
      </c>
      <c r="F135" s="331">
        <f t="shared" si="134"/>
        <v>427036905.20379996</v>
      </c>
      <c r="G135" s="332">
        <f t="shared" si="134"/>
        <v>2297297.2971999999</v>
      </c>
      <c r="H135" s="326">
        <f t="shared" si="134"/>
        <v>0</v>
      </c>
      <c r="I135" s="326">
        <f>F135-G135</f>
        <v>424739607.90659994</v>
      </c>
      <c r="J135" s="326">
        <f t="shared" si="121"/>
        <v>-500028392.09340006</v>
      </c>
      <c r="K135" s="172">
        <f t="shared" si="122"/>
        <v>0.45929315018101829</v>
      </c>
      <c r="L135" s="226">
        <f t="shared" si="123"/>
        <v>424739607.90659994</v>
      </c>
      <c r="M135" s="333">
        <f t="shared" si="124"/>
        <v>0.45929315018101829</v>
      </c>
      <c r="N135" s="228">
        <f>F135+H135</f>
        <v>427036905.20379996</v>
      </c>
      <c r="P135" s="250" t="str">
        <f>Q91</f>
        <v>SUHERI</v>
      </c>
      <c r="Q135" s="166">
        <f t="shared" ref="Q135:V135" si="135">Q99</f>
        <v>898560000</v>
      </c>
      <c r="R135" s="230">
        <f t="shared" si="135"/>
        <v>73</v>
      </c>
      <c r="S135" s="167">
        <f t="shared" si="135"/>
        <v>44</v>
      </c>
      <c r="T135" s="166">
        <f t="shared" si="135"/>
        <v>256800406.30649999</v>
      </c>
      <c r="U135" s="231">
        <f t="shared" si="135"/>
        <v>3603603.6035999996</v>
      </c>
      <c r="V135" s="166">
        <f t="shared" si="135"/>
        <v>0</v>
      </c>
      <c r="W135" s="226">
        <f>T135-U135</f>
        <v>253196802.70289999</v>
      </c>
      <c r="X135" s="226">
        <f t="shared" si="126"/>
        <v>-645363197.29710007</v>
      </c>
      <c r="Y135" s="172">
        <f t="shared" si="127"/>
        <v>0.28178062978866186</v>
      </c>
      <c r="Z135" s="171">
        <f t="shared" si="128"/>
        <v>253196802.70289999</v>
      </c>
      <c r="AA135" s="227">
        <f t="shared" si="129"/>
        <v>0.28178062978866186</v>
      </c>
      <c r="AB135" s="228">
        <f>T135+V135</f>
        <v>256800406.30649999</v>
      </c>
    </row>
    <row r="136" spans="2:28" x14ac:dyDescent="0.35">
      <c r="B136" s="226" t="str">
        <f>C102</f>
        <v>SYAEPULLOH</v>
      </c>
      <c r="C136" s="326">
        <f t="shared" ref="C136:H136" si="136">C110</f>
        <v>924768000</v>
      </c>
      <c r="D136" s="222">
        <f t="shared" si="136"/>
        <v>78</v>
      </c>
      <c r="E136" s="222">
        <f t="shared" si="136"/>
        <v>51</v>
      </c>
      <c r="F136" s="331">
        <f t="shared" si="136"/>
        <v>306793293.3229</v>
      </c>
      <c r="G136" s="332">
        <f t="shared" si="136"/>
        <v>0</v>
      </c>
      <c r="H136" s="326">
        <f t="shared" si="136"/>
        <v>0</v>
      </c>
      <c r="I136" s="326">
        <f>F136-G136</f>
        <v>306793293.3229</v>
      </c>
      <c r="J136" s="326">
        <f t="shared" si="121"/>
        <v>-617974706.67709994</v>
      </c>
      <c r="K136" s="172">
        <f t="shared" si="122"/>
        <v>0.3317516321097832</v>
      </c>
      <c r="L136" s="226">
        <f t="shared" si="123"/>
        <v>306793293.3229</v>
      </c>
      <c r="M136" s="333">
        <f t="shared" si="124"/>
        <v>0.3317516321097832</v>
      </c>
      <c r="N136" s="228">
        <f>F136+H136</f>
        <v>306793293.3229</v>
      </c>
      <c r="P136" s="253" t="str">
        <f>Q102</f>
        <v>DEVANI</v>
      </c>
      <c r="Q136" s="254">
        <f t="shared" ref="Q136:V136" si="137">Q110</f>
        <v>948480000</v>
      </c>
      <c r="R136" s="255">
        <f t="shared" si="137"/>
        <v>86</v>
      </c>
      <c r="S136" s="256">
        <f t="shared" si="137"/>
        <v>53</v>
      </c>
      <c r="T136" s="254">
        <f t="shared" si="137"/>
        <v>358919991.8926999</v>
      </c>
      <c r="U136" s="231">
        <f t="shared" si="137"/>
        <v>1531531.5315999999</v>
      </c>
      <c r="V136" s="166">
        <f t="shared" si="137"/>
        <v>0</v>
      </c>
      <c r="W136" s="226">
        <f>T136-U136</f>
        <v>357388460.3610999</v>
      </c>
      <c r="X136" s="226">
        <f t="shared" si="126"/>
        <v>-591091539.63890004</v>
      </c>
      <c r="Y136" s="172">
        <f t="shared" si="127"/>
        <v>0.37680126134562658</v>
      </c>
      <c r="Z136" s="171">
        <f t="shared" si="128"/>
        <v>357388460.3610999</v>
      </c>
      <c r="AA136" s="227">
        <f t="shared" si="129"/>
        <v>0.37680126134562658</v>
      </c>
      <c r="AB136" s="228">
        <f>T136+V136</f>
        <v>358919991.8926999</v>
      </c>
    </row>
    <row r="137" spans="2:28" x14ac:dyDescent="0.35">
      <c r="B137" s="352" t="s">
        <v>77</v>
      </c>
      <c r="C137" s="329">
        <f t="shared" ref="C137:H137" si="138">SUM(C132:C136)</f>
        <v>4867200000</v>
      </c>
      <c r="D137" s="178">
        <f>SUM(D132:D136)</f>
        <v>454</v>
      </c>
      <c r="E137" s="178">
        <f t="shared" si="138"/>
        <v>303</v>
      </c>
      <c r="F137" s="334">
        <f>SUM(F132:F136)</f>
        <v>1890417428.4589999</v>
      </c>
      <c r="G137" s="335">
        <f t="shared" si="138"/>
        <v>7003603.6033000005</v>
      </c>
      <c r="H137" s="329">
        <f t="shared" si="138"/>
        <v>0</v>
      </c>
      <c r="I137" s="329">
        <f>SUM(I132:I136)</f>
        <v>1883413824.8557</v>
      </c>
      <c r="J137" s="329">
        <f t="shared" si="121"/>
        <v>-2983786175.1443</v>
      </c>
      <c r="K137" s="305">
        <f t="shared" si="122"/>
        <v>0.38696043410085879</v>
      </c>
      <c r="L137" s="353">
        <f t="shared" si="123"/>
        <v>1883413824.8557</v>
      </c>
      <c r="M137" s="305">
        <f t="shared" si="124"/>
        <v>0.38696043410085879</v>
      </c>
      <c r="P137" s="204" t="s">
        <v>77</v>
      </c>
      <c r="Q137" s="205">
        <f t="shared" ref="Q137:V137" si="139">SUM(Q132:Q136)</f>
        <v>4992000000</v>
      </c>
      <c r="R137" s="312">
        <f>SUM(R132:R136)</f>
        <v>405</v>
      </c>
      <c r="S137" s="206">
        <f t="shared" si="139"/>
        <v>263</v>
      </c>
      <c r="T137" s="205">
        <f t="shared" si="139"/>
        <v>2083028293.6330001</v>
      </c>
      <c r="U137" s="208">
        <f t="shared" si="139"/>
        <v>85452702.702700004</v>
      </c>
      <c r="V137" s="205">
        <f t="shared" si="139"/>
        <v>0</v>
      </c>
      <c r="W137" s="205">
        <f>SUM(W132:W136)</f>
        <v>1997575590.9302998</v>
      </c>
      <c r="X137" s="205">
        <f t="shared" si="126"/>
        <v>-2994424409.0697002</v>
      </c>
      <c r="Y137" s="209">
        <f t="shared" si="127"/>
        <v>0.40015536677289659</v>
      </c>
      <c r="Z137" s="314">
        <f t="shared" si="128"/>
        <v>1997575590.9302998</v>
      </c>
      <c r="AA137" s="209">
        <f t="shared" si="129"/>
        <v>0.40015536677289659</v>
      </c>
    </row>
    <row r="138" spans="2:28" x14ac:dyDescent="0.35">
      <c r="C138" s="202"/>
      <c r="D138" s="245"/>
      <c r="E138" s="245"/>
      <c r="F138" s="245"/>
      <c r="G138" s="245"/>
      <c r="H138" s="245"/>
      <c r="I138" s="245"/>
      <c r="J138" s="245"/>
      <c r="K138" s="245"/>
      <c r="L138" s="197"/>
      <c r="M138" s="246"/>
      <c r="Q138" s="202"/>
      <c r="R138" s="245"/>
      <c r="S138" s="245"/>
      <c r="T138" s="245"/>
      <c r="U138" s="245"/>
      <c r="V138" s="245"/>
      <c r="W138" s="202"/>
      <c r="X138" s="247"/>
      <c r="Y138" s="248"/>
      <c r="Z138" s="197"/>
      <c r="AA138" s="246"/>
    </row>
    <row r="139" spans="2:28" ht="15" customHeight="1" x14ac:dyDescent="0.35"/>
    <row r="140" spans="2:28" ht="15" customHeight="1" x14ac:dyDescent="0.35">
      <c r="B140" s="580" t="s">
        <v>131</v>
      </c>
      <c r="C140" s="581"/>
      <c r="D140" s="581"/>
      <c r="E140" s="581"/>
      <c r="F140" s="581"/>
      <c r="G140" s="581"/>
      <c r="H140" s="581"/>
      <c r="I140" s="581"/>
      <c r="J140" s="581"/>
      <c r="K140" s="581"/>
      <c r="L140" s="581"/>
      <c r="M140" s="582"/>
      <c r="P140" s="580" t="s">
        <v>132</v>
      </c>
      <c r="Q140" s="581"/>
      <c r="R140" s="581"/>
      <c r="S140" s="581"/>
      <c r="T140" s="581"/>
      <c r="U140" s="581"/>
      <c r="V140" s="581"/>
      <c r="W140" s="581"/>
      <c r="X140" s="581"/>
      <c r="Y140" s="581"/>
      <c r="Z140" s="581"/>
      <c r="AA140" s="582"/>
    </row>
    <row r="141" spans="2:28" ht="15" customHeight="1" x14ac:dyDescent="0.35">
      <c r="B141" s="583"/>
      <c r="C141" s="584"/>
      <c r="D141" s="584"/>
      <c r="E141" s="584"/>
      <c r="F141" s="584"/>
      <c r="G141" s="584"/>
      <c r="H141" s="584"/>
      <c r="I141" s="584"/>
      <c r="J141" s="584"/>
      <c r="K141" s="584"/>
      <c r="L141" s="584"/>
      <c r="M141" s="585"/>
      <c r="P141" s="583"/>
      <c r="Q141" s="584"/>
      <c r="R141" s="584"/>
      <c r="S141" s="584"/>
      <c r="T141" s="584"/>
      <c r="U141" s="584"/>
      <c r="V141" s="584"/>
      <c r="W141" s="584"/>
      <c r="X141" s="584"/>
      <c r="Y141" s="584"/>
      <c r="Z141" s="584"/>
      <c r="AA141" s="585"/>
    </row>
    <row r="142" spans="2:28" ht="15" customHeight="1" x14ac:dyDescent="0.35">
      <c r="B142" s="586" t="s">
        <v>133</v>
      </c>
      <c r="C142" s="587" t="s">
        <v>94</v>
      </c>
      <c r="D142" s="586" t="s">
        <v>91</v>
      </c>
      <c r="E142" s="586" t="s">
        <v>62</v>
      </c>
      <c r="F142" s="588" t="str">
        <f>F130</f>
        <v>OMSET MAR
 (1-31)</v>
      </c>
      <c r="G142" s="588" t="s">
        <v>95</v>
      </c>
      <c r="H142" s="587" t="s">
        <v>63</v>
      </c>
      <c r="I142" s="587" t="s">
        <v>64</v>
      </c>
      <c r="J142" s="587" t="s">
        <v>126</v>
      </c>
      <c r="K142" s="586" t="s">
        <v>66</v>
      </c>
      <c r="L142" s="590" t="s">
        <v>127</v>
      </c>
      <c r="M142" s="301" t="s">
        <v>128</v>
      </c>
      <c r="P142" s="601" t="s">
        <v>133</v>
      </c>
      <c r="Q142" s="601" t="s">
        <v>94</v>
      </c>
      <c r="R142" s="602" t="s">
        <v>91</v>
      </c>
      <c r="S142" s="601" t="s">
        <v>62</v>
      </c>
      <c r="T142" s="629" t="str">
        <f>T130</f>
        <v>OMSET MAR
 (1-31)</v>
      </c>
      <c r="U142" s="629" t="s">
        <v>95</v>
      </c>
      <c r="V142" s="603" t="s">
        <v>63</v>
      </c>
      <c r="W142" s="603" t="s">
        <v>64</v>
      </c>
      <c r="X142" s="603" t="s">
        <v>126</v>
      </c>
      <c r="Y142" s="601" t="str">
        <f>Y130</f>
        <v>PERCENTAGE</v>
      </c>
      <c r="Z142" s="579" t="s">
        <v>127</v>
      </c>
      <c r="AA142" s="310" t="s">
        <v>128</v>
      </c>
    </row>
    <row r="143" spans="2:28" x14ac:dyDescent="0.35">
      <c r="B143" s="586"/>
      <c r="C143" s="587"/>
      <c r="D143" s="586"/>
      <c r="E143" s="586"/>
      <c r="F143" s="588"/>
      <c r="G143" s="588"/>
      <c r="H143" s="587"/>
      <c r="I143" s="587"/>
      <c r="J143" s="587"/>
      <c r="K143" s="586"/>
      <c r="L143" s="590"/>
      <c r="M143" s="302">
        <f>M131</f>
        <v>1</v>
      </c>
      <c r="P143" s="601"/>
      <c r="Q143" s="601"/>
      <c r="R143" s="602"/>
      <c r="S143" s="601"/>
      <c r="T143" s="629"/>
      <c r="U143" s="629"/>
      <c r="V143" s="603"/>
      <c r="W143" s="603"/>
      <c r="X143" s="603"/>
      <c r="Y143" s="601"/>
      <c r="Z143" s="579"/>
      <c r="AA143" s="311">
        <f>K4</f>
        <v>1</v>
      </c>
    </row>
    <row r="144" spans="2:28" x14ac:dyDescent="0.35">
      <c r="B144" s="257" t="s">
        <v>134</v>
      </c>
      <c r="C144" s="166">
        <f t="shared" ref="C144:H144" si="140">C125</f>
        <v>7612800000</v>
      </c>
      <c r="D144" s="167">
        <f t="shared" si="140"/>
        <v>527</v>
      </c>
      <c r="E144" s="222">
        <f t="shared" si="140"/>
        <v>347</v>
      </c>
      <c r="F144" s="223">
        <f t="shared" si="140"/>
        <v>3381171501.0106001</v>
      </c>
      <c r="G144" s="224">
        <f t="shared" si="140"/>
        <v>6651801.8015000001</v>
      </c>
      <c r="H144" s="166">
        <f t="shared" si="140"/>
        <v>0</v>
      </c>
      <c r="I144" s="166">
        <f>F144-G144</f>
        <v>3374519699.2091002</v>
      </c>
      <c r="J144" s="166">
        <f>I144-C144</f>
        <v>-4238280300.7908998</v>
      </c>
      <c r="K144" s="172">
        <f>I144/C144</f>
        <v>0.443269191258026</v>
      </c>
      <c r="L144" s="226">
        <f>H144+I144</f>
        <v>3374519699.2091002</v>
      </c>
      <c r="M144" s="227">
        <f>L144/C144</f>
        <v>0.443269191258026</v>
      </c>
      <c r="P144" s="257" t="s">
        <v>135</v>
      </c>
      <c r="Q144" s="166">
        <f t="shared" ref="Q144:V144" si="141">Q125</f>
        <v>7488000000</v>
      </c>
      <c r="R144" s="230">
        <f t="shared" si="141"/>
        <v>411</v>
      </c>
      <c r="S144" s="167">
        <f t="shared" si="141"/>
        <v>248</v>
      </c>
      <c r="T144" s="223">
        <f t="shared" si="141"/>
        <v>2479523794.2728</v>
      </c>
      <c r="U144" s="224">
        <f t="shared" si="141"/>
        <v>228110360.36160001</v>
      </c>
      <c r="V144" s="166">
        <f t="shared" si="141"/>
        <v>0</v>
      </c>
      <c r="W144" s="166">
        <f>T144-U144</f>
        <v>2251413433.9112</v>
      </c>
      <c r="X144" s="166">
        <f>W144-Q144</f>
        <v>-5236586566.0888004</v>
      </c>
      <c r="Y144" s="172">
        <f>Y125</f>
        <v>0.30066952910138889</v>
      </c>
      <c r="Z144" s="171">
        <f>V144+W144</f>
        <v>2251413433.9112</v>
      </c>
      <c r="AA144" s="227">
        <f>Z144/Q144</f>
        <v>0.30066952910138889</v>
      </c>
    </row>
    <row r="145" spans="2:27" x14ac:dyDescent="0.35">
      <c r="B145" s="257" t="s">
        <v>136</v>
      </c>
      <c r="C145" s="166">
        <f t="shared" ref="C145:H145" si="142">C137</f>
        <v>4867200000</v>
      </c>
      <c r="D145" s="167">
        <f t="shared" si="142"/>
        <v>454</v>
      </c>
      <c r="E145" s="222">
        <f t="shared" si="142"/>
        <v>303</v>
      </c>
      <c r="F145" s="223">
        <f t="shared" si="142"/>
        <v>1890417428.4589999</v>
      </c>
      <c r="G145" s="224">
        <f t="shared" si="142"/>
        <v>7003603.6033000005</v>
      </c>
      <c r="H145" s="166">
        <f t="shared" si="142"/>
        <v>0</v>
      </c>
      <c r="I145" s="166">
        <f>F145-G145</f>
        <v>1883413824.8556998</v>
      </c>
      <c r="J145" s="166">
        <f>I145-C145</f>
        <v>-2983786175.1443005</v>
      </c>
      <c r="K145" s="172">
        <f>I145/C145</f>
        <v>0.38696043410085879</v>
      </c>
      <c r="L145" s="226">
        <f>H145+I145</f>
        <v>1883413824.8556998</v>
      </c>
      <c r="M145" s="227">
        <f>L145/C145</f>
        <v>0.38696043410085879</v>
      </c>
      <c r="P145" s="257" t="s">
        <v>137</v>
      </c>
      <c r="Q145" s="166">
        <f t="shared" ref="Q145:V145" si="143">Q137</f>
        <v>4992000000</v>
      </c>
      <c r="R145" s="230">
        <f t="shared" si="143"/>
        <v>405</v>
      </c>
      <c r="S145" s="167">
        <f t="shared" si="143"/>
        <v>263</v>
      </c>
      <c r="T145" s="223">
        <f t="shared" si="143"/>
        <v>2083028293.6330001</v>
      </c>
      <c r="U145" s="224">
        <f t="shared" si="143"/>
        <v>85452702.702700004</v>
      </c>
      <c r="V145" s="166">
        <f t="shared" si="143"/>
        <v>0</v>
      </c>
      <c r="W145" s="166">
        <f>T145-U145</f>
        <v>1997575590.9303002</v>
      </c>
      <c r="X145" s="166">
        <f>W145-Q145</f>
        <v>-2994424409.0696998</v>
      </c>
      <c r="Y145" s="172">
        <f>Y137</f>
        <v>0.40015536677289659</v>
      </c>
      <c r="Z145" s="171">
        <f>V145+W145</f>
        <v>1997575590.9303002</v>
      </c>
      <c r="AA145" s="227">
        <f>Z145/Q145</f>
        <v>0.4001553667728967</v>
      </c>
    </row>
    <row r="146" spans="2:27" x14ac:dyDescent="0.35">
      <c r="B146" s="175" t="s">
        <v>77</v>
      </c>
      <c r="C146" s="176">
        <f>SUM(C144:C145)</f>
        <v>12480000000</v>
      </c>
      <c r="D146" s="177">
        <f t="shared" ref="D146:I146" si="144">SUM(D144:D145)</f>
        <v>981</v>
      </c>
      <c r="E146" s="178">
        <f t="shared" si="144"/>
        <v>650</v>
      </c>
      <c r="F146" s="303">
        <f t="shared" si="144"/>
        <v>5271588929.4695997</v>
      </c>
      <c r="G146" s="304">
        <f t="shared" si="144"/>
        <v>13655405.404800002</v>
      </c>
      <c r="H146" s="176">
        <f t="shared" si="144"/>
        <v>0</v>
      </c>
      <c r="I146" s="176">
        <f t="shared" si="144"/>
        <v>5257933524.0648003</v>
      </c>
      <c r="J146" s="176">
        <f>I146-C146</f>
        <v>-7222066475.9351997</v>
      </c>
      <c r="K146" s="306">
        <f>I146/C146</f>
        <v>0.42130877596673078</v>
      </c>
      <c r="L146" s="353">
        <f>H146+I146</f>
        <v>5257933524.0648003</v>
      </c>
      <c r="M146" s="180">
        <f>L146/C146</f>
        <v>0.42130877596673078</v>
      </c>
      <c r="P146" s="204" t="s">
        <v>77</v>
      </c>
      <c r="Q146" s="205">
        <f t="shared" ref="Q146:W146" si="145">SUM(Q144:Q145)</f>
        <v>12480000000</v>
      </c>
      <c r="R146" s="312">
        <f t="shared" si="145"/>
        <v>816</v>
      </c>
      <c r="S146" s="206">
        <f t="shared" si="145"/>
        <v>511</v>
      </c>
      <c r="T146" s="315">
        <f t="shared" si="145"/>
        <v>4562552087.9057999</v>
      </c>
      <c r="U146" s="316">
        <f t="shared" si="145"/>
        <v>313563063.0643</v>
      </c>
      <c r="V146" s="205">
        <f t="shared" si="145"/>
        <v>0</v>
      </c>
      <c r="W146" s="205">
        <f t="shared" si="145"/>
        <v>4248989024.8415003</v>
      </c>
      <c r="X146" s="205">
        <f>W146-Q146</f>
        <v>-8231010975.1584997</v>
      </c>
      <c r="Y146" s="317">
        <f>W146/Q146</f>
        <v>0.34046386416999203</v>
      </c>
      <c r="Z146" s="314">
        <f>V146+W146</f>
        <v>4248989024.8415003</v>
      </c>
      <c r="AA146" s="209">
        <f>Z146/Q146</f>
        <v>0.34046386416999203</v>
      </c>
    </row>
  </sheetData>
  <mergeCells count="192">
    <mergeCell ref="A36:A44"/>
    <mergeCell ref="D36:D37"/>
    <mergeCell ref="E36:E37"/>
    <mergeCell ref="D58:D59"/>
    <mergeCell ref="E58:E59"/>
    <mergeCell ref="A58:A66"/>
    <mergeCell ref="A47:A55"/>
    <mergeCell ref="D47:D48"/>
    <mergeCell ref="E47:E48"/>
    <mergeCell ref="A3:A11"/>
    <mergeCell ref="D3:D4"/>
    <mergeCell ref="E3:E4"/>
    <mergeCell ref="F3:I3"/>
    <mergeCell ref="J3:J4"/>
    <mergeCell ref="O3:O11"/>
    <mergeCell ref="R3:R4"/>
    <mergeCell ref="A25:A33"/>
    <mergeCell ref="D25:D26"/>
    <mergeCell ref="E25:E26"/>
    <mergeCell ref="F25:I25"/>
    <mergeCell ref="J25:J26"/>
    <mergeCell ref="O25:O33"/>
    <mergeCell ref="R25:R26"/>
    <mergeCell ref="A14:A22"/>
    <mergeCell ref="D14:D15"/>
    <mergeCell ref="E14:E15"/>
    <mergeCell ref="D12:H12"/>
    <mergeCell ref="R12:V12"/>
    <mergeCell ref="D23:H23"/>
    <mergeCell ref="R23:V23"/>
    <mergeCell ref="S3:S4"/>
    <mergeCell ref="T3:W3"/>
    <mergeCell ref="A102:A110"/>
    <mergeCell ref="A91:A99"/>
    <mergeCell ref="D91:D92"/>
    <mergeCell ref="E91:E92"/>
    <mergeCell ref="D80:D81"/>
    <mergeCell ref="E80:E81"/>
    <mergeCell ref="A80:A88"/>
    <mergeCell ref="A69:A77"/>
    <mergeCell ref="D69:D70"/>
    <mergeCell ref="E69:E70"/>
    <mergeCell ref="D89:H89"/>
    <mergeCell ref="D78:H78"/>
    <mergeCell ref="O80:O88"/>
    <mergeCell ref="R80:R81"/>
    <mergeCell ref="S80:S81"/>
    <mergeCell ref="T80:W80"/>
    <mergeCell ref="X80:X81"/>
    <mergeCell ref="F80:I80"/>
    <mergeCell ref="J80:J81"/>
    <mergeCell ref="D102:D103"/>
    <mergeCell ref="E102:E103"/>
    <mergeCell ref="F91:I91"/>
    <mergeCell ref="J91:J92"/>
    <mergeCell ref="O91:O99"/>
    <mergeCell ref="R91:R92"/>
    <mergeCell ref="S91:S92"/>
    <mergeCell ref="T91:W91"/>
    <mergeCell ref="X91:X92"/>
    <mergeCell ref="F102:I102"/>
    <mergeCell ref="J102:J103"/>
    <mergeCell ref="O102:O110"/>
    <mergeCell ref="R102:R103"/>
    <mergeCell ref="S102:S103"/>
    <mergeCell ref="T102:W102"/>
    <mergeCell ref="X102:X103"/>
    <mergeCell ref="X3:X4"/>
    <mergeCell ref="F14:I14"/>
    <mergeCell ref="J14:J15"/>
    <mergeCell ref="O14:O22"/>
    <mergeCell ref="R14:R15"/>
    <mergeCell ref="S14:S15"/>
    <mergeCell ref="T14:W14"/>
    <mergeCell ref="X14:X15"/>
    <mergeCell ref="X69:X70"/>
    <mergeCell ref="S25:S26"/>
    <mergeCell ref="T25:W25"/>
    <mergeCell ref="X25:X26"/>
    <mergeCell ref="F36:I36"/>
    <mergeCell ref="J36:J37"/>
    <mergeCell ref="O36:O44"/>
    <mergeCell ref="R36:R37"/>
    <mergeCell ref="S36:S37"/>
    <mergeCell ref="X36:X37"/>
    <mergeCell ref="S47:S48"/>
    <mergeCell ref="T47:W47"/>
    <mergeCell ref="F69:I69"/>
    <mergeCell ref="J69:J70"/>
    <mergeCell ref="O69:O77"/>
    <mergeCell ref="R69:R70"/>
    <mergeCell ref="S69:S70"/>
    <mergeCell ref="T69:W69"/>
    <mergeCell ref="X47:X48"/>
    <mergeCell ref="F58:I58"/>
    <mergeCell ref="J58:J59"/>
    <mergeCell ref="O58:O66"/>
    <mergeCell ref="X58:X59"/>
    <mergeCell ref="F47:I47"/>
    <mergeCell ref="J47:J48"/>
    <mergeCell ref="O47:O55"/>
    <mergeCell ref="R47:R48"/>
    <mergeCell ref="R58:R59"/>
    <mergeCell ref="S58:S59"/>
    <mergeCell ref="T58:W58"/>
    <mergeCell ref="T36:W36"/>
    <mergeCell ref="D34:H34"/>
    <mergeCell ref="R34:V34"/>
    <mergeCell ref="D45:H45"/>
    <mergeCell ref="R45:V45"/>
    <mergeCell ref="D56:H56"/>
    <mergeCell ref="R56:V56"/>
    <mergeCell ref="D67:H67"/>
    <mergeCell ref="R67:V67"/>
    <mergeCell ref="B128:M129"/>
    <mergeCell ref="B130:B131"/>
    <mergeCell ref="C130:C131"/>
    <mergeCell ref="D130:D131"/>
    <mergeCell ref="E130:E131"/>
    <mergeCell ref="R78:V78"/>
    <mergeCell ref="R89:V89"/>
    <mergeCell ref="D100:H100"/>
    <mergeCell ref="R100:V100"/>
    <mergeCell ref="D111:H111"/>
    <mergeCell ref="R111:V111"/>
    <mergeCell ref="B116:M117"/>
    <mergeCell ref="P116:AA117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J119"/>
    <mergeCell ref="K118:K119"/>
    <mergeCell ref="L118:L119"/>
    <mergeCell ref="U118:U119"/>
    <mergeCell ref="V118:V119"/>
    <mergeCell ref="W118:W119"/>
    <mergeCell ref="X118:X119"/>
    <mergeCell ref="Y118:Y119"/>
    <mergeCell ref="P128:AA129"/>
    <mergeCell ref="R130:R131"/>
    <mergeCell ref="S130:S131"/>
    <mergeCell ref="T130:T131"/>
    <mergeCell ref="U130:U131"/>
    <mergeCell ref="V130:V131"/>
    <mergeCell ref="W130:W131"/>
    <mergeCell ref="X130:X131"/>
    <mergeCell ref="Y130:Y131"/>
    <mergeCell ref="Z130:Z131"/>
    <mergeCell ref="Z118:Z119"/>
    <mergeCell ref="P118:P119"/>
    <mergeCell ref="Q118:Q119"/>
    <mergeCell ref="R118:R119"/>
    <mergeCell ref="S118:S119"/>
    <mergeCell ref="T118:T119"/>
    <mergeCell ref="F130:F131"/>
    <mergeCell ref="G130:G131"/>
    <mergeCell ref="H130:H131"/>
    <mergeCell ref="I130:I131"/>
    <mergeCell ref="J130:J131"/>
    <mergeCell ref="K130:K131"/>
    <mergeCell ref="L130:L131"/>
    <mergeCell ref="P130:P131"/>
    <mergeCell ref="Q130:Q131"/>
    <mergeCell ref="B140:M141"/>
    <mergeCell ref="P140:AA141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L142:L143"/>
    <mergeCell ref="P142:P143"/>
    <mergeCell ref="Q142:Q143"/>
    <mergeCell ref="R142:R143"/>
    <mergeCell ref="S142:S143"/>
    <mergeCell ref="T142:T143"/>
    <mergeCell ref="U142:U143"/>
    <mergeCell ref="V142:V143"/>
    <mergeCell ref="W142:W143"/>
    <mergeCell ref="X142:X143"/>
    <mergeCell ref="Y142:Y143"/>
    <mergeCell ref="Z142:Z143"/>
  </mergeCells>
  <phoneticPr fontId="9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44CD-7F33-4086-AE1F-6398D7A8D340}">
  <sheetPr>
    <tabColor rgb="FFFFFF00"/>
  </sheetPr>
  <dimension ref="A1:AI146"/>
  <sheetViews>
    <sheetView showGridLines="0" topLeftCell="B116" zoomScale="101" zoomScaleNormal="70" workbookViewId="0">
      <selection activeCell="L120" sqref="L120"/>
    </sheetView>
  </sheetViews>
  <sheetFormatPr defaultColWidth="8.7265625" defaultRowHeight="14.5" x14ac:dyDescent="0.35"/>
  <cols>
    <col min="1" max="1" width="8.7265625" style="194"/>
    <col min="2" max="2" width="17" style="194" customWidth="1"/>
    <col min="3" max="3" width="14.81640625" style="186" bestFit="1" customWidth="1"/>
    <col min="4" max="4" width="8.1796875" style="187" customWidth="1"/>
    <col min="5" max="5" width="8" style="188" customWidth="1"/>
    <col min="6" max="6" width="16.1796875" style="189" customWidth="1"/>
    <col min="7" max="7" width="16.1796875" style="190" customWidth="1"/>
    <col min="8" max="9" width="16.1796875" style="186" customWidth="1"/>
    <col min="10" max="10" width="15.1796875" style="191" customWidth="1"/>
    <col min="11" max="11" width="16.1796875" style="187" customWidth="1"/>
    <col min="12" max="12" width="15.1796875" style="192" customWidth="1"/>
    <col min="13" max="13" width="18.7265625" style="186" bestFit="1" customWidth="1"/>
    <col min="14" max="14" width="18.54296875" style="194" customWidth="1"/>
    <col min="15" max="15" width="11.81640625" style="194" bestFit="1" customWidth="1"/>
    <col min="16" max="16" width="17.1796875" style="194" customWidth="1"/>
    <col min="17" max="17" width="15.1796875" style="187" customWidth="1"/>
    <col min="18" max="18" width="8.1796875" style="195" customWidth="1"/>
    <col min="19" max="19" width="8.1796875" style="187" customWidth="1"/>
    <col min="20" max="20" width="15.1796875" style="189" customWidth="1"/>
    <col min="21" max="21" width="15.1796875" style="190" customWidth="1"/>
    <col min="22" max="24" width="15.1796875" style="186" customWidth="1"/>
    <col min="25" max="25" width="16.1796875" style="187" customWidth="1"/>
    <col min="26" max="26" width="15.1796875" style="186" customWidth="1"/>
    <col min="27" max="27" width="18.54296875" style="196" customWidth="1"/>
    <col min="28" max="28" width="14" style="194" bestFit="1" customWidth="1"/>
    <col min="29" max="29" width="12.54296875" style="194" customWidth="1"/>
    <col min="30" max="30" width="13" style="194" bestFit="1" customWidth="1"/>
    <col min="31" max="33" width="9.1796875" style="194" hidden="1" customWidth="1"/>
    <col min="34" max="34" width="7.7265625" style="194" hidden="1" customWidth="1"/>
    <col min="35" max="35" width="22.1796875" style="194" hidden="1" customWidth="1"/>
    <col min="36" max="36" width="24.1796875" style="194" customWidth="1"/>
    <col min="37" max="37" width="16" style="194" customWidth="1"/>
    <col min="38" max="38" width="12.54296875" style="194" bestFit="1" customWidth="1"/>
    <col min="39" max="40" width="18.26953125" style="194" customWidth="1"/>
    <col min="41" max="41" width="12.54296875" style="194" bestFit="1" customWidth="1"/>
    <col min="42" max="42" width="13.81640625" style="194" bestFit="1" customWidth="1"/>
    <col min="43" max="43" width="14.54296875" style="194" customWidth="1"/>
    <col min="44" max="16384" width="8.7265625" style="194"/>
  </cols>
  <sheetData>
    <row r="1" spans="1:28" ht="15" thickBot="1" x14ac:dyDescent="0.4">
      <c r="A1" s="184" t="s">
        <v>88</v>
      </c>
      <c r="B1" s="185">
        <v>46142</v>
      </c>
      <c r="C1" s="186">
        <v>19</v>
      </c>
      <c r="D1" s="187">
        <v>26</v>
      </c>
    </row>
    <row r="2" spans="1:28" ht="15" thickBot="1" x14ac:dyDescent="0.4">
      <c r="G2" s="190" t="s">
        <v>89</v>
      </c>
      <c r="W2" s="194"/>
    </row>
    <row r="3" spans="1:28" ht="19.5" customHeight="1" x14ac:dyDescent="0.35">
      <c r="A3" s="627">
        <v>1</v>
      </c>
      <c r="B3" s="352" t="s">
        <v>57</v>
      </c>
      <c r="C3" s="353" t="s">
        <v>90</v>
      </c>
      <c r="D3" s="616" t="s">
        <v>91</v>
      </c>
      <c r="E3" s="616" t="s">
        <v>62</v>
      </c>
      <c r="F3" s="604" t="s">
        <v>92</v>
      </c>
      <c r="G3" s="605"/>
      <c r="H3" s="605"/>
      <c r="I3" s="606"/>
      <c r="J3" s="587" t="s">
        <v>65</v>
      </c>
      <c r="K3" s="352" t="s">
        <v>66</v>
      </c>
      <c r="O3" s="613">
        <v>1</v>
      </c>
      <c r="P3" s="354" t="s">
        <v>57</v>
      </c>
      <c r="Q3" s="355" t="s">
        <v>159</v>
      </c>
      <c r="R3" s="591" t="s">
        <v>91</v>
      </c>
      <c r="S3" s="591" t="s">
        <v>62</v>
      </c>
      <c r="T3" s="610" t="s">
        <v>92</v>
      </c>
      <c r="U3" s="611"/>
      <c r="V3" s="611"/>
      <c r="W3" s="612"/>
      <c r="X3" s="595" t="s">
        <v>65</v>
      </c>
      <c r="Y3" s="354" t="s">
        <v>66</v>
      </c>
    </row>
    <row r="4" spans="1:28" s="199" customFormat="1" ht="36" customHeight="1" x14ac:dyDescent="0.35">
      <c r="A4" s="628"/>
      <c r="B4" s="352" t="s">
        <v>93</v>
      </c>
      <c r="C4" s="353" t="s">
        <v>94</v>
      </c>
      <c r="D4" s="617"/>
      <c r="E4" s="617"/>
      <c r="F4" s="163" t="str">
        <f>"OMSET "&amp;UPPER(TEXT($B$1,"MMM"))&amp;CHAR(10)&amp;" (1-"&amp;DAY($B$1)&amp;")"</f>
        <v>OMSET APR
 (1-30)</v>
      </c>
      <c r="G4" s="163" t="s">
        <v>95</v>
      </c>
      <c r="H4" s="353" t="s">
        <v>63</v>
      </c>
      <c r="I4" s="353" t="s">
        <v>64</v>
      </c>
      <c r="J4" s="587"/>
      <c r="K4" s="164">
        <f>100/DAY(EOMONTH($B$1,0))*DAY($B$1)/100</f>
        <v>1</v>
      </c>
      <c r="L4" s="197"/>
      <c r="M4" s="202"/>
      <c r="O4" s="614"/>
      <c r="P4" s="354" t="s">
        <v>93</v>
      </c>
      <c r="Q4" s="355" t="s">
        <v>94</v>
      </c>
      <c r="R4" s="592"/>
      <c r="S4" s="592"/>
      <c r="T4" s="200" t="str">
        <f>F4</f>
        <v>OMSET APR
 (1-30)</v>
      </c>
      <c r="U4" s="200" t="str">
        <f>G4</f>
        <v>OMSET PRODUK</v>
      </c>
      <c r="V4" s="355" t="s">
        <v>63</v>
      </c>
      <c r="W4" s="355" t="s">
        <v>64</v>
      </c>
      <c r="X4" s="596"/>
      <c r="Y4" s="201">
        <f>K4</f>
        <v>1</v>
      </c>
      <c r="Z4" s="202"/>
      <c r="AA4" s="203"/>
    </row>
    <row r="5" spans="1:28" x14ac:dyDescent="0.35">
      <c r="A5" s="628"/>
      <c r="B5" s="325" t="s">
        <v>96</v>
      </c>
      <c r="C5" s="326">
        <v>184991040</v>
      </c>
      <c r="D5" s="222">
        <v>16</v>
      </c>
      <c r="E5" s="308">
        <v>15</v>
      </c>
      <c r="F5" s="169">
        <v>117290511.69860005</v>
      </c>
      <c r="G5" s="169">
        <v>395000</v>
      </c>
      <c r="H5" s="326"/>
      <c r="I5" s="326">
        <f t="shared" ref="I5:I11" si="0">F5-G5</f>
        <v>116895511.69860005</v>
      </c>
      <c r="J5" s="226">
        <f t="shared" ref="J5:J10" si="1">I5-C5</f>
        <v>-68095528.301399946</v>
      </c>
      <c r="K5" s="172">
        <f t="shared" ref="K5:K12" si="2">I5/C5</f>
        <v>0.63189823517182264</v>
      </c>
      <c r="L5" s="369" t="str">
        <f>IF(K5&gt;120%,"0,55%",IF(K5&gt;100%,"0,45%",IF(K5&gt;80%,"0,35%",IF(K5&gt;60%,"0,2%",IF(K5&gt;40%,"0,15%",0)))))</f>
        <v>0,2%</v>
      </c>
      <c r="M5" s="186">
        <f>L5*I5</f>
        <v>233791.0233972001</v>
      </c>
      <c r="O5" s="614"/>
      <c r="P5" s="165" t="s">
        <v>96</v>
      </c>
      <c r="Q5" s="326">
        <v>227448000</v>
      </c>
      <c r="R5" s="222">
        <v>11</v>
      </c>
      <c r="S5" s="308">
        <v>12</v>
      </c>
      <c r="T5" s="169">
        <v>266404447.74789983</v>
      </c>
      <c r="U5" s="169">
        <v>7666681.0810000002</v>
      </c>
      <c r="V5" s="326"/>
      <c r="W5" s="166">
        <f t="shared" ref="W5:W11" si="3">T5-U5</f>
        <v>258737766.66689983</v>
      </c>
      <c r="X5" s="171">
        <f>W5-Q5</f>
        <v>31289766.66689983</v>
      </c>
      <c r="Y5" s="172">
        <f>W5/Q5</f>
        <v>1.1375688802139383</v>
      </c>
      <c r="Z5" s="369" t="str">
        <f>IF(Y5&gt;120%,"0,55%",IF(Y5&gt;100%,"0,45%",IF(Y5&gt;80%,"0,35%",IF(Y5&gt;60%,"0,2%",IF(Y5&gt;40%,"0,15%",0)))))</f>
        <v>0,45%</v>
      </c>
      <c r="AA5" s="186">
        <f>Z5*W5</f>
        <v>1164319.9500010491</v>
      </c>
    </row>
    <row r="6" spans="1:28" x14ac:dyDescent="0.35">
      <c r="A6" s="628"/>
      <c r="B6" s="325" t="s">
        <v>97</v>
      </c>
      <c r="C6" s="327">
        <v>308318400</v>
      </c>
      <c r="D6" s="222">
        <v>16</v>
      </c>
      <c r="E6" s="308">
        <v>17</v>
      </c>
      <c r="F6" s="169">
        <v>265365419.40609986</v>
      </c>
      <c r="G6" s="328">
        <v>1465000</v>
      </c>
      <c r="H6" s="327"/>
      <c r="I6" s="326">
        <f t="shared" si="0"/>
        <v>263900419.40609986</v>
      </c>
      <c r="J6" s="226">
        <f t="shared" si="1"/>
        <v>-44417980.593900144</v>
      </c>
      <c r="K6" s="172">
        <f t="shared" si="2"/>
        <v>0.85593470712776099</v>
      </c>
      <c r="L6" s="369" t="str">
        <f t="shared" ref="L6:L9" si="4">IF(K6&gt;120%,"0,55%",IF(K6&gt;100%,"0,45%",IF(K6&gt;80%,"0,35%",IF(K6&gt;60%,"0,2%",IF(K6&gt;40%,"0,15%",0)))))</f>
        <v>0,35%</v>
      </c>
      <c r="M6" s="186">
        <f t="shared" ref="M6:M10" si="5">L6*I6</f>
        <v>923651.46792134957</v>
      </c>
      <c r="O6" s="614"/>
      <c r="P6" s="165" t="s">
        <v>97</v>
      </c>
      <c r="Q6" s="327">
        <v>176904000.00000003</v>
      </c>
      <c r="R6" s="222">
        <v>10</v>
      </c>
      <c r="S6" s="308">
        <v>8</v>
      </c>
      <c r="T6" s="169">
        <v>102919711.71170004</v>
      </c>
      <c r="U6" s="328">
        <v>4189189.1891999999</v>
      </c>
      <c r="V6" s="327"/>
      <c r="W6" s="166">
        <f t="shared" si="3"/>
        <v>98730522.522500038</v>
      </c>
      <c r="X6" s="171">
        <f>W6-Q6</f>
        <v>-78173477.477499992</v>
      </c>
      <c r="Y6" s="172">
        <f>W6/Q6</f>
        <v>0.55810226180583833</v>
      </c>
      <c r="Z6" s="369" t="str">
        <f t="shared" ref="Z6:Z10" si="6">IF(Y6&gt;120%,"0,55%",IF(Y6&gt;100%,"0,45%",IF(Y6&gt;80%,"0,35%",IF(Y6&gt;60%,"0,2%",IF(Y6&gt;40%,"0,15%",0)))))</f>
        <v>0,15%</v>
      </c>
      <c r="AA6" s="186">
        <f t="shared" ref="AA6:AA10" si="7">Z6*W6</f>
        <v>148095.78378375006</v>
      </c>
    </row>
    <row r="7" spans="1:28" x14ac:dyDescent="0.35">
      <c r="A7" s="628"/>
      <c r="B7" s="325" t="s">
        <v>98</v>
      </c>
      <c r="C7" s="327">
        <v>123327360</v>
      </c>
      <c r="D7" s="222">
        <v>16</v>
      </c>
      <c r="E7" s="308">
        <v>11</v>
      </c>
      <c r="F7" s="169">
        <v>85560821.621699989</v>
      </c>
      <c r="G7" s="169"/>
      <c r="H7" s="327"/>
      <c r="I7" s="326">
        <f t="shared" si="0"/>
        <v>85560821.621699989</v>
      </c>
      <c r="J7" s="226">
        <f t="shared" si="1"/>
        <v>-37766538.378300011</v>
      </c>
      <c r="K7" s="172">
        <f t="shared" si="2"/>
        <v>0.69376999249558235</v>
      </c>
      <c r="L7" s="369" t="str">
        <f t="shared" si="4"/>
        <v>0,2%</v>
      </c>
      <c r="M7" s="186">
        <f t="shared" si="5"/>
        <v>171121.64324339997</v>
      </c>
      <c r="O7" s="614"/>
      <c r="P7" s="165" t="s">
        <v>98</v>
      </c>
      <c r="Q7" s="327">
        <v>202176000</v>
      </c>
      <c r="R7" s="222">
        <v>12</v>
      </c>
      <c r="S7" s="308">
        <v>9</v>
      </c>
      <c r="T7" s="169">
        <v>82642523.873700023</v>
      </c>
      <c r="U7" s="169">
        <v>2943228.8289000001</v>
      </c>
      <c r="V7" s="327"/>
      <c r="W7" s="166">
        <f t="shared" si="3"/>
        <v>79699295.044800028</v>
      </c>
      <c r="X7" s="171">
        <f t="shared" ref="X7:X11" si="8">W7-Q7</f>
        <v>-122476704.95519997</v>
      </c>
      <c r="Y7" s="172">
        <f t="shared" ref="Y7:Y11" si="9">W7/Q7</f>
        <v>0.3942074976495728</v>
      </c>
      <c r="Z7" s="369">
        <f t="shared" si="6"/>
        <v>0</v>
      </c>
      <c r="AA7" s="186">
        <f t="shared" si="7"/>
        <v>0</v>
      </c>
    </row>
    <row r="8" spans="1:28" x14ac:dyDescent="0.35">
      <c r="A8" s="628"/>
      <c r="B8" s="325" t="s">
        <v>99</v>
      </c>
      <c r="C8" s="327">
        <v>169575120</v>
      </c>
      <c r="D8" s="222">
        <v>16</v>
      </c>
      <c r="E8" s="308">
        <v>9</v>
      </c>
      <c r="F8" s="169">
        <v>66446828.378700003</v>
      </c>
      <c r="G8" s="169"/>
      <c r="H8" s="327"/>
      <c r="I8" s="326">
        <f>F8-G8</f>
        <v>66446828.378700003</v>
      </c>
      <c r="J8" s="226">
        <f t="shared" si="1"/>
        <v>-103128291.6213</v>
      </c>
      <c r="K8" s="172">
        <f>I8/C8</f>
        <v>0.39184302731851228</v>
      </c>
      <c r="L8" s="369">
        <f>IF(K8&gt;120%,"0,55%",IF(K8&gt;100%,"0,45%",IF(K8&gt;80%,"0,35%",IF(K8&gt;60%,"0,2%",IF(K8&gt;40%,"0,15%",0)))))</f>
        <v>0</v>
      </c>
      <c r="M8" s="186">
        <f>L8*I8</f>
        <v>0</v>
      </c>
      <c r="O8" s="614"/>
      <c r="P8" s="165" t="s">
        <v>99</v>
      </c>
      <c r="Q8" s="327">
        <v>391716000</v>
      </c>
      <c r="R8" s="222">
        <v>18</v>
      </c>
      <c r="S8" s="308">
        <v>19</v>
      </c>
      <c r="T8" s="169">
        <v>318181874.77590007</v>
      </c>
      <c r="U8" s="169">
        <v>5991005.4055000003</v>
      </c>
      <c r="V8" s="327"/>
      <c r="W8" s="166">
        <f t="shared" si="3"/>
        <v>312190869.37040007</v>
      </c>
      <c r="X8" s="171">
        <f t="shared" si="8"/>
        <v>-79525130.629599929</v>
      </c>
      <c r="Y8" s="172">
        <f t="shared" si="9"/>
        <v>0.79698268482880474</v>
      </c>
      <c r="Z8" s="369" t="str">
        <f t="shared" si="6"/>
        <v>0,2%</v>
      </c>
      <c r="AA8" s="186">
        <f t="shared" si="7"/>
        <v>624381.73874080018</v>
      </c>
    </row>
    <row r="9" spans="1:28" x14ac:dyDescent="0.35">
      <c r="A9" s="628"/>
      <c r="B9" s="325" t="s">
        <v>100</v>
      </c>
      <c r="C9" s="327">
        <v>231238800</v>
      </c>
      <c r="D9" s="222">
        <v>11</v>
      </c>
      <c r="E9" s="308">
        <v>9</v>
      </c>
      <c r="F9" s="169">
        <v>192743551.29729998</v>
      </c>
      <c r="G9" s="169">
        <v>675000</v>
      </c>
      <c r="H9" s="327"/>
      <c r="I9" s="326">
        <f>F9-G9</f>
        <v>192068551.29729998</v>
      </c>
      <c r="J9" s="226">
        <f t="shared" si="1"/>
        <v>-39170248.702700019</v>
      </c>
      <c r="K9" s="172">
        <f t="shared" si="2"/>
        <v>0.8306069366269847</v>
      </c>
      <c r="L9" s="369" t="str">
        <f t="shared" si="4"/>
        <v>0,35%</v>
      </c>
      <c r="M9" s="186">
        <f t="shared" si="5"/>
        <v>672239.92954054999</v>
      </c>
      <c r="O9" s="614"/>
      <c r="P9" s="165" t="s">
        <v>100</v>
      </c>
      <c r="Q9" s="327">
        <v>138996000</v>
      </c>
      <c r="R9" s="222">
        <v>11</v>
      </c>
      <c r="S9" s="308">
        <v>11</v>
      </c>
      <c r="T9" s="169">
        <v>76705157.658100039</v>
      </c>
      <c r="U9" s="169">
        <v>324324.32429999998</v>
      </c>
      <c r="V9" s="327"/>
      <c r="W9" s="166">
        <f t="shared" si="3"/>
        <v>76380833.333800033</v>
      </c>
      <c r="X9" s="171">
        <f t="shared" si="8"/>
        <v>-62615166.666199967</v>
      </c>
      <c r="Y9" s="172">
        <f t="shared" si="9"/>
        <v>0.54951821155860625</v>
      </c>
      <c r="Z9" s="369" t="str">
        <f t="shared" si="6"/>
        <v>0,15%</v>
      </c>
      <c r="AA9" s="186">
        <f t="shared" si="7"/>
        <v>114571.25000070005</v>
      </c>
    </row>
    <row r="10" spans="1:28" x14ac:dyDescent="0.35">
      <c r="A10" s="628"/>
      <c r="B10" s="325" t="s">
        <v>101</v>
      </c>
      <c r="C10" s="327">
        <v>524141280.00000006</v>
      </c>
      <c r="D10" s="222">
        <v>22</v>
      </c>
      <c r="E10" s="308">
        <v>18</v>
      </c>
      <c r="F10" s="169">
        <v>227771468.93439996</v>
      </c>
      <c r="G10" s="169">
        <v>2650000</v>
      </c>
      <c r="H10" s="327"/>
      <c r="I10" s="326">
        <f t="shared" si="0"/>
        <v>225121468.93439996</v>
      </c>
      <c r="J10" s="226">
        <f t="shared" si="1"/>
        <v>-299019811.0656001</v>
      </c>
      <c r="K10" s="172">
        <f t="shared" si="2"/>
        <v>0.42950532141715669</v>
      </c>
      <c r="L10" s="369" t="str">
        <f>IF(K10&gt;120%,"0,55%",IF(K10&gt;100%,"0,45%",IF(K10&gt;80%,"0,35%",IF(K10&gt;60%,"0,2%",IF(K10&gt;40%,"0,15%",0)))))</f>
        <v>0,15%</v>
      </c>
      <c r="M10" s="186">
        <f t="shared" si="5"/>
        <v>337682.20340159995</v>
      </c>
      <c r="O10" s="614"/>
      <c r="P10" s="165" t="s">
        <v>101</v>
      </c>
      <c r="Q10" s="327">
        <v>126360000</v>
      </c>
      <c r="R10" s="222">
        <v>8</v>
      </c>
      <c r="S10" s="308">
        <v>8</v>
      </c>
      <c r="T10" s="169">
        <v>56461355.855999999</v>
      </c>
      <c r="U10" s="169">
        <v>603603.60369999998</v>
      </c>
      <c r="V10" s="327"/>
      <c r="W10" s="166">
        <f t="shared" si="3"/>
        <v>55857752.252300002</v>
      </c>
      <c r="X10" s="171">
        <f t="shared" si="8"/>
        <v>-70502247.747700006</v>
      </c>
      <c r="Y10" s="172">
        <f t="shared" si="9"/>
        <v>0.44205248696027227</v>
      </c>
      <c r="Z10" s="369" t="str">
        <f t="shared" si="6"/>
        <v>0,15%</v>
      </c>
      <c r="AA10" s="186">
        <f t="shared" si="7"/>
        <v>83786.628378449997</v>
      </c>
    </row>
    <row r="11" spans="1:28" s="199" customFormat="1" ht="14.5" customHeight="1" thickBot="1" x14ac:dyDescent="0.4">
      <c r="A11" s="628"/>
      <c r="B11" s="352" t="s">
        <v>77</v>
      </c>
      <c r="C11" s="329">
        <f t="shared" ref="C11:H11" si="10">SUM(C5:C10)</f>
        <v>1541592000</v>
      </c>
      <c r="D11" s="178">
        <f>SUM(D5:D10)</f>
        <v>97</v>
      </c>
      <c r="E11" s="178">
        <f t="shared" si="10"/>
        <v>79</v>
      </c>
      <c r="F11" s="329">
        <f>SUM(F5:F10)</f>
        <v>955178601.33679986</v>
      </c>
      <c r="G11" s="330">
        <f t="shared" si="10"/>
        <v>5185000</v>
      </c>
      <c r="H11" s="329">
        <f t="shared" si="10"/>
        <v>0</v>
      </c>
      <c r="I11" s="329">
        <f t="shared" si="0"/>
        <v>949993601.33679986</v>
      </c>
      <c r="J11" s="329">
        <f>I11-C11</f>
        <v>-591598398.66320014</v>
      </c>
      <c r="K11" s="305">
        <f>I11/C11</f>
        <v>0.61624191182673482</v>
      </c>
      <c r="L11" s="369" t="str">
        <f>IF(K11&gt;100%,"CAPAI 100%",IF(K11&gt;90%,"CAPAI 90%","BELUM CAPAI"))</f>
        <v>BELUM CAPAI</v>
      </c>
      <c r="M11" s="202">
        <f>SUM(M5:M10)</f>
        <v>2338486.2675040998</v>
      </c>
      <c r="O11" s="615"/>
      <c r="P11" s="204" t="s">
        <v>77</v>
      </c>
      <c r="Q11" s="205">
        <f>SUM(Q5:Q10)</f>
        <v>1263600000</v>
      </c>
      <c r="R11" s="206">
        <f t="shared" ref="R11:V11" si="11">SUM(R5:R10)</f>
        <v>70</v>
      </c>
      <c r="S11" s="207">
        <f t="shared" si="11"/>
        <v>67</v>
      </c>
      <c r="T11" s="205">
        <f t="shared" si="11"/>
        <v>903315071.62329996</v>
      </c>
      <c r="U11" s="208">
        <f t="shared" si="11"/>
        <v>21718032.432599999</v>
      </c>
      <c r="V11" s="205">
        <f t="shared" si="11"/>
        <v>0</v>
      </c>
      <c r="W11" s="205">
        <f t="shared" si="3"/>
        <v>881597039.19069993</v>
      </c>
      <c r="X11" s="205">
        <f t="shared" si="8"/>
        <v>-382002960.80930007</v>
      </c>
      <c r="Y11" s="209">
        <f t="shared" si="9"/>
        <v>0.69768679897966124</v>
      </c>
      <c r="Z11" s="369" t="str">
        <f>IF(Y11&gt;100%,"CAPAI 100%",IF(Y11&gt;90%,"CAPAI 90%","BELUM CAPAI"))</f>
        <v>BELUM CAPAI</v>
      </c>
      <c r="AA11" s="202">
        <f>SUM(AA5:AA10)</f>
        <v>2135155.3509047497</v>
      </c>
      <c r="AB11" s="194"/>
    </row>
    <row r="12" spans="1:28" ht="14.5" customHeight="1" x14ac:dyDescent="0.55000000000000004">
      <c r="B12" s="324" t="s">
        <v>86</v>
      </c>
      <c r="C12" s="243">
        <f>C13*C11</f>
        <v>1387432800</v>
      </c>
      <c r="D12" s="597"/>
      <c r="E12" s="598"/>
      <c r="F12" s="598"/>
      <c r="G12" s="598"/>
      <c r="H12" s="599"/>
      <c r="I12" s="243">
        <f>I11</f>
        <v>949993601.33679986</v>
      </c>
      <c r="J12" s="243">
        <f>I12-C12</f>
        <v>-437439198.66320014</v>
      </c>
      <c r="K12" s="183">
        <f t="shared" si="2"/>
        <v>0.68471323536303874</v>
      </c>
      <c r="O12" s="309"/>
      <c r="P12" s="324" t="str">
        <f>$B$12</f>
        <v>TARGET Q2</v>
      </c>
      <c r="Q12" s="243">
        <f>Q13*Q11</f>
        <v>1137240000</v>
      </c>
      <c r="R12" s="597"/>
      <c r="S12" s="598"/>
      <c r="T12" s="598"/>
      <c r="U12" s="598"/>
      <c r="V12" s="599"/>
      <c r="W12" s="243">
        <f>W11</f>
        <v>881597039.19069993</v>
      </c>
      <c r="X12" s="243">
        <f>W12-Q12</f>
        <v>-255642960.80930007</v>
      </c>
      <c r="Y12" s="183">
        <f>W12/Q12</f>
        <v>0.77520755442184586</v>
      </c>
      <c r="Z12" s="192"/>
    </row>
    <row r="13" spans="1:28" ht="24" thickBot="1" x14ac:dyDescent="0.6">
      <c r="C13" s="210">
        <v>0.9</v>
      </c>
      <c r="O13" s="309"/>
      <c r="Q13" s="210">
        <v>0.9</v>
      </c>
    </row>
    <row r="14" spans="1:28" ht="19.5" customHeight="1" x14ac:dyDescent="0.35">
      <c r="A14" s="623">
        <v>2</v>
      </c>
      <c r="B14" s="352" t="s">
        <v>57</v>
      </c>
      <c r="C14" s="353" t="s">
        <v>102</v>
      </c>
      <c r="D14" s="616" t="s">
        <v>91</v>
      </c>
      <c r="E14" s="616" t="s">
        <v>62</v>
      </c>
      <c r="F14" s="604" t="s">
        <v>103</v>
      </c>
      <c r="G14" s="605"/>
      <c r="H14" s="605"/>
      <c r="I14" s="606"/>
      <c r="J14" s="587" t="s">
        <v>65</v>
      </c>
      <c r="K14" s="352" t="s">
        <v>66</v>
      </c>
      <c r="O14" s="607">
        <v>2</v>
      </c>
      <c r="P14" s="354" t="s">
        <v>57</v>
      </c>
      <c r="Q14" s="355" t="s">
        <v>104</v>
      </c>
      <c r="R14" s="591" t="s">
        <v>91</v>
      </c>
      <c r="S14" s="591" t="s">
        <v>62</v>
      </c>
      <c r="T14" s="610" t="s">
        <v>103</v>
      </c>
      <c r="U14" s="611"/>
      <c r="V14" s="611"/>
      <c r="W14" s="612"/>
      <c r="X14" s="595" t="s">
        <v>65</v>
      </c>
      <c r="Y14" s="354" t="s">
        <v>66</v>
      </c>
    </row>
    <row r="15" spans="1:28" ht="36" customHeight="1" x14ac:dyDescent="0.35">
      <c r="A15" s="623"/>
      <c r="B15" s="352" t="s">
        <v>93</v>
      </c>
      <c r="C15" s="353" t="str">
        <f>C4</f>
        <v>TARGET 100%</v>
      </c>
      <c r="D15" s="617"/>
      <c r="E15" s="617"/>
      <c r="F15" s="163" t="str">
        <f>F4</f>
        <v>OMSET APR
 (1-30)</v>
      </c>
      <c r="G15" s="163" t="str">
        <f>G4</f>
        <v>OMSET PRODUK</v>
      </c>
      <c r="H15" s="353" t="s">
        <v>63</v>
      </c>
      <c r="I15" s="353" t="s">
        <v>64</v>
      </c>
      <c r="J15" s="587"/>
      <c r="K15" s="164">
        <f>K4</f>
        <v>1</v>
      </c>
      <c r="L15" s="211"/>
      <c r="M15" s="214"/>
      <c r="O15" s="608"/>
      <c r="P15" s="354" t="s">
        <v>93</v>
      </c>
      <c r="Q15" s="355" t="str">
        <f>Q4</f>
        <v>TARGET 100%</v>
      </c>
      <c r="R15" s="592"/>
      <c r="S15" s="592"/>
      <c r="T15" s="200" t="str">
        <f>T4</f>
        <v>OMSET APR
 (1-30)</v>
      </c>
      <c r="U15" s="200" t="str">
        <f>G4</f>
        <v>OMSET PRODUK</v>
      </c>
      <c r="V15" s="355" t="s">
        <v>63</v>
      </c>
      <c r="W15" s="355" t="s">
        <v>64</v>
      </c>
      <c r="X15" s="596"/>
      <c r="Y15" s="201">
        <f>K15</f>
        <v>1</v>
      </c>
    </row>
    <row r="16" spans="1:28" ht="14.5" customHeight="1" x14ac:dyDescent="0.35">
      <c r="A16" s="623"/>
      <c r="B16" s="325" t="s">
        <v>96</v>
      </c>
      <c r="C16" s="326">
        <v>445348800</v>
      </c>
      <c r="D16" s="222">
        <v>22</v>
      </c>
      <c r="E16" s="308">
        <v>15</v>
      </c>
      <c r="F16" s="169">
        <v>231357967.56779987</v>
      </c>
      <c r="G16" s="169">
        <v>315000</v>
      </c>
      <c r="H16" s="326"/>
      <c r="I16" s="326">
        <f t="shared" ref="I16:I22" si="12">F16-G16</f>
        <v>231042967.56779987</v>
      </c>
      <c r="J16" s="226">
        <f t="shared" ref="J16:J22" si="13">I16-C16</f>
        <v>-214305832.43220013</v>
      </c>
      <c r="K16" s="172">
        <f t="shared" ref="K16:K23" si="14">I16/C16</f>
        <v>0.51879104101728768</v>
      </c>
      <c r="L16" s="369" t="str">
        <f>IF(K16&gt;120%,"0,55%",IF(K16&gt;100%,"0,45%",IF(K16&gt;80%,"0,35%",IF(K16&gt;60%,"0,2%",IF(K16&gt;40%,"0,15%",0)))))</f>
        <v>0,15%</v>
      </c>
      <c r="M16" s="186">
        <f>L16*I16</f>
        <v>346564.45135169983</v>
      </c>
      <c r="O16" s="608"/>
      <c r="P16" s="325" t="s">
        <v>96</v>
      </c>
      <c r="Q16" s="326">
        <v>256089600</v>
      </c>
      <c r="R16" s="222">
        <v>10</v>
      </c>
      <c r="S16" s="308">
        <v>7</v>
      </c>
      <c r="T16" s="169">
        <v>62563009.008899987</v>
      </c>
      <c r="U16" s="169">
        <v>1486486.4865000001</v>
      </c>
      <c r="V16" s="326"/>
      <c r="W16" s="326">
        <f t="shared" ref="W16:W22" si="15">T16-U16</f>
        <v>61076522.522399984</v>
      </c>
      <c r="X16" s="226">
        <f t="shared" ref="X16:X22" si="16">W16-Q16</f>
        <v>-195013077.47760001</v>
      </c>
      <c r="Y16" s="172">
        <f t="shared" ref="Y16:Y21" si="17">W16/Q16</f>
        <v>0.23849669226083364</v>
      </c>
      <c r="Z16" s="369">
        <f>IF(Y16&gt;120%,"0,55%",IF(Y16&gt;100%,"0,45%",IF(Y16&gt;80%,"0,35%",IF(Y16&gt;60%,"0,2%",IF(Y16&gt;40%,"0,15%",0)))))</f>
        <v>0</v>
      </c>
      <c r="AA16" s="186">
        <f>Z16*W16</f>
        <v>0</v>
      </c>
    </row>
    <row r="17" spans="1:27" ht="14.5" customHeight="1" x14ac:dyDescent="0.35">
      <c r="A17" s="623"/>
      <c r="B17" s="325" t="s">
        <v>97</v>
      </c>
      <c r="C17" s="327">
        <v>291189600</v>
      </c>
      <c r="D17" s="222">
        <v>13</v>
      </c>
      <c r="E17" s="308">
        <v>10</v>
      </c>
      <c r="F17" s="169">
        <v>82384539.019800007</v>
      </c>
      <c r="G17" s="328">
        <v>1047500</v>
      </c>
      <c r="H17" s="327"/>
      <c r="I17" s="326">
        <f t="shared" si="12"/>
        <v>81337039.019800007</v>
      </c>
      <c r="J17" s="226">
        <f t="shared" si="13"/>
        <v>-209852560.98019999</v>
      </c>
      <c r="K17" s="172">
        <f t="shared" si="14"/>
        <v>0.27932673083035936</v>
      </c>
      <c r="L17" s="369">
        <f t="shared" ref="L17:L21" si="18">IF(K17&gt;120%,"0,55%",IF(K17&gt;100%,"0,45%",IF(K17&gt;80%,"0,35%",IF(K17&gt;60%,"0,2%",IF(K17&gt;40%,"0,15%",0)))))</f>
        <v>0</v>
      </c>
      <c r="M17" s="186">
        <f t="shared" ref="M17:M21" si="19">L17*I17</f>
        <v>0</v>
      </c>
      <c r="O17" s="608"/>
      <c r="P17" s="325" t="s">
        <v>97</v>
      </c>
      <c r="Q17" s="327">
        <v>224078400.00000003</v>
      </c>
      <c r="R17" s="222">
        <v>14</v>
      </c>
      <c r="S17" s="308">
        <v>14</v>
      </c>
      <c r="T17" s="169">
        <v>144153611.71169996</v>
      </c>
      <c r="U17" s="328">
        <v>333333.3333</v>
      </c>
      <c r="V17" s="327"/>
      <c r="W17" s="326">
        <f t="shared" si="15"/>
        <v>143820278.37839997</v>
      </c>
      <c r="X17" s="226">
        <f t="shared" si="16"/>
        <v>-80258121.621600062</v>
      </c>
      <c r="Y17" s="172">
        <f t="shared" si="17"/>
        <v>0.64183017362851547</v>
      </c>
      <c r="Z17" s="369" t="str">
        <f t="shared" ref="Z17:Z21" si="20">IF(Y17&gt;120%,"0,55%",IF(Y17&gt;100%,"0,45%",IF(Y17&gt;80%,"0,35%",IF(Y17&gt;60%,"0,2%",IF(Y17&gt;40%,"0,15%",0)))))</f>
        <v>0,2%</v>
      </c>
      <c r="AA17" s="186">
        <f t="shared" ref="AA17:AA21" si="21">Z17*W17</f>
        <v>287640.55675679992</v>
      </c>
    </row>
    <row r="18" spans="1:27" ht="14.5" customHeight="1" x14ac:dyDescent="0.35">
      <c r="A18" s="623"/>
      <c r="B18" s="325" t="s">
        <v>98</v>
      </c>
      <c r="C18" s="327">
        <v>256932000</v>
      </c>
      <c r="D18" s="222">
        <v>22</v>
      </c>
      <c r="E18" s="308">
        <v>16</v>
      </c>
      <c r="F18" s="169">
        <v>80500503.153600007</v>
      </c>
      <c r="G18" s="169">
        <v>2117500</v>
      </c>
      <c r="H18" s="327"/>
      <c r="I18" s="326">
        <f t="shared" si="12"/>
        <v>78383003.153600007</v>
      </c>
      <c r="J18" s="226">
        <f t="shared" si="13"/>
        <v>-178548996.84639999</v>
      </c>
      <c r="K18" s="172">
        <f t="shared" si="14"/>
        <v>0.30507294986066352</v>
      </c>
      <c r="L18" s="369">
        <f t="shared" si="18"/>
        <v>0</v>
      </c>
      <c r="M18" s="186">
        <f t="shared" si="19"/>
        <v>0</v>
      </c>
      <c r="O18" s="608"/>
      <c r="P18" s="325" t="s">
        <v>98</v>
      </c>
      <c r="Q18" s="327">
        <v>368128800</v>
      </c>
      <c r="R18" s="222">
        <v>17</v>
      </c>
      <c r="S18" s="308">
        <v>13</v>
      </c>
      <c r="T18" s="169">
        <v>128925324.505</v>
      </c>
      <c r="U18" s="169">
        <v>3378378.3783999998</v>
      </c>
      <c r="V18" s="327"/>
      <c r="W18" s="326">
        <f t="shared" si="15"/>
        <v>125546946.1266</v>
      </c>
      <c r="X18" s="226">
        <f t="shared" si="16"/>
        <v>-242581853.8734</v>
      </c>
      <c r="Y18" s="172">
        <f t="shared" si="17"/>
        <v>0.34104081540645553</v>
      </c>
      <c r="Z18" s="369">
        <f t="shared" si="20"/>
        <v>0</v>
      </c>
      <c r="AA18" s="186">
        <f t="shared" si="21"/>
        <v>0</v>
      </c>
    </row>
    <row r="19" spans="1:27" ht="14.5" customHeight="1" x14ac:dyDescent="0.35">
      <c r="A19" s="623"/>
      <c r="B19" s="325" t="s">
        <v>99</v>
      </c>
      <c r="C19" s="327">
        <v>274060800</v>
      </c>
      <c r="D19" s="222">
        <v>10</v>
      </c>
      <c r="E19" s="308">
        <v>6</v>
      </c>
      <c r="F19" s="169">
        <v>40349040.540599994</v>
      </c>
      <c r="G19" s="169"/>
      <c r="H19" s="327"/>
      <c r="I19" s="326">
        <f t="shared" si="12"/>
        <v>40349040.540599994</v>
      </c>
      <c r="J19" s="226">
        <f t="shared" si="13"/>
        <v>-233711759.4594</v>
      </c>
      <c r="K19" s="172">
        <f t="shared" si="14"/>
        <v>0.14722660278522137</v>
      </c>
      <c r="L19" s="369">
        <f t="shared" si="18"/>
        <v>0</v>
      </c>
      <c r="M19" s="186">
        <f t="shared" si="19"/>
        <v>0</v>
      </c>
      <c r="O19" s="608"/>
      <c r="P19" s="325" t="s">
        <v>99</v>
      </c>
      <c r="Q19" s="327">
        <v>256089600</v>
      </c>
      <c r="R19" s="222">
        <v>15</v>
      </c>
      <c r="S19" s="308">
        <v>11</v>
      </c>
      <c r="T19" s="169">
        <v>97633671.171200007</v>
      </c>
      <c r="U19" s="169">
        <v>4738630.6305999998</v>
      </c>
      <c r="V19" s="327"/>
      <c r="W19" s="326">
        <f t="shared" si="15"/>
        <v>92895040.540600002</v>
      </c>
      <c r="X19" s="226">
        <f t="shared" si="16"/>
        <v>-163194559.4594</v>
      </c>
      <c r="Y19" s="172">
        <f t="shared" si="17"/>
        <v>0.36274429160965538</v>
      </c>
      <c r="Z19" s="369">
        <f t="shared" si="20"/>
        <v>0</v>
      </c>
      <c r="AA19" s="186">
        <f t="shared" si="21"/>
        <v>0</v>
      </c>
    </row>
    <row r="20" spans="1:27" ht="14.5" customHeight="1" x14ac:dyDescent="0.35">
      <c r="A20" s="623"/>
      <c r="B20" s="325" t="s">
        <v>100</v>
      </c>
      <c r="C20" s="327">
        <v>205545600</v>
      </c>
      <c r="D20" s="222">
        <v>15</v>
      </c>
      <c r="E20" s="308">
        <v>8</v>
      </c>
      <c r="F20" s="169">
        <v>109386337.83779998</v>
      </c>
      <c r="G20" s="169">
        <v>337500</v>
      </c>
      <c r="H20" s="327"/>
      <c r="I20" s="326">
        <f t="shared" si="12"/>
        <v>109048837.83779998</v>
      </c>
      <c r="J20" s="226">
        <f t="shared" si="13"/>
        <v>-96496762.162200019</v>
      </c>
      <c r="K20" s="172">
        <f t="shared" si="14"/>
        <v>0.53053355478200448</v>
      </c>
      <c r="L20" s="369" t="str">
        <f t="shared" si="18"/>
        <v>0,15%</v>
      </c>
      <c r="M20" s="186">
        <f t="shared" si="19"/>
        <v>163573.25675669996</v>
      </c>
      <c r="O20" s="608"/>
      <c r="P20" s="325" t="s">
        <v>100</v>
      </c>
      <c r="Q20" s="327">
        <v>240084000</v>
      </c>
      <c r="R20" s="222">
        <v>10</v>
      </c>
      <c r="S20" s="308">
        <v>9</v>
      </c>
      <c r="T20" s="169">
        <v>103446537.83830002</v>
      </c>
      <c r="U20" s="169">
        <v>1180201.8018</v>
      </c>
      <c r="V20" s="327"/>
      <c r="W20" s="326">
        <f>T20-U20</f>
        <v>102266336.03650002</v>
      </c>
      <c r="X20" s="226">
        <f t="shared" si="16"/>
        <v>-137817663.96349996</v>
      </c>
      <c r="Y20" s="172">
        <f t="shared" si="17"/>
        <v>0.42596064725887617</v>
      </c>
      <c r="Z20" s="369" t="str">
        <f t="shared" si="20"/>
        <v>0,15%</v>
      </c>
      <c r="AA20" s="186">
        <f t="shared" si="21"/>
        <v>153399.50405475002</v>
      </c>
    </row>
    <row r="21" spans="1:27" ht="14.5" customHeight="1" x14ac:dyDescent="0.35">
      <c r="A21" s="623"/>
      <c r="B21" s="325" t="s">
        <v>101</v>
      </c>
      <c r="C21" s="327">
        <v>239803200.00000003</v>
      </c>
      <c r="D21" s="222">
        <v>17</v>
      </c>
      <c r="E21" s="308">
        <v>8</v>
      </c>
      <c r="F21" s="169">
        <v>62975963.909799993</v>
      </c>
      <c r="G21" s="169">
        <v>395000</v>
      </c>
      <c r="H21" s="327"/>
      <c r="I21" s="326">
        <f t="shared" si="12"/>
        <v>62580963.909799993</v>
      </c>
      <c r="J21" s="226">
        <f t="shared" si="13"/>
        <v>-177222236.09020004</v>
      </c>
      <c r="K21" s="172">
        <f t="shared" si="14"/>
        <v>0.26096801005908171</v>
      </c>
      <c r="L21" s="369">
        <f t="shared" si="18"/>
        <v>0</v>
      </c>
      <c r="M21" s="186">
        <f t="shared" si="19"/>
        <v>0</v>
      </c>
      <c r="O21" s="608"/>
      <c r="P21" s="325" t="s">
        <v>101</v>
      </c>
      <c r="Q21" s="327">
        <v>256089600</v>
      </c>
      <c r="R21" s="222">
        <v>13</v>
      </c>
      <c r="S21" s="308">
        <v>11</v>
      </c>
      <c r="T21" s="169">
        <v>119449058.55910003</v>
      </c>
      <c r="U21" s="169">
        <v>11016000</v>
      </c>
      <c r="V21" s="327"/>
      <c r="W21" s="326">
        <f t="shared" si="15"/>
        <v>108433058.55910003</v>
      </c>
      <c r="X21" s="226">
        <f t="shared" si="16"/>
        <v>-147656541.44089997</v>
      </c>
      <c r="Y21" s="172">
        <f t="shared" si="17"/>
        <v>0.42341843854299444</v>
      </c>
      <c r="Z21" s="369" t="str">
        <f t="shared" si="20"/>
        <v>0,15%</v>
      </c>
      <c r="AA21" s="186">
        <f t="shared" si="21"/>
        <v>162649.58783865004</v>
      </c>
    </row>
    <row r="22" spans="1:27" ht="14.5" customHeight="1" thickBot="1" x14ac:dyDescent="0.4">
      <c r="A22" s="623"/>
      <c r="B22" s="352" t="s">
        <v>77</v>
      </c>
      <c r="C22" s="329">
        <f t="shared" ref="C22:H22" si="22">SUM(C16:C21)</f>
        <v>1712880000</v>
      </c>
      <c r="D22" s="178">
        <f>SUM(D16:D21)</f>
        <v>99</v>
      </c>
      <c r="E22" s="178">
        <f t="shared" si="22"/>
        <v>63</v>
      </c>
      <c r="F22" s="329">
        <f>SUM(F16:F21)</f>
        <v>606954352.02939987</v>
      </c>
      <c r="G22" s="330">
        <f t="shared" si="22"/>
        <v>4212500</v>
      </c>
      <c r="H22" s="329">
        <f t="shared" si="22"/>
        <v>0</v>
      </c>
      <c r="I22" s="329">
        <f t="shared" si="12"/>
        <v>602741852.02939987</v>
      </c>
      <c r="J22" s="329">
        <f t="shared" si="13"/>
        <v>-1110138147.9706001</v>
      </c>
      <c r="K22" s="305">
        <f t="shared" si="14"/>
        <v>0.35188796181250287</v>
      </c>
      <c r="L22" s="369" t="str">
        <f>IF(K22&gt;100%,"CAPAI 100%",IF(K22&gt;90%,"CAPAI 90%","BELUM CAPAI"))</f>
        <v>BELUM CAPAI</v>
      </c>
      <c r="M22" s="202">
        <f>SUM(M16:M21)</f>
        <v>510137.70810839976</v>
      </c>
      <c r="O22" s="609"/>
      <c r="P22" s="354" t="s">
        <v>77</v>
      </c>
      <c r="Q22" s="336">
        <f t="shared" ref="Q22:V22" si="23">SUM(Q16:Q21)</f>
        <v>1600560000</v>
      </c>
      <c r="R22" s="207">
        <f>SUM(R16:R21)</f>
        <v>79</v>
      </c>
      <c r="S22" s="207">
        <f t="shared" si="23"/>
        <v>65</v>
      </c>
      <c r="T22" s="336">
        <f t="shared" si="23"/>
        <v>656171212.79419994</v>
      </c>
      <c r="U22" s="337">
        <f t="shared" si="23"/>
        <v>22133030.630599998</v>
      </c>
      <c r="V22" s="336">
        <f t="shared" si="23"/>
        <v>0</v>
      </c>
      <c r="W22" s="336">
        <f t="shared" si="15"/>
        <v>634038182.16359997</v>
      </c>
      <c r="X22" s="336">
        <f t="shared" si="16"/>
        <v>-966521817.83640003</v>
      </c>
      <c r="Y22" s="313">
        <f>W22/Q22</f>
        <v>0.39613521652646572</v>
      </c>
      <c r="Z22" s="369" t="str">
        <f>IF(Y22&gt;100%,"CAPAI 100%",IF(Y22&gt;90%,"CAPAI 90%","BELUM CAPAI"))</f>
        <v>BELUM CAPAI</v>
      </c>
      <c r="AA22" s="202">
        <f>SUM(AA16:AA21)</f>
        <v>603689.64865019999</v>
      </c>
    </row>
    <row r="23" spans="1:27" ht="14.5" customHeight="1" x14ac:dyDescent="0.55000000000000004">
      <c r="B23" s="324" t="str">
        <f>$B$12</f>
        <v>TARGET Q2</v>
      </c>
      <c r="C23" s="243">
        <f>C24*C22</f>
        <v>1541592000</v>
      </c>
      <c r="D23" s="597"/>
      <c r="E23" s="598"/>
      <c r="F23" s="598"/>
      <c r="G23" s="598"/>
      <c r="H23" s="599"/>
      <c r="I23" s="243">
        <f>I22</f>
        <v>602741852.02939987</v>
      </c>
      <c r="J23" s="243">
        <f>I23-C23</f>
        <v>-938850147.97060013</v>
      </c>
      <c r="K23" s="183">
        <f t="shared" si="14"/>
        <v>0.39098662423611424</v>
      </c>
      <c r="O23" s="309"/>
      <c r="P23" s="324" t="str">
        <f>$B$12</f>
        <v>TARGET Q2</v>
      </c>
      <c r="Q23" s="243">
        <f>Q24*Q22</f>
        <v>1440504000</v>
      </c>
      <c r="R23" s="597"/>
      <c r="S23" s="598"/>
      <c r="T23" s="598"/>
      <c r="U23" s="598"/>
      <c r="V23" s="599"/>
      <c r="W23" s="243">
        <f>W22</f>
        <v>634038182.16359997</v>
      </c>
      <c r="X23" s="243">
        <f>W23-Q23</f>
        <v>-806465817.83640003</v>
      </c>
      <c r="Y23" s="183">
        <f>W23/Q23</f>
        <v>0.44015024058496188</v>
      </c>
      <c r="Z23" s="192"/>
    </row>
    <row r="24" spans="1:27" ht="24" thickBot="1" x14ac:dyDescent="0.6">
      <c r="C24" s="210">
        <v>0.9</v>
      </c>
      <c r="O24" s="309"/>
      <c r="Q24" s="210">
        <v>0.9</v>
      </c>
    </row>
    <row r="25" spans="1:27" ht="19.5" customHeight="1" x14ac:dyDescent="0.35">
      <c r="A25" s="623">
        <v>3</v>
      </c>
      <c r="B25" s="352" t="s">
        <v>57</v>
      </c>
      <c r="C25" s="353" t="s">
        <v>105</v>
      </c>
      <c r="D25" s="616" t="s">
        <v>91</v>
      </c>
      <c r="E25" s="616" t="s">
        <v>62</v>
      </c>
      <c r="F25" s="604" t="s">
        <v>106</v>
      </c>
      <c r="G25" s="605"/>
      <c r="H25" s="605"/>
      <c r="I25" s="606"/>
      <c r="J25" s="587" t="s">
        <v>65</v>
      </c>
      <c r="K25" s="352" t="s">
        <v>66</v>
      </c>
      <c r="O25" s="613">
        <v>3</v>
      </c>
      <c r="P25" s="354" t="s">
        <v>57</v>
      </c>
      <c r="Q25" s="355" t="s">
        <v>156</v>
      </c>
      <c r="R25" s="591" t="s">
        <v>91</v>
      </c>
      <c r="S25" s="591" t="s">
        <v>62</v>
      </c>
      <c r="T25" s="610" t="s">
        <v>107</v>
      </c>
      <c r="U25" s="611"/>
      <c r="V25" s="611"/>
      <c r="W25" s="612"/>
      <c r="X25" s="603" t="s">
        <v>65</v>
      </c>
      <c r="Y25" s="354" t="s">
        <v>66</v>
      </c>
    </row>
    <row r="26" spans="1:27" ht="36" customHeight="1" x14ac:dyDescent="0.35">
      <c r="A26" s="623"/>
      <c r="B26" s="352" t="s">
        <v>93</v>
      </c>
      <c r="C26" s="353" t="str">
        <f>C15</f>
        <v>TARGET 100%</v>
      </c>
      <c r="D26" s="617"/>
      <c r="E26" s="617"/>
      <c r="F26" s="163" t="str">
        <f>F4</f>
        <v>OMSET APR
 (1-30)</v>
      </c>
      <c r="G26" s="163" t="str">
        <f>G4</f>
        <v>OMSET PRODUK</v>
      </c>
      <c r="H26" s="353" t="s">
        <v>63</v>
      </c>
      <c r="I26" s="353" t="s">
        <v>64</v>
      </c>
      <c r="J26" s="587"/>
      <c r="K26" s="164">
        <f>K15</f>
        <v>1</v>
      </c>
      <c r="O26" s="614"/>
      <c r="P26" s="354" t="s">
        <v>93</v>
      </c>
      <c r="Q26" s="355" t="str">
        <f>Q15</f>
        <v>TARGET 100%</v>
      </c>
      <c r="R26" s="592"/>
      <c r="S26" s="592"/>
      <c r="T26" s="200" t="str">
        <f>T4</f>
        <v>OMSET APR
 (1-30)</v>
      </c>
      <c r="U26" s="200" t="str">
        <f>G4</f>
        <v>OMSET PRODUK</v>
      </c>
      <c r="V26" s="355" t="s">
        <v>63</v>
      </c>
      <c r="W26" s="355" t="s">
        <v>64</v>
      </c>
      <c r="X26" s="603"/>
      <c r="Y26" s="201">
        <f>K26</f>
        <v>1</v>
      </c>
    </row>
    <row r="27" spans="1:27" ht="14.5" customHeight="1" x14ac:dyDescent="0.35">
      <c r="A27" s="623"/>
      <c r="B27" s="325" t="s">
        <v>96</v>
      </c>
      <c r="C27" s="326">
        <v>406809000</v>
      </c>
      <c r="D27" s="222">
        <v>15</v>
      </c>
      <c r="E27" s="308">
        <v>12</v>
      </c>
      <c r="F27" s="169">
        <v>500765800.63059968</v>
      </c>
      <c r="G27" s="169"/>
      <c r="H27" s="326"/>
      <c r="I27" s="326">
        <f t="shared" ref="I27:I33" si="24">F27-G27</f>
        <v>500765800.63059968</v>
      </c>
      <c r="J27" s="226">
        <f t="shared" ref="J27:J33" si="25">I27-C27</f>
        <v>93956800.630599678</v>
      </c>
      <c r="K27" s="172">
        <f t="shared" ref="K27:K34" si="26">I27/C27</f>
        <v>1.230960476859164</v>
      </c>
      <c r="L27" s="369" t="str">
        <f>IF(K27&gt;120%,"0,55%",IF(K27&gt;100%,"0,45%",IF(K27&gt;80%,"0,35%",IF(K27&gt;60%,"0,2%",IF(K27&gt;40%,"0,15%",0)))))</f>
        <v>0,55%</v>
      </c>
      <c r="M27" s="186">
        <f>L27*I27</f>
        <v>2754211.9034682983</v>
      </c>
      <c r="O27" s="614"/>
      <c r="P27" s="325" t="s">
        <v>96</v>
      </c>
      <c r="Q27" s="326">
        <v>257774400.00000003</v>
      </c>
      <c r="R27" s="222">
        <v>12</v>
      </c>
      <c r="S27" s="308">
        <v>11</v>
      </c>
      <c r="T27" s="169">
        <v>204381793.6940001</v>
      </c>
      <c r="U27" s="169">
        <v>1545059.4594999999</v>
      </c>
      <c r="V27" s="326"/>
      <c r="W27" s="326">
        <f t="shared" ref="W27:W33" si="27">T27-U27</f>
        <v>202836734.23450011</v>
      </c>
      <c r="X27" s="226">
        <f t="shared" ref="X27:X33" si="28">W27-Q27</f>
        <v>-54937665.76549992</v>
      </c>
      <c r="Y27" s="172">
        <f t="shared" ref="Y27:Y33" si="29">W27/Q27</f>
        <v>0.78687695222838294</v>
      </c>
      <c r="Z27" s="369" t="str">
        <f>IF(Y27&gt;120%,"0,55%",IF(Y27&gt;100%,"0,45%",IF(Y27&gt;80%,"0,35%",IF(Y27&gt;60%,"0,2%",IF(Y27&gt;40%,"0,15%",0)))))</f>
        <v>0,2%</v>
      </c>
      <c r="AA27" s="186">
        <f>Z27*W27</f>
        <v>405673.46846900025</v>
      </c>
    </row>
    <row r="28" spans="1:27" ht="14.5" customHeight="1" x14ac:dyDescent="0.35">
      <c r="A28" s="623"/>
      <c r="B28" s="325" t="s">
        <v>97</v>
      </c>
      <c r="C28" s="327">
        <v>276630120</v>
      </c>
      <c r="D28" s="222">
        <v>18</v>
      </c>
      <c r="E28" s="308">
        <v>17</v>
      </c>
      <c r="F28" s="169">
        <v>274940908.37870002</v>
      </c>
      <c r="G28" s="328">
        <v>2947500</v>
      </c>
      <c r="H28" s="327"/>
      <c r="I28" s="326">
        <f t="shared" si="24"/>
        <v>271993408.37870002</v>
      </c>
      <c r="J28" s="226">
        <f t="shared" si="25"/>
        <v>-4636711.6212999821</v>
      </c>
      <c r="K28" s="172">
        <f t="shared" si="26"/>
        <v>0.98323858724675395</v>
      </c>
      <c r="L28" s="369" t="str">
        <f t="shared" ref="L28:L32" si="30">IF(K28&gt;120%,"0,55%",IF(K28&gt;100%,"0,45%",IF(K28&gt;80%,"0,35%",IF(K28&gt;60%,"0,2%",IF(K28&gt;40%,"0,15%",0)))))</f>
        <v>0,35%</v>
      </c>
      <c r="M28" s="186">
        <f t="shared" ref="M28:M32" si="31">L28*I28</f>
        <v>951976.9293254501</v>
      </c>
      <c r="O28" s="614"/>
      <c r="P28" s="325" t="s">
        <v>97</v>
      </c>
      <c r="Q28" s="327">
        <v>454896000</v>
      </c>
      <c r="R28" s="222">
        <v>12</v>
      </c>
      <c r="S28" s="308">
        <v>14</v>
      </c>
      <c r="T28" s="169">
        <v>544480945.94620013</v>
      </c>
      <c r="U28" s="328">
        <v>2928821.6216000002</v>
      </c>
      <c r="V28" s="327"/>
      <c r="W28" s="326">
        <f t="shared" si="27"/>
        <v>541552124.3246001</v>
      </c>
      <c r="X28" s="226">
        <f t="shared" si="28"/>
        <v>86656124.324600101</v>
      </c>
      <c r="Y28" s="172">
        <f t="shared" si="29"/>
        <v>1.1904965625650701</v>
      </c>
      <c r="Z28" s="369" t="str">
        <f t="shared" ref="Z28:Z32" si="32">IF(Y28&gt;120%,"0,55%",IF(Y28&gt;100%,"0,45%",IF(Y28&gt;80%,"0,35%",IF(Y28&gt;60%,"0,2%",IF(Y28&gt;40%,"0,15%",0)))))</f>
        <v>0,45%</v>
      </c>
      <c r="AA28" s="186">
        <f t="shared" ref="AA28:AA32" si="33">Z28*W28</f>
        <v>2436984.5594607005</v>
      </c>
    </row>
    <row r="29" spans="1:27" ht="14.5" customHeight="1" x14ac:dyDescent="0.35">
      <c r="A29" s="623"/>
      <c r="B29" s="325" t="s">
        <v>98</v>
      </c>
      <c r="C29" s="327">
        <v>195268320</v>
      </c>
      <c r="D29" s="222">
        <v>22</v>
      </c>
      <c r="E29" s="308">
        <v>19</v>
      </c>
      <c r="F29" s="169">
        <v>249730633.26139998</v>
      </c>
      <c r="G29" s="169"/>
      <c r="H29" s="327"/>
      <c r="I29" s="326">
        <f t="shared" si="24"/>
        <v>249730633.26139998</v>
      </c>
      <c r="J29" s="226">
        <f t="shared" si="25"/>
        <v>54462313.261399984</v>
      </c>
      <c r="K29" s="172">
        <f t="shared" si="26"/>
        <v>1.2789101338168936</v>
      </c>
      <c r="L29" s="369" t="str">
        <f t="shared" si="30"/>
        <v>0,55%</v>
      </c>
      <c r="M29" s="186">
        <f t="shared" si="31"/>
        <v>1373518.4829376999</v>
      </c>
      <c r="O29" s="614"/>
      <c r="P29" s="325" t="s">
        <v>98</v>
      </c>
      <c r="Q29" s="327">
        <v>227448000</v>
      </c>
      <c r="R29" s="222">
        <v>11</v>
      </c>
      <c r="S29" s="308">
        <v>9</v>
      </c>
      <c r="T29" s="169">
        <v>100244997.74780008</v>
      </c>
      <c r="U29" s="169">
        <v>3995459.4594999999</v>
      </c>
      <c r="V29" s="327"/>
      <c r="W29" s="326">
        <f t="shared" si="27"/>
        <v>96249538.288300082</v>
      </c>
      <c r="X29" s="226">
        <f t="shared" si="28"/>
        <v>-131198461.71169992</v>
      </c>
      <c r="Y29" s="172">
        <f t="shared" si="29"/>
        <v>0.42317161851632057</v>
      </c>
      <c r="Z29" s="369" t="str">
        <f t="shared" si="32"/>
        <v>0,15%</v>
      </c>
      <c r="AA29" s="186">
        <f t="shared" si="33"/>
        <v>144374.30743245012</v>
      </c>
    </row>
    <row r="30" spans="1:27" ht="14.5" customHeight="1" x14ac:dyDescent="0.35">
      <c r="A30" s="623"/>
      <c r="B30" s="325" t="s">
        <v>99</v>
      </c>
      <c r="C30" s="327">
        <v>211540680</v>
      </c>
      <c r="D30" s="222">
        <v>8</v>
      </c>
      <c r="E30" s="308">
        <v>8</v>
      </c>
      <c r="F30" s="169">
        <v>196771691.89140007</v>
      </c>
      <c r="G30" s="169">
        <v>675000</v>
      </c>
      <c r="H30" s="327"/>
      <c r="I30" s="326">
        <f t="shared" si="24"/>
        <v>196096691.89140007</v>
      </c>
      <c r="J30" s="226">
        <f t="shared" si="25"/>
        <v>-15443988.108599931</v>
      </c>
      <c r="K30" s="172">
        <f t="shared" si="26"/>
        <v>0.92699282186007947</v>
      </c>
      <c r="L30" s="369" t="str">
        <f t="shared" si="30"/>
        <v>0,35%</v>
      </c>
      <c r="M30" s="186">
        <f t="shared" si="31"/>
        <v>686338.42161990027</v>
      </c>
      <c r="O30" s="614"/>
      <c r="P30" s="325" t="s">
        <v>99</v>
      </c>
      <c r="Q30" s="327">
        <v>166795200</v>
      </c>
      <c r="R30" s="222">
        <v>17</v>
      </c>
      <c r="S30" s="308">
        <v>11</v>
      </c>
      <c r="T30" s="169">
        <v>53034405.40550001</v>
      </c>
      <c r="U30" s="169">
        <v>166666.6667</v>
      </c>
      <c r="V30" s="327"/>
      <c r="W30" s="326">
        <f t="shared" si="27"/>
        <v>52867738.738800012</v>
      </c>
      <c r="X30" s="226">
        <f t="shared" si="28"/>
        <v>-113927461.26119998</v>
      </c>
      <c r="Y30" s="172">
        <f t="shared" si="29"/>
        <v>0.31696199134507475</v>
      </c>
      <c r="Z30" s="369">
        <f t="shared" si="32"/>
        <v>0</v>
      </c>
      <c r="AA30" s="186">
        <f t="shared" si="33"/>
        <v>0</v>
      </c>
    </row>
    <row r="31" spans="1:27" ht="14.5" customHeight="1" x14ac:dyDescent="0.35">
      <c r="A31" s="623"/>
      <c r="B31" s="325" t="s">
        <v>100</v>
      </c>
      <c r="C31" s="327">
        <v>178995960</v>
      </c>
      <c r="D31" s="222">
        <v>14</v>
      </c>
      <c r="E31" s="308">
        <v>11</v>
      </c>
      <c r="F31" s="169">
        <v>67228300.99150002</v>
      </c>
      <c r="G31" s="169">
        <v>337500</v>
      </c>
      <c r="H31" s="327"/>
      <c r="I31" s="326">
        <f t="shared" si="24"/>
        <v>66890800.99150002</v>
      </c>
      <c r="J31" s="226">
        <f t="shared" si="25"/>
        <v>-112105159.00849998</v>
      </c>
      <c r="K31" s="172">
        <f t="shared" si="26"/>
        <v>0.37370005999856098</v>
      </c>
      <c r="L31" s="369">
        <f t="shared" si="30"/>
        <v>0</v>
      </c>
      <c r="M31" s="186">
        <f t="shared" si="31"/>
        <v>0</v>
      </c>
      <c r="O31" s="614"/>
      <c r="P31" s="325" t="s">
        <v>100</v>
      </c>
      <c r="Q31" s="327">
        <v>227448000</v>
      </c>
      <c r="R31" s="222">
        <v>17</v>
      </c>
      <c r="S31" s="308">
        <v>12</v>
      </c>
      <c r="T31" s="169">
        <v>121152674.32409999</v>
      </c>
      <c r="U31" s="169"/>
      <c r="V31" s="327"/>
      <c r="W31" s="326">
        <f t="shared" si="27"/>
        <v>121152674.32409999</v>
      </c>
      <c r="X31" s="226">
        <f t="shared" si="28"/>
        <v>-106295325.67590001</v>
      </c>
      <c r="Y31" s="172">
        <f>W31/Q31</f>
        <v>0.53266097887912833</v>
      </c>
      <c r="Z31" s="369" t="str">
        <f t="shared" si="32"/>
        <v>0,15%</v>
      </c>
      <c r="AA31" s="186">
        <f t="shared" si="33"/>
        <v>181729.01148614998</v>
      </c>
    </row>
    <row r="32" spans="1:27" ht="14.5" customHeight="1" x14ac:dyDescent="0.35">
      <c r="A32" s="623"/>
      <c r="B32" s="325" t="s">
        <v>101</v>
      </c>
      <c r="C32" s="327">
        <v>357991920</v>
      </c>
      <c r="D32" s="222">
        <v>18</v>
      </c>
      <c r="E32" s="308">
        <v>17</v>
      </c>
      <c r="F32" s="169">
        <v>411270167.24700022</v>
      </c>
      <c r="G32" s="169"/>
      <c r="H32" s="327"/>
      <c r="I32" s="326">
        <f t="shared" si="24"/>
        <v>411270167.24700022</v>
      </c>
      <c r="J32" s="226">
        <f t="shared" si="25"/>
        <v>53278247.247000217</v>
      </c>
      <c r="K32" s="172">
        <f t="shared" si="26"/>
        <v>1.1488252786459543</v>
      </c>
      <c r="L32" s="369" t="str">
        <f t="shared" si="30"/>
        <v>0,45%</v>
      </c>
      <c r="M32" s="186">
        <f t="shared" si="31"/>
        <v>1850715.7526115009</v>
      </c>
      <c r="O32" s="614"/>
      <c r="P32" s="325" t="s">
        <v>101</v>
      </c>
      <c r="Q32" s="327">
        <v>181958400</v>
      </c>
      <c r="R32" s="222">
        <v>12</v>
      </c>
      <c r="S32" s="308">
        <v>11</v>
      </c>
      <c r="T32" s="169">
        <v>74666602.702600002</v>
      </c>
      <c r="U32" s="169">
        <v>2705383.7837999999</v>
      </c>
      <c r="V32" s="327"/>
      <c r="W32" s="326">
        <f t="shared" si="27"/>
        <v>71961218.918799996</v>
      </c>
      <c r="X32" s="226">
        <f t="shared" si="28"/>
        <v>-109997181.0812</v>
      </c>
      <c r="Y32" s="172">
        <f t="shared" si="29"/>
        <v>0.39548170855975867</v>
      </c>
      <c r="Z32" s="369">
        <f t="shared" si="32"/>
        <v>0</v>
      </c>
      <c r="AA32" s="186">
        <f t="shared" si="33"/>
        <v>0</v>
      </c>
    </row>
    <row r="33" spans="1:27" ht="14.5" customHeight="1" thickBot="1" x14ac:dyDescent="0.4">
      <c r="A33" s="623"/>
      <c r="B33" s="352" t="s">
        <v>77</v>
      </c>
      <c r="C33" s="329">
        <f t="shared" ref="C33:H33" si="34">SUM(C27:C32)</f>
        <v>1627236000</v>
      </c>
      <c r="D33" s="178">
        <f>SUM(D27:D32)</f>
        <v>95</v>
      </c>
      <c r="E33" s="178">
        <f>SUM(E27:E32)</f>
        <v>84</v>
      </c>
      <c r="F33" s="329">
        <f t="shared" si="34"/>
        <v>1700707502.4006</v>
      </c>
      <c r="G33" s="330">
        <f t="shared" si="34"/>
        <v>3960000</v>
      </c>
      <c r="H33" s="329">
        <f t="shared" si="34"/>
        <v>0</v>
      </c>
      <c r="I33" s="329">
        <f t="shared" si="24"/>
        <v>1696747502.4006</v>
      </c>
      <c r="J33" s="329">
        <f t="shared" si="25"/>
        <v>69511502.400599957</v>
      </c>
      <c r="K33" s="305">
        <f t="shared" si="26"/>
        <v>1.0427175298485285</v>
      </c>
      <c r="L33" s="369" t="str">
        <f>IF(K33&gt;100%,"CAPAI 100%",IF(K33&gt;90%,"CAPAI 90%","BELUM CAPAI"))</f>
        <v>CAPAI 100%</v>
      </c>
      <c r="M33" s="202">
        <f>SUM(M27:M32)</f>
        <v>7616761.4899628498</v>
      </c>
      <c r="O33" s="615"/>
      <c r="P33" s="354" t="s">
        <v>77</v>
      </c>
      <c r="Q33" s="336">
        <f t="shared" ref="Q33:V33" si="35">SUM(Q27:Q32)</f>
        <v>1516320000</v>
      </c>
      <c r="R33" s="207">
        <f>SUM(R27:R32)</f>
        <v>81</v>
      </c>
      <c r="S33" s="207">
        <f t="shared" si="35"/>
        <v>68</v>
      </c>
      <c r="T33" s="336">
        <f>SUM(T27:T32)</f>
        <v>1097961419.8202004</v>
      </c>
      <c r="U33" s="337">
        <f t="shared" si="35"/>
        <v>11341390.9911</v>
      </c>
      <c r="V33" s="336">
        <f t="shared" si="35"/>
        <v>0</v>
      </c>
      <c r="W33" s="336">
        <f t="shared" si="27"/>
        <v>1086620028.8291004</v>
      </c>
      <c r="X33" s="336">
        <f t="shared" si="28"/>
        <v>-429699971.17089963</v>
      </c>
      <c r="Y33" s="313">
        <f t="shared" si="29"/>
        <v>0.71661656433279275</v>
      </c>
      <c r="Z33" s="369" t="str">
        <f>IF(Y33&gt;100%,"CAPAI 100%",IF(Y33&gt;90%,"CAPAI 90%","BELUM CAPAI"))</f>
        <v>BELUM CAPAI</v>
      </c>
      <c r="AA33" s="202">
        <f>SUM(AA27:AA32)</f>
        <v>3168761.3468483011</v>
      </c>
    </row>
    <row r="34" spans="1:27" ht="14.5" customHeight="1" x14ac:dyDescent="0.55000000000000004">
      <c r="B34" s="324" t="str">
        <f>$B$12</f>
        <v>TARGET Q2</v>
      </c>
      <c r="C34" s="243">
        <f>C35*C33</f>
        <v>1464512400</v>
      </c>
      <c r="D34" s="597"/>
      <c r="E34" s="598"/>
      <c r="F34" s="598"/>
      <c r="G34" s="598"/>
      <c r="H34" s="599"/>
      <c r="I34" s="243">
        <f>I33</f>
        <v>1696747502.4006</v>
      </c>
      <c r="J34" s="243">
        <f>I34-C34</f>
        <v>232235102.40059996</v>
      </c>
      <c r="K34" s="183">
        <f t="shared" si="26"/>
        <v>1.1585750331650315</v>
      </c>
      <c r="O34" s="309"/>
      <c r="P34" s="324" t="str">
        <f>$B$12</f>
        <v>TARGET Q2</v>
      </c>
      <c r="Q34" s="243">
        <f>Q35*Q33</f>
        <v>1364688000</v>
      </c>
      <c r="R34" s="597"/>
      <c r="S34" s="598"/>
      <c r="T34" s="598"/>
      <c r="U34" s="598"/>
      <c r="V34" s="599"/>
      <c r="W34" s="243">
        <f>W33</f>
        <v>1086620028.8291004</v>
      </c>
      <c r="X34" s="243">
        <f>W34-Q34</f>
        <v>-278067971.17089963</v>
      </c>
      <c r="Y34" s="183">
        <f>W34/Q34</f>
        <v>0.79624062703643639</v>
      </c>
      <c r="Z34" s="192"/>
    </row>
    <row r="35" spans="1:27" ht="24" thickBot="1" x14ac:dyDescent="0.6">
      <c r="C35" s="210">
        <v>0.9</v>
      </c>
      <c r="O35" s="309"/>
      <c r="Q35" s="210">
        <v>0.9</v>
      </c>
    </row>
    <row r="36" spans="1:27" ht="19.5" customHeight="1" x14ac:dyDescent="0.35">
      <c r="A36" s="623">
        <v>4</v>
      </c>
      <c r="B36" s="352" t="s">
        <v>57</v>
      </c>
      <c r="C36" s="353" t="s">
        <v>108</v>
      </c>
      <c r="D36" s="616" t="s">
        <v>91</v>
      </c>
      <c r="E36" s="616" t="s">
        <v>62</v>
      </c>
      <c r="F36" s="604" t="s">
        <v>109</v>
      </c>
      <c r="G36" s="605"/>
      <c r="H36" s="605"/>
      <c r="I36" s="606"/>
      <c r="J36" s="621" t="s">
        <v>65</v>
      </c>
      <c r="K36" s="352" t="s">
        <v>66</v>
      </c>
      <c r="O36" s="607">
        <v>4</v>
      </c>
      <c r="P36" s="354" t="s">
        <v>57</v>
      </c>
      <c r="Q36" s="355" t="s">
        <v>53</v>
      </c>
      <c r="R36" s="591" t="s">
        <v>91</v>
      </c>
      <c r="S36" s="591" t="s">
        <v>62</v>
      </c>
      <c r="T36" s="610" t="s">
        <v>109</v>
      </c>
      <c r="U36" s="611"/>
      <c r="V36" s="611"/>
      <c r="W36" s="612"/>
      <c r="X36" s="603" t="s">
        <v>65</v>
      </c>
      <c r="Y36" s="354" t="s">
        <v>66</v>
      </c>
    </row>
    <row r="37" spans="1:27" ht="36" customHeight="1" x14ac:dyDescent="0.35">
      <c r="A37" s="623"/>
      <c r="B37" s="352" t="s">
        <v>93</v>
      </c>
      <c r="C37" s="353" t="str">
        <f>C26</f>
        <v>TARGET 100%</v>
      </c>
      <c r="D37" s="617"/>
      <c r="E37" s="617"/>
      <c r="F37" s="163" t="str">
        <f>F4</f>
        <v>OMSET APR
 (1-30)</v>
      </c>
      <c r="G37" s="163" t="str">
        <f>G4</f>
        <v>OMSET PRODUK</v>
      </c>
      <c r="H37" s="353" t="s">
        <v>63</v>
      </c>
      <c r="I37" s="353" t="s">
        <v>64</v>
      </c>
      <c r="J37" s="622"/>
      <c r="K37" s="164">
        <f>K26</f>
        <v>1</v>
      </c>
      <c r="L37" s="214"/>
      <c r="M37" s="214"/>
      <c r="O37" s="608"/>
      <c r="P37" s="354" t="s">
        <v>93</v>
      </c>
      <c r="Q37" s="355" t="str">
        <f>Q26</f>
        <v>TARGET 100%</v>
      </c>
      <c r="R37" s="592"/>
      <c r="S37" s="592"/>
      <c r="T37" s="200" t="str">
        <f>T4</f>
        <v>OMSET APR
 (1-30)</v>
      </c>
      <c r="U37" s="200" t="str">
        <f>G4</f>
        <v>OMSET PRODUK</v>
      </c>
      <c r="V37" s="355" t="s">
        <v>63</v>
      </c>
      <c r="W37" s="355" t="s">
        <v>64</v>
      </c>
      <c r="X37" s="603"/>
      <c r="Y37" s="201">
        <f>K37</f>
        <v>1</v>
      </c>
    </row>
    <row r="38" spans="1:27" x14ac:dyDescent="0.35">
      <c r="A38" s="623"/>
      <c r="B38" s="325" t="s">
        <v>96</v>
      </c>
      <c r="C38" s="326">
        <v>131891760.00000001</v>
      </c>
      <c r="D38" s="222">
        <v>19</v>
      </c>
      <c r="E38" s="308">
        <v>17</v>
      </c>
      <c r="F38" s="169">
        <v>137087204.50440007</v>
      </c>
      <c r="G38" s="169">
        <v>968130.63060000003</v>
      </c>
      <c r="H38" s="326"/>
      <c r="I38" s="326">
        <f t="shared" ref="I38:I44" si="36">F38-G38</f>
        <v>136119073.87380007</v>
      </c>
      <c r="J38" s="226">
        <f t="shared" ref="J38:J44" si="37">I38-C38</f>
        <v>4227313.8738000542</v>
      </c>
      <c r="K38" s="172">
        <f t="shared" ref="K38:K45" si="38">I38/C38</f>
        <v>1.0320513872420845</v>
      </c>
      <c r="L38" s="369" t="str">
        <f>IF(K38&gt;120%,"0,55%",IF(K38&gt;100%,"0,45%",IF(K38&gt;80%,"0,35%",IF(K38&gt;60%,"0,2%",IF(K38&gt;40%,"0,15%",0)))))</f>
        <v>0,45%</v>
      </c>
      <c r="M38" s="186">
        <f>L38*I38</f>
        <v>612535.83243210032</v>
      </c>
      <c r="N38" s="216"/>
      <c r="O38" s="608"/>
      <c r="P38" s="325" t="s">
        <v>96</v>
      </c>
      <c r="Q38" s="326">
        <v>358020000</v>
      </c>
      <c r="R38" s="222">
        <v>11</v>
      </c>
      <c r="S38" s="308">
        <v>8</v>
      </c>
      <c r="T38" s="169">
        <v>283049807.38749993</v>
      </c>
      <c r="U38" s="169"/>
      <c r="V38" s="326"/>
      <c r="W38" s="326">
        <f>T38-U38</f>
        <v>283049807.38749993</v>
      </c>
      <c r="X38" s="226">
        <f t="shared" ref="X38:X44" si="39">W38-Q38</f>
        <v>-74970192.612500072</v>
      </c>
      <c r="Y38" s="172">
        <f t="shared" ref="Y38:Y44" si="40">W38/Q38</f>
        <v>0.79059775260460285</v>
      </c>
      <c r="Z38" s="369" t="str">
        <f>IF(Y38&gt;120%,"0,55%",IF(Y38&gt;100%,"0,45%",IF(Y38&gt;80%,"0,35%",IF(Y38&gt;60%,"0,2%",IF(Y38&gt;40%,"0,15%",0)))))</f>
        <v>0,2%</v>
      </c>
      <c r="AA38" s="186">
        <f>Z38*W38</f>
        <v>566099.61477499991</v>
      </c>
    </row>
    <row r="39" spans="1:27" x14ac:dyDescent="0.35">
      <c r="A39" s="623"/>
      <c r="B39" s="325" t="s">
        <v>97</v>
      </c>
      <c r="C39" s="327">
        <v>565250400</v>
      </c>
      <c r="D39" s="222">
        <v>13</v>
      </c>
      <c r="E39" s="308">
        <v>13</v>
      </c>
      <c r="F39" s="169">
        <v>405744524.77480006</v>
      </c>
      <c r="G39" s="328">
        <v>1700000</v>
      </c>
      <c r="H39" s="327"/>
      <c r="I39" s="326">
        <f t="shared" si="36"/>
        <v>404044524.77480006</v>
      </c>
      <c r="J39" s="226">
        <f t="shared" si="37"/>
        <v>-161205875.22519994</v>
      </c>
      <c r="K39" s="172">
        <f t="shared" si="38"/>
        <v>0.71480626068517605</v>
      </c>
      <c r="L39" s="369" t="str">
        <f t="shared" ref="L39:L43" si="41">IF(K39&gt;120%,"0,55%",IF(K39&gt;100%,"0,45%",IF(K39&gt;80%,"0,35%",IF(K39&gt;60%,"0,2%",IF(K39&gt;40%,"0,15%",0)))))</f>
        <v>0,2%</v>
      </c>
      <c r="M39" s="186">
        <f t="shared" ref="M39:M43" si="42">L39*I39</f>
        <v>808089.04954960011</v>
      </c>
      <c r="N39" s="216"/>
      <c r="O39" s="608"/>
      <c r="P39" s="325" t="s">
        <v>97</v>
      </c>
      <c r="Q39" s="327">
        <v>210600000</v>
      </c>
      <c r="R39" s="222">
        <v>8</v>
      </c>
      <c r="S39" s="308">
        <v>6</v>
      </c>
      <c r="T39" s="169">
        <v>33331531.531400003</v>
      </c>
      <c r="U39" s="328">
        <v>2972972.9730000002</v>
      </c>
      <c r="V39" s="327"/>
      <c r="W39" s="326">
        <f>T39-U39</f>
        <v>30358558.558400001</v>
      </c>
      <c r="X39" s="226">
        <f t="shared" si="39"/>
        <v>-180241441.44159999</v>
      </c>
      <c r="Y39" s="172">
        <f t="shared" si="40"/>
        <v>0.14415269970750239</v>
      </c>
      <c r="Z39" s="369">
        <f t="shared" ref="Z39:Z43" si="43">IF(Y39&gt;120%,"0,55%",IF(Y39&gt;100%,"0,45%",IF(Y39&gt;80%,"0,35%",IF(Y39&gt;60%,"0,2%",IF(Y39&gt;40%,"0,15%",0)))))</f>
        <v>0</v>
      </c>
      <c r="AA39" s="186">
        <f t="shared" ref="AA39:AA43" si="44">Z39*W39</f>
        <v>0</v>
      </c>
    </row>
    <row r="40" spans="1:27" x14ac:dyDescent="0.35">
      <c r="A40" s="623"/>
      <c r="B40" s="325" t="s">
        <v>98</v>
      </c>
      <c r="C40" s="327">
        <v>546408720</v>
      </c>
      <c r="D40" s="222">
        <v>14</v>
      </c>
      <c r="E40" s="308">
        <v>15</v>
      </c>
      <c r="F40" s="169">
        <v>324342633.86159998</v>
      </c>
      <c r="G40" s="169"/>
      <c r="H40" s="327"/>
      <c r="I40" s="326">
        <f t="shared" si="36"/>
        <v>324342633.86159998</v>
      </c>
      <c r="J40" s="226">
        <f t="shared" si="37"/>
        <v>-222066086.13840002</v>
      </c>
      <c r="K40" s="172">
        <f t="shared" si="38"/>
        <v>0.59358978359935399</v>
      </c>
      <c r="L40" s="369" t="str">
        <f t="shared" si="41"/>
        <v>0,15%</v>
      </c>
      <c r="M40" s="186">
        <f t="shared" si="42"/>
        <v>486513.95079239999</v>
      </c>
      <c r="N40" s="216"/>
      <c r="O40" s="608"/>
      <c r="P40" s="325" t="s">
        <v>98</v>
      </c>
      <c r="Q40" s="327">
        <v>336960000</v>
      </c>
      <c r="R40" s="222">
        <v>13</v>
      </c>
      <c r="S40" s="308">
        <v>11</v>
      </c>
      <c r="T40" s="169">
        <v>158227096.89660001</v>
      </c>
      <c r="U40" s="169"/>
      <c r="V40" s="327"/>
      <c r="W40" s="326">
        <f t="shared" ref="W40:W44" si="45">T40-U40</f>
        <v>158227096.89660001</v>
      </c>
      <c r="X40" s="226">
        <f t="shared" si="39"/>
        <v>-178732903.10339999</v>
      </c>
      <c r="Y40" s="172">
        <f t="shared" si="40"/>
        <v>0.46957234359152422</v>
      </c>
      <c r="Z40" s="369" t="str">
        <f t="shared" si="43"/>
        <v>0,15%</v>
      </c>
      <c r="AA40" s="186">
        <f t="shared" si="44"/>
        <v>237340.64534490003</v>
      </c>
    </row>
    <row r="41" spans="1:27" x14ac:dyDescent="0.35">
      <c r="A41" s="623"/>
      <c r="B41" s="325" t="s">
        <v>99</v>
      </c>
      <c r="C41" s="327">
        <v>244941840</v>
      </c>
      <c r="D41" s="222">
        <v>13</v>
      </c>
      <c r="E41" s="308">
        <v>10</v>
      </c>
      <c r="F41" s="169">
        <v>178226320.08959994</v>
      </c>
      <c r="G41" s="169">
        <v>1283130.6306</v>
      </c>
      <c r="H41" s="327"/>
      <c r="I41" s="326">
        <f t="shared" si="36"/>
        <v>176943189.45899993</v>
      </c>
      <c r="J41" s="226">
        <f t="shared" si="37"/>
        <v>-67998650.541000068</v>
      </c>
      <c r="K41" s="172">
        <f t="shared" si="38"/>
        <v>0.72238858603740352</v>
      </c>
      <c r="L41" s="369" t="str">
        <f t="shared" si="41"/>
        <v>0,2%</v>
      </c>
      <c r="M41" s="186">
        <f t="shared" si="42"/>
        <v>353886.37891799986</v>
      </c>
      <c r="N41" s="216"/>
      <c r="O41" s="608"/>
      <c r="P41" s="325" t="s">
        <v>99</v>
      </c>
      <c r="Q41" s="327">
        <v>737100000</v>
      </c>
      <c r="R41" s="222">
        <v>16</v>
      </c>
      <c r="S41" s="308">
        <v>15</v>
      </c>
      <c r="T41" s="169">
        <v>451742920.82109988</v>
      </c>
      <c r="U41" s="169">
        <v>2184684.6847000001</v>
      </c>
      <c r="V41" s="327"/>
      <c r="W41" s="326">
        <f t="shared" si="45"/>
        <v>449558236.13639987</v>
      </c>
      <c r="X41" s="226">
        <f t="shared" si="39"/>
        <v>-287541763.86360013</v>
      </c>
      <c r="Y41" s="172">
        <f t="shared" si="40"/>
        <v>0.60990128359299944</v>
      </c>
      <c r="Z41" s="369" t="str">
        <f t="shared" si="43"/>
        <v>0,2%</v>
      </c>
      <c r="AA41" s="186">
        <f t="shared" si="44"/>
        <v>899116.4722727997</v>
      </c>
    </row>
    <row r="42" spans="1:27" x14ac:dyDescent="0.35">
      <c r="A42" s="623"/>
      <c r="B42" s="325" t="s">
        <v>100</v>
      </c>
      <c r="C42" s="327">
        <v>188416800</v>
      </c>
      <c r="D42" s="222">
        <v>11</v>
      </c>
      <c r="E42" s="308">
        <v>9</v>
      </c>
      <c r="F42" s="169">
        <v>79261993.127099991</v>
      </c>
      <c r="G42" s="169">
        <v>732500</v>
      </c>
      <c r="H42" s="327"/>
      <c r="I42" s="326">
        <f t="shared" si="36"/>
        <v>78529493.127099991</v>
      </c>
      <c r="J42" s="226">
        <f t="shared" si="37"/>
        <v>-109887306.87290001</v>
      </c>
      <c r="K42" s="172">
        <f t="shared" si="38"/>
        <v>0.41678604629258109</v>
      </c>
      <c r="L42" s="369" t="str">
        <f t="shared" si="41"/>
        <v>0,15%</v>
      </c>
      <c r="M42" s="186">
        <f t="shared" si="42"/>
        <v>117794.23969064999</v>
      </c>
      <c r="N42" s="216"/>
      <c r="O42" s="608"/>
      <c r="P42" s="325" t="s">
        <v>100</v>
      </c>
      <c r="Q42" s="327">
        <v>252720000</v>
      </c>
      <c r="R42" s="222">
        <v>11</v>
      </c>
      <c r="S42" s="308">
        <v>8</v>
      </c>
      <c r="T42" s="169">
        <v>70418896.395899996</v>
      </c>
      <c r="U42" s="169">
        <v>1621621.6216</v>
      </c>
      <c r="V42" s="327"/>
      <c r="W42" s="326">
        <f t="shared" si="45"/>
        <v>68797274.774299994</v>
      </c>
      <c r="X42" s="226">
        <f t="shared" si="39"/>
        <v>-183922725.22570002</v>
      </c>
      <c r="Y42" s="172">
        <f t="shared" si="40"/>
        <v>0.27222726643835071</v>
      </c>
      <c r="Z42" s="369">
        <f t="shared" si="43"/>
        <v>0</v>
      </c>
      <c r="AA42" s="186">
        <f t="shared" si="44"/>
        <v>0</v>
      </c>
    </row>
    <row r="43" spans="1:27" x14ac:dyDescent="0.35">
      <c r="A43" s="623"/>
      <c r="B43" s="325" t="s">
        <v>101</v>
      </c>
      <c r="C43" s="327">
        <v>207258480</v>
      </c>
      <c r="D43" s="222">
        <v>14</v>
      </c>
      <c r="E43" s="308">
        <v>12</v>
      </c>
      <c r="F43" s="169">
        <v>140994061.26140001</v>
      </c>
      <c r="G43" s="169"/>
      <c r="H43" s="327"/>
      <c r="I43" s="326">
        <f t="shared" si="36"/>
        <v>140994061.26140001</v>
      </c>
      <c r="J43" s="226">
        <f t="shared" si="37"/>
        <v>-66264418.738599986</v>
      </c>
      <c r="K43" s="172">
        <f t="shared" si="38"/>
        <v>0.68028126647170251</v>
      </c>
      <c r="L43" s="369" t="str">
        <f t="shared" si="41"/>
        <v>0,2%</v>
      </c>
      <c r="M43" s="186">
        <f t="shared" si="42"/>
        <v>281988.12252280005</v>
      </c>
      <c r="N43" s="216"/>
      <c r="O43" s="608"/>
      <c r="P43" s="325" t="s">
        <v>101</v>
      </c>
      <c r="Q43" s="327">
        <v>210600000</v>
      </c>
      <c r="R43" s="222">
        <v>6</v>
      </c>
      <c r="S43" s="308">
        <v>5</v>
      </c>
      <c r="T43" s="169">
        <v>108207363.96399999</v>
      </c>
      <c r="U43" s="169">
        <v>278400</v>
      </c>
      <c r="V43" s="327"/>
      <c r="W43" s="326">
        <f t="shared" si="45"/>
        <v>107928963.96399999</v>
      </c>
      <c r="X43" s="226">
        <f t="shared" si="39"/>
        <v>-102671036.03600001</v>
      </c>
      <c r="Y43" s="172">
        <f t="shared" si="40"/>
        <v>0.51248320970560302</v>
      </c>
      <c r="Z43" s="369" t="str">
        <f t="shared" si="43"/>
        <v>0,15%</v>
      </c>
      <c r="AA43" s="186">
        <f t="shared" si="44"/>
        <v>161893.44594599999</v>
      </c>
    </row>
    <row r="44" spans="1:27" ht="14.5" customHeight="1" thickBot="1" x14ac:dyDescent="0.4">
      <c r="A44" s="623"/>
      <c r="B44" s="352" t="s">
        <v>77</v>
      </c>
      <c r="C44" s="329">
        <f>SUM(C38:C43)</f>
        <v>1884168000</v>
      </c>
      <c r="D44" s="178">
        <f>SUM(D38:D43)</f>
        <v>84</v>
      </c>
      <c r="E44" s="178">
        <f t="shared" ref="E44:H44" si="46">SUM(E38:E43)</f>
        <v>76</v>
      </c>
      <c r="F44" s="329">
        <f>SUM(F38:F43)</f>
        <v>1265656737.6189001</v>
      </c>
      <c r="G44" s="330">
        <f>SUM(G38:G43)</f>
        <v>4683761.2611999996</v>
      </c>
      <c r="H44" s="329">
        <f t="shared" si="46"/>
        <v>0</v>
      </c>
      <c r="I44" s="329">
        <f t="shared" si="36"/>
        <v>1260972976.3577001</v>
      </c>
      <c r="J44" s="329">
        <f t="shared" si="37"/>
        <v>-623195023.64229989</v>
      </c>
      <c r="K44" s="305">
        <f t="shared" si="38"/>
        <v>0.66924657268231924</v>
      </c>
      <c r="L44" s="369" t="str">
        <f>IF(K44&gt;100%,"CAPAI 100%",IF(K44&gt;90%,"CAPAI 90%","BELUM CAPAI"))</f>
        <v>BELUM CAPAI</v>
      </c>
      <c r="M44" s="202">
        <f>SUM(M38:M43)</f>
        <v>2660807.5739055504</v>
      </c>
      <c r="O44" s="609"/>
      <c r="P44" s="354" t="s">
        <v>77</v>
      </c>
      <c r="Q44" s="336">
        <f t="shared" ref="Q44:V44" si="47">SUM(Q38:Q43)</f>
        <v>2106000000</v>
      </c>
      <c r="R44" s="207">
        <f>SUM(R38:R43)</f>
        <v>65</v>
      </c>
      <c r="S44" s="207">
        <f t="shared" si="47"/>
        <v>53</v>
      </c>
      <c r="T44" s="336">
        <f t="shared" si="47"/>
        <v>1104977616.9964998</v>
      </c>
      <c r="U44" s="337">
        <f>SUM(U38:U43)</f>
        <v>7057679.2793000005</v>
      </c>
      <c r="V44" s="336">
        <f t="shared" si="47"/>
        <v>0</v>
      </c>
      <c r="W44" s="336">
        <f t="shared" si="45"/>
        <v>1097919937.7171998</v>
      </c>
      <c r="X44" s="336">
        <f t="shared" si="39"/>
        <v>-1008080062.2828002</v>
      </c>
      <c r="Y44" s="313">
        <f t="shared" si="40"/>
        <v>0.52132950508888876</v>
      </c>
      <c r="Z44" s="369" t="str">
        <f>IF(Y44&gt;100%,"CAPAI 100%",IF(Y44&gt;90%,"CAPAI 90%","BELUM CAPAI"))</f>
        <v>BELUM CAPAI</v>
      </c>
      <c r="AA44" s="202">
        <f>SUM(AA38:AA43)</f>
        <v>1864450.1783386995</v>
      </c>
    </row>
    <row r="45" spans="1:27" ht="14.5" customHeight="1" x14ac:dyDescent="0.55000000000000004">
      <c r="B45" s="324" t="str">
        <f>$B$12</f>
        <v>TARGET Q2</v>
      </c>
      <c r="C45" s="243">
        <f>C46*C44</f>
        <v>1695751200</v>
      </c>
      <c r="D45" s="597"/>
      <c r="E45" s="598"/>
      <c r="F45" s="598"/>
      <c r="G45" s="598"/>
      <c r="H45" s="599"/>
      <c r="I45" s="243">
        <f>I44</f>
        <v>1260972976.3577001</v>
      </c>
      <c r="J45" s="243">
        <f>I45-C45</f>
        <v>-434778223.64229989</v>
      </c>
      <c r="K45" s="183">
        <f t="shared" si="38"/>
        <v>0.74360730298035471</v>
      </c>
      <c r="O45" s="309"/>
      <c r="P45" s="324" t="str">
        <f>$B$12</f>
        <v>TARGET Q2</v>
      </c>
      <c r="Q45" s="243">
        <f>Q46*Q44</f>
        <v>1895400000</v>
      </c>
      <c r="R45" s="597"/>
      <c r="S45" s="598"/>
      <c r="T45" s="598"/>
      <c r="U45" s="598"/>
      <c r="V45" s="599"/>
      <c r="W45" s="243">
        <f>W44</f>
        <v>1097919937.7171998</v>
      </c>
      <c r="X45" s="243">
        <f>W45-Q45</f>
        <v>-797480062.2828002</v>
      </c>
      <c r="Y45" s="183">
        <f>W45/Q45</f>
        <v>0.57925500565432086</v>
      </c>
      <c r="Z45" s="192"/>
    </row>
    <row r="46" spans="1:27" ht="24" thickBot="1" x14ac:dyDescent="0.6">
      <c r="C46" s="210">
        <v>0.9</v>
      </c>
      <c r="O46" s="309"/>
      <c r="Q46" s="210">
        <v>0.9</v>
      </c>
    </row>
    <row r="47" spans="1:27" ht="19.5" customHeight="1" x14ac:dyDescent="0.35">
      <c r="A47" s="627">
        <v>5</v>
      </c>
      <c r="B47" s="352" t="s">
        <v>57</v>
      </c>
      <c r="C47" s="353" t="s">
        <v>35</v>
      </c>
      <c r="D47" s="616" t="s">
        <v>91</v>
      </c>
      <c r="E47" s="616" t="s">
        <v>62</v>
      </c>
      <c r="F47" s="604" t="s">
        <v>110</v>
      </c>
      <c r="G47" s="605"/>
      <c r="H47" s="605"/>
      <c r="I47" s="606"/>
      <c r="J47" s="621" t="s">
        <v>65</v>
      </c>
      <c r="K47" s="352" t="s">
        <v>66</v>
      </c>
      <c r="O47" s="613">
        <v>5</v>
      </c>
      <c r="P47" s="354" t="s">
        <v>57</v>
      </c>
      <c r="Q47" s="355" t="s">
        <v>54</v>
      </c>
      <c r="R47" s="591" t="s">
        <v>91</v>
      </c>
      <c r="S47" s="591" t="s">
        <v>62</v>
      </c>
      <c r="T47" s="610" t="s">
        <v>110</v>
      </c>
      <c r="U47" s="611"/>
      <c r="V47" s="611"/>
      <c r="W47" s="612"/>
      <c r="X47" s="603" t="s">
        <v>65</v>
      </c>
      <c r="Y47" s="354" t="s">
        <v>66</v>
      </c>
    </row>
    <row r="48" spans="1:27" ht="36" customHeight="1" x14ac:dyDescent="0.35">
      <c r="A48" s="628"/>
      <c r="B48" s="352" t="s">
        <v>93</v>
      </c>
      <c r="C48" s="353" t="str">
        <f>C37</f>
        <v>TARGET 100%</v>
      </c>
      <c r="D48" s="617"/>
      <c r="E48" s="617"/>
      <c r="F48" s="163" t="str">
        <f>F4</f>
        <v>OMSET APR
 (1-30)</v>
      </c>
      <c r="G48" s="163" t="str">
        <f>G4</f>
        <v>OMSET PRODUK</v>
      </c>
      <c r="H48" s="353" t="s">
        <v>63</v>
      </c>
      <c r="I48" s="353" t="s">
        <v>64</v>
      </c>
      <c r="J48" s="622"/>
      <c r="K48" s="164">
        <f>K37</f>
        <v>1</v>
      </c>
      <c r="L48" s="211"/>
      <c r="M48" s="214"/>
      <c r="O48" s="614"/>
      <c r="P48" s="354" t="s">
        <v>93</v>
      </c>
      <c r="Q48" s="355" t="str">
        <f>Q37</f>
        <v>TARGET 100%</v>
      </c>
      <c r="R48" s="592"/>
      <c r="S48" s="592"/>
      <c r="T48" s="200" t="str">
        <f>T4</f>
        <v>OMSET APR
 (1-30)</v>
      </c>
      <c r="U48" s="200" t="str">
        <f>G4</f>
        <v>OMSET PRODUK</v>
      </c>
      <c r="V48" s="355" t="s">
        <v>63</v>
      </c>
      <c r="W48" s="355" t="s">
        <v>64</v>
      </c>
      <c r="X48" s="603"/>
      <c r="Y48" s="201">
        <f>K48</f>
        <v>1</v>
      </c>
    </row>
    <row r="49" spans="1:27" x14ac:dyDescent="0.35">
      <c r="A49" s="628"/>
      <c r="B49" s="325" t="s">
        <v>96</v>
      </c>
      <c r="C49" s="326">
        <v>179852400</v>
      </c>
      <c r="D49" s="222">
        <v>19</v>
      </c>
      <c r="E49" s="308">
        <v>21</v>
      </c>
      <c r="F49" s="169">
        <v>199942464.86539996</v>
      </c>
      <c r="G49" s="169">
        <v>337500</v>
      </c>
      <c r="H49" s="326"/>
      <c r="I49" s="326">
        <f t="shared" ref="I49:I55" si="48">F49-G49</f>
        <v>199604964.86539996</v>
      </c>
      <c r="J49" s="226">
        <f t="shared" ref="J49:J55" si="49">I49-C49</f>
        <v>19752564.865399957</v>
      </c>
      <c r="K49" s="172">
        <f t="shared" ref="K49:K56" si="50">I49/C49</f>
        <v>1.1098265292284115</v>
      </c>
      <c r="L49" s="369" t="str">
        <f>IF(K49&gt;120%,"0,55%",IF(K49&gt;100%,"0,45%",IF(K49&gt;80%,"0,35%",IF(K49&gt;60%,"0,2%",IF(K49&gt;40%,"0,15%",0)))))</f>
        <v>0,45%</v>
      </c>
      <c r="M49" s="186">
        <f>L49*I49</f>
        <v>898222.34189429972</v>
      </c>
      <c r="O49" s="614"/>
      <c r="P49" s="325" t="s">
        <v>96</v>
      </c>
      <c r="Q49" s="326">
        <v>775008000</v>
      </c>
      <c r="R49" s="222">
        <v>20</v>
      </c>
      <c r="S49" s="308">
        <v>19</v>
      </c>
      <c r="T49" s="169">
        <v>912691451.80159903</v>
      </c>
      <c r="U49" s="169">
        <v>3108108.1082000001</v>
      </c>
      <c r="V49" s="326"/>
      <c r="W49" s="326">
        <f t="shared" ref="W49:W55" si="51">T49-U49</f>
        <v>909583343.69339907</v>
      </c>
      <c r="X49" s="226">
        <f t="shared" ref="X49:X55" si="52">W49-Q49</f>
        <v>134575343.69339907</v>
      </c>
      <c r="Y49" s="172">
        <f t="shared" ref="Y49:Y55" si="53">W49/Q49</f>
        <v>1.1736438123134201</v>
      </c>
      <c r="Z49" s="369" t="str">
        <f>IF(Y49&gt;120%,"0,55%",IF(Y49&gt;100%,"0,45%",IF(Y49&gt;80%,"0,35%",IF(Y49&gt;60%,"0,2%",IF(Y49&gt;40%,"0,15%",0)))))</f>
        <v>0,45%</v>
      </c>
      <c r="AA49" s="186">
        <f>Z49*W49</f>
        <v>4093125.0466202954</v>
      </c>
    </row>
    <row r="50" spans="1:27" x14ac:dyDescent="0.35">
      <c r="A50" s="628"/>
      <c r="B50" s="325" t="s">
        <v>97</v>
      </c>
      <c r="C50" s="327">
        <v>701424360</v>
      </c>
      <c r="D50" s="222">
        <v>30</v>
      </c>
      <c r="E50" s="308">
        <v>24</v>
      </c>
      <c r="F50" s="169">
        <v>815727717.34879994</v>
      </c>
      <c r="G50" s="328">
        <v>7827500</v>
      </c>
      <c r="H50" s="327"/>
      <c r="I50" s="326">
        <f t="shared" si="48"/>
        <v>807900217.34879994</v>
      </c>
      <c r="J50" s="226">
        <f t="shared" si="49"/>
        <v>106475857.34879994</v>
      </c>
      <c r="K50" s="172">
        <f t="shared" si="50"/>
        <v>1.1517994860469345</v>
      </c>
      <c r="L50" s="369" t="str">
        <f t="shared" ref="L50:L54" si="54">IF(K50&gt;120%,"0,55%",IF(K50&gt;100%,"0,45%",IF(K50&gt;80%,"0,35%",IF(K50&gt;60%,"0,2%",IF(K50&gt;40%,"0,15%",0)))))</f>
        <v>0,45%</v>
      </c>
      <c r="M50" s="186">
        <f t="shared" ref="M50:M54" si="55">L50*I50</f>
        <v>3635550.9780695993</v>
      </c>
      <c r="N50" s="216"/>
      <c r="O50" s="614"/>
      <c r="P50" s="325" t="s">
        <v>97</v>
      </c>
      <c r="Q50" s="327">
        <v>348753600</v>
      </c>
      <c r="R50" s="222">
        <v>13</v>
      </c>
      <c r="S50" s="308">
        <v>13</v>
      </c>
      <c r="T50" s="169">
        <v>265467799.99950001</v>
      </c>
      <c r="U50" s="328">
        <v>2583827.0271000001</v>
      </c>
      <c r="V50" s="327"/>
      <c r="W50" s="326">
        <f t="shared" si="51"/>
        <v>262883972.97240001</v>
      </c>
      <c r="X50" s="226">
        <f t="shared" si="52"/>
        <v>-85869627.02759999</v>
      </c>
      <c r="Y50" s="172">
        <f t="shared" si="53"/>
        <v>0.75378138884415824</v>
      </c>
      <c r="Z50" s="369" t="str">
        <f t="shared" ref="Z50:Z54" si="56">IF(Y50&gt;120%,"0,55%",IF(Y50&gt;100%,"0,45%",IF(Y50&gt;80%,"0,35%",IF(Y50&gt;60%,"0,2%",IF(Y50&gt;40%,"0,15%",0)))))</f>
        <v>0,2%</v>
      </c>
      <c r="AA50" s="186">
        <f t="shared" ref="AA50:AA54" si="57">Z50*W50</f>
        <v>525767.94594480004</v>
      </c>
    </row>
    <row r="51" spans="1:27" x14ac:dyDescent="0.35">
      <c r="A51" s="628"/>
      <c r="B51" s="325" t="s">
        <v>98</v>
      </c>
      <c r="C51" s="327">
        <v>377690040</v>
      </c>
      <c r="D51" s="222">
        <v>23</v>
      </c>
      <c r="E51" s="308">
        <v>17</v>
      </c>
      <c r="F51" s="169">
        <v>399531482.90519977</v>
      </c>
      <c r="G51" s="169">
        <v>395000</v>
      </c>
      <c r="H51" s="327"/>
      <c r="I51" s="326">
        <f t="shared" si="48"/>
        <v>399136482.90519977</v>
      </c>
      <c r="J51" s="226">
        <f t="shared" si="49"/>
        <v>21446442.905199766</v>
      </c>
      <c r="K51" s="172">
        <f t="shared" si="50"/>
        <v>1.0567831836529229</v>
      </c>
      <c r="L51" s="369" t="str">
        <f t="shared" si="54"/>
        <v>0,45%</v>
      </c>
      <c r="M51" s="186">
        <f t="shared" si="55"/>
        <v>1796114.1730733989</v>
      </c>
      <c r="N51" s="216"/>
      <c r="O51" s="614"/>
      <c r="P51" s="325" t="s">
        <v>98</v>
      </c>
      <c r="Q51" s="327">
        <v>193752000</v>
      </c>
      <c r="R51" s="222">
        <v>10</v>
      </c>
      <c r="S51" s="308">
        <v>10</v>
      </c>
      <c r="T51" s="169">
        <v>46340495.810899988</v>
      </c>
      <c r="U51" s="169">
        <v>10405405.405499998</v>
      </c>
      <c r="V51" s="327"/>
      <c r="W51" s="326">
        <f t="shared" si="51"/>
        <v>35935090.405399993</v>
      </c>
      <c r="X51" s="226">
        <f t="shared" si="52"/>
        <v>-157816909.59460002</v>
      </c>
      <c r="Y51" s="172">
        <f t="shared" si="53"/>
        <v>0.18546951982637594</v>
      </c>
      <c r="Z51" s="369">
        <f t="shared" si="56"/>
        <v>0</v>
      </c>
      <c r="AA51" s="186">
        <f t="shared" si="57"/>
        <v>0</v>
      </c>
    </row>
    <row r="52" spans="1:27" x14ac:dyDescent="0.35">
      <c r="A52" s="628"/>
      <c r="B52" s="325" t="s">
        <v>99</v>
      </c>
      <c r="C52" s="327">
        <v>233808120</v>
      </c>
      <c r="D52" s="222">
        <v>15</v>
      </c>
      <c r="E52" s="308">
        <v>10</v>
      </c>
      <c r="F52" s="169">
        <v>168442782.88289997</v>
      </c>
      <c r="G52" s="169"/>
      <c r="H52" s="327"/>
      <c r="I52" s="326">
        <f t="shared" si="48"/>
        <v>168442782.88289997</v>
      </c>
      <c r="J52" s="226">
        <f t="shared" si="49"/>
        <v>-65365337.11710003</v>
      </c>
      <c r="K52" s="172">
        <f t="shared" si="50"/>
        <v>0.7204317064903476</v>
      </c>
      <c r="L52" s="369" t="str">
        <f t="shared" si="54"/>
        <v>0,2%</v>
      </c>
      <c r="M52" s="186">
        <f t="shared" si="55"/>
        <v>336885.56576579995</v>
      </c>
      <c r="N52" s="216"/>
      <c r="O52" s="614"/>
      <c r="P52" s="325" t="s">
        <v>99</v>
      </c>
      <c r="Q52" s="327">
        <v>193752000</v>
      </c>
      <c r="R52" s="222">
        <v>12</v>
      </c>
      <c r="S52" s="308">
        <v>11</v>
      </c>
      <c r="T52" s="169">
        <v>77861055.855000004</v>
      </c>
      <c r="U52" s="169">
        <v>3267632.4324000003</v>
      </c>
      <c r="V52" s="327"/>
      <c r="W52" s="326">
        <f t="shared" si="51"/>
        <v>74593423.422600001</v>
      </c>
      <c r="X52" s="226">
        <f t="shared" si="52"/>
        <v>-119158576.5774</v>
      </c>
      <c r="Y52" s="172">
        <f t="shared" si="53"/>
        <v>0.38499434030410007</v>
      </c>
      <c r="Z52" s="369">
        <f t="shared" si="56"/>
        <v>0</v>
      </c>
      <c r="AA52" s="186">
        <f t="shared" si="57"/>
        <v>0</v>
      </c>
    </row>
    <row r="53" spans="1:27" x14ac:dyDescent="0.35">
      <c r="A53" s="628"/>
      <c r="B53" s="325" t="s">
        <v>100</v>
      </c>
      <c r="C53" s="327">
        <v>125896680.00000001</v>
      </c>
      <c r="D53" s="222">
        <v>15</v>
      </c>
      <c r="E53" s="308">
        <v>13</v>
      </c>
      <c r="F53" s="169">
        <v>69171288.288500011</v>
      </c>
      <c r="G53" s="169"/>
      <c r="H53" s="327"/>
      <c r="I53" s="326">
        <f t="shared" si="48"/>
        <v>69171288.288500011</v>
      </c>
      <c r="J53" s="226">
        <f t="shared" si="49"/>
        <v>-56725391.711500004</v>
      </c>
      <c r="K53" s="172">
        <f t="shared" si="50"/>
        <v>0.54942901026857893</v>
      </c>
      <c r="L53" s="369" t="str">
        <f t="shared" si="54"/>
        <v>0,15%</v>
      </c>
      <c r="M53" s="186">
        <f t="shared" si="55"/>
        <v>103756.93243275002</v>
      </c>
      <c r="N53" s="216"/>
      <c r="O53" s="614"/>
      <c r="P53" s="325" t="s">
        <v>100</v>
      </c>
      <c r="Q53" s="327">
        <v>213127200</v>
      </c>
      <c r="R53" s="222">
        <v>13</v>
      </c>
      <c r="S53" s="308">
        <v>8</v>
      </c>
      <c r="T53" s="169">
        <v>56635002.702800006</v>
      </c>
      <c r="U53" s="169">
        <v>2527027.0271000001</v>
      </c>
      <c r="V53" s="327"/>
      <c r="W53" s="326">
        <f t="shared" si="51"/>
        <v>54107975.675700009</v>
      </c>
      <c r="X53" s="226">
        <f t="shared" si="52"/>
        <v>-159019224.32429999</v>
      </c>
      <c r="Y53" s="172">
        <f t="shared" si="53"/>
        <v>0.25387644409394955</v>
      </c>
      <c r="Z53" s="369">
        <f t="shared" si="56"/>
        <v>0</v>
      </c>
      <c r="AA53" s="186">
        <f t="shared" si="57"/>
        <v>0</v>
      </c>
    </row>
    <row r="54" spans="1:27" x14ac:dyDescent="0.35">
      <c r="A54" s="628"/>
      <c r="B54" s="325" t="s">
        <v>101</v>
      </c>
      <c r="C54" s="327">
        <v>179852400</v>
      </c>
      <c r="D54" s="222">
        <v>14</v>
      </c>
      <c r="E54" s="308">
        <v>7</v>
      </c>
      <c r="F54" s="169">
        <v>60467069.008899994</v>
      </c>
      <c r="G54" s="169"/>
      <c r="H54" s="327"/>
      <c r="I54" s="326">
        <f t="shared" si="48"/>
        <v>60467069.008899994</v>
      </c>
      <c r="J54" s="226">
        <f t="shared" si="49"/>
        <v>-119385330.99110001</v>
      </c>
      <c r="K54" s="172">
        <f t="shared" si="50"/>
        <v>0.33620384831617478</v>
      </c>
      <c r="L54" s="369">
        <f t="shared" si="54"/>
        <v>0</v>
      </c>
      <c r="M54" s="186">
        <f t="shared" si="55"/>
        <v>0</v>
      </c>
      <c r="N54" s="216"/>
      <c r="O54" s="614"/>
      <c r="P54" s="325" t="s">
        <v>101</v>
      </c>
      <c r="Q54" s="327">
        <v>213127200</v>
      </c>
      <c r="R54" s="222">
        <v>12</v>
      </c>
      <c r="S54" s="308">
        <v>9</v>
      </c>
      <c r="T54" s="169">
        <v>86373279.188999981</v>
      </c>
      <c r="U54" s="169">
        <v>3698162.1622000001</v>
      </c>
      <c r="V54" s="327"/>
      <c r="W54" s="326">
        <f t="shared" si="51"/>
        <v>82675117.026799977</v>
      </c>
      <c r="X54" s="226">
        <f t="shared" si="52"/>
        <v>-130452082.97320002</v>
      </c>
      <c r="Y54" s="172">
        <f t="shared" si="53"/>
        <v>0.38791443338438253</v>
      </c>
      <c r="Z54" s="369">
        <f t="shared" si="56"/>
        <v>0</v>
      </c>
      <c r="AA54" s="186">
        <f t="shared" si="57"/>
        <v>0</v>
      </c>
    </row>
    <row r="55" spans="1:27" ht="14.5" customHeight="1" thickBot="1" x14ac:dyDescent="0.4">
      <c r="A55" s="628"/>
      <c r="B55" s="352" t="s">
        <v>77</v>
      </c>
      <c r="C55" s="329">
        <f t="shared" ref="C55:H55" si="58">SUM(C49:C54)</f>
        <v>1798524000</v>
      </c>
      <c r="D55" s="178">
        <f t="shared" si="58"/>
        <v>116</v>
      </c>
      <c r="E55" s="178">
        <f t="shared" si="58"/>
        <v>92</v>
      </c>
      <c r="F55" s="329">
        <f t="shared" si="58"/>
        <v>1713282805.2996995</v>
      </c>
      <c r="G55" s="330">
        <f t="shared" si="58"/>
        <v>8560000</v>
      </c>
      <c r="H55" s="329">
        <f t="shared" si="58"/>
        <v>0</v>
      </c>
      <c r="I55" s="329">
        <f t="shared" si="48"/>
        <v>1704722805.2996995</v>
      </c>
      <c r="J55" s="329">
        <f t="shared" si="49"/>
        <v>-93801194.700300455</v>
      </c>
      <c r="K55" s="305">
        <f t="shared" si="50"/>
        <v>0.94784545844242252</v>
      </c>
      <c r="L55" s="369" t="str">
        <f>IF(K55&gt;100%,"CAPAI 100%",IF(K55&gt;90%,"CAPAI 90%","BELUM CAPAI"))</f>
        <v>CAPAI 90%</v>
      </c>
      <c r="M55" s="202">
        <f>SUM(M49:M54)</f>
        <v>6770529.9912358476</v>
      </c>
      <c r="O55" s="615"/>
      <c r="P55" s="354" t="s">
        <v>77</v>
      </c>
      <c r="Q55" s="336">
        <f t="shared" ref="Q55:V55" si="59">SUM(Q49:Q54)</f>
        <v>1937520000</v>
      </c>
      <c r="R55" s="207">
        <f>SUM(R49:R54)</f>
        <v>80</v>
      </c>
      <c r="S55" s="207">
        <f t="shared" si="59"/>
        <v>70</v>
      </c>
      <c r="T55" s="336">
        <f>SUM(T49:T54)</f>
        <v>1445369085.358799</v>
      </c>
      <c r="U55" s="337">
        <f t="shared" si="59"/>
        <v>25590162.162499998</v>
      </c>
      <c r="V55" s="336">
        <f t="shared" si="59"/>
        <v>0</v>
      </c>
      <c r="W55" s="336">
        <f t="shared" si="51"/>
        <v>1419778923.1962991</v>
      </c>
      <c r="X55" s="336">
        <f t="shared" si="52"/>
        <v>-517741076.80370092</v>
      </c>
      <c r="Y55" s="313">
        <f t="shared" si="53"/>
        <v>0.73278155745298068</v>
      </c>
      <c r="Z55" s="369" t="str">
        <f>IF(Y55&gt;100%,"CAPAI 100%",IF(Y55&gt;90%,"CAPAI 90%","BELUM CAPAI"))</f>
        <v>BELUM CAPAI</v>
      </c>
      <c r="AA55" s="202">
        <f>SUM(AA49:AA54)</f>
        <v>4618892.9925650954</v>
      </c>
    </row>
    <row r="56" spans="1:27" ht="14.5" customHeight="1" x14ac:dyDescent="0.55000000000000004">
      <c r="B56" s="324" t="str">
        <f>$B$12</f>
        <v>TARGET Q2</v>
      </c>
      <c r="C56" s="243">
        <f>C57*C55</f>
        <v>1618671600</v>
      </c>
      <c r="D56" s="597"/>
      <c r="E56" s="598"/>
      <c r="F56" s="598"/>
      <c r="G56" s="598"/>
      <c r="H56" s="599"/>
      <c r="I56" s="243">
        <f>I55</f>
        <v>1704722805.2996995</v>
      </c>
      <c r="J56" s="243">
        <f>I56-C56</f>
        <v>86051205.299699545</v>
      </c>
      <c r="K56" s="183">
        <f t="shared" si="50"/>
        <v>1.0531616204915806</v>
      </c>
      <c r="O56" s="309"/>
      <c r="P56" s="324" t="str">
        <f>$B$12</f>
        <v>TARGET Q2</v>
      </c>
      <c r="Q56" s="243">
        <f>Q57*Q55</f>
        <v>1743768000</v>
      </c>
      <c r="R56" s="597"/>
      <c r="S56" s="598"/>
      <c r="T56" s="598"/>
      <c r="U56" s="598"/>
      <c r="V56" s="599"/>
      <c r="W56" s="243">
        <f>W55</f>
        <v>1419778923.1962991</v>
      </c>
      <c r="X56" s="243">
        <f>W56-Q56</f>
        <v>-323989076.80370092</v>
      </c>
      <c r="Y56" s="183">
        <f>W56/Q56</f>
        <v>0.81420173050331179</v>
      </c>
      <c r="Z56" s="192"/>
    </row>
    <row r="57" spans="1:27" ht="24" thickBot="1" x14ac:dyDescent="0.6">
      <c r="C57" s="210">
        <v>0.9</v>
      </c>
      <c r="O57" s="309"/>
      <c r="Q57" s="210">
        <v>0.9</v>
      </c>
    </row>
    <row r="58" spans="1:27" ht="19.5" customHeight="1" x14ac:dyDescent="0.35">
      <c r="A58" s="626">
        <v>6</v>
      </c>
      <c r="B58" s="352" t="s">
        <v>57</v>
      </c>
      <c r="C58" s="353" t="s">
        <v>34</v>
      </c>
      <c r="D58" s="616" t="s">
        <v>91</v>
      </c>
      <c r="E58" s="616" t="s">
        <v>62</v>
      </c>
      <c r="F58" s="604" t="s">
        <v>112</v>
      </c>
      <c r="G58" s="605"/>
      <c r="H58" s="605"/>
      <c r="I58" s="606"/>
      <c r="J58" s="621" t="s">
        <v>65</v>
      </c>
      <c r="K58" s="352" t="s">
        <v>66</v>
      </c>
      <c r="O58" s="618">
        <v>6</v>
      </c>
      <c r="P58" s="354" t="s">
        <v>57</v>
      </c>
      <c r="Q58" s="355" t="s">
        <v>51</v>
      </c>
      <c r="R58" s="591" t="s">
        <v>91</v>
      </c>
      <c r="S58" s="591" t="s">
        <v>62</v>
      </c>
      <c r="T58" s="610" t="s">
        <v>112</v>
      </c>
      <c r="U58" s="611"/>
      <c r="V58" s="611"/>
      <c r="W58" s="612"/>
      <c r="X58" s="603" t="s">
        <v>65</v>
      </c>
      <c r="Y58" s="354" t="s">
        <v>66</v>
      </c>
    </row>
    <row r="59" spans="1:27" ht="36" customHeight="1" x14ac:dyDescent="0.35">
      <c r="A59" s="626"/>
      <c r="B59" s="352" t="s">
        <v>93</v>
      </c>
      <c r="C59" s="353" t="str">
        <f>C48</f>
        <v>TARGET 100%</v>
      </c>
      <c r="D59" s="617"/>
      <c r="E59" s="617"/>
      <c r="F59" s="163" t="str">
        <f>F4</f>
        <v>OMSET APR
 (1-30)</v>
      </c>
      <c r="G59" s="163" t="str">
        <f>G4</f>
        <v>OMSET PRODUK</v>
      </c>
      <c r="H59" s="353" t="s">
        <v>63</v>
      </c>
      <c r="I59" s="353" t="s">
        <v>64</v>
      </c>
      <c r="J59" s="622"/>
      <c r="K59" s="164">
        <f>K48</f>
        <v>1</v>
      </c>
      <c r="O59" s="619"/>
      <c r="P59" s="354" t="s">
        <v>93</v>
      </c>
      <c r="Q59" s="355" t="str">
        <f>Q48</f>
        <v>TARGET 100%</v>
      </c>
      <c r="R59" s="592"/>
      <c r="S59" s="592"/>
      <c r="T59" s="200" t="str">
        <f>T4</f>
        <v>OMSET APR
 (1-30)</v>
      </c>
      <c r="U59" s="200" t="str">
        <f>G4</f>
        <v>OMSET PRODUK</v>
      </c>
      <c r="V59" s="355" t="s">
        <v>63</v>
      </c>
      <c r="W59" s="355" t="s">
        <v>64</v>
      </c>
      <c r="X59" s="603"/>
      <c r="Y59" s="201">
        <f>K59</f>
        <v>1</v>
      </c>
    </row>
    <row r="60" spans="1:27" ht="14.5" customHeight="1" x14ac:dyDescent="0.35">
      <c r="A60" s="626"/>
      <c r="B60" s="325" t="s">
        <v>96</v>
      </c>
      <c r="C60" s="326">
        <v>135247320</v>
      </c>
      <c r="D60" s="222">
        <v>16</v>
      </c>
      <c r="E60" s="308">
        <v>12</v>
      </c>
      <c r="F60" s="169">
        <v>74998139.910300031</v>
      </c>
      <c r="G60" s="169"/>
      <c r="H60" s="326"/>
      <c r="I60" s="326">
        <f t="shared" ref="I60:I66" si="60">F60-G60</f>
        <v>74998139.910300031</v>
      </c>
      <c r="J60" s="226">
        <f t="shared" ref="J60:J66" si="61">I60-C60</f>
        <v>-60249180.089699969</v>
      </c>
      <c r="K60" s="172">
        <f t="shared" ref="K60:K67" si="62">I60/C60</f>
        <v>0.55452588569074812</v>
      </c>
      <c r="L60" s="369" t="str">
        <f>IF(K60&gt;120%,"0,55%",IF(K60&gt;100%,"0,45%",IF(K60&gt;80%,"0,35%",IF(K60&gt;60%,"0,2%",IF(K60&gt;40%,"0,15%",0)))))</f>
        <v>0,15%</v>
      </c>
      <c r="M60" s="186">
        <f>L60*I60</f>
        <v>112497.20986545004</v>
      </c>
      <c r="O60" s="619"/>
      <c r="P60" s="325" t="s">
        <v>96</v>
      </c>
      <c r="Q60" s="326">
        <v>232502400</v>
      </c>
      <c r="R60" s="222">
        <v>14</v>
      </c>
      <c r="S60" s="308">
        <v>11</v>
      </c>
      <c r="T60" s="169">
        <v>66582860.360400014</v>
      </c>
      <c r="U60" s="169">
        <v>2675675.6758000003</v>
      </c>
      <c r="V60" s="326"/>
      <c r="W60" s="326">
        <f t="shared" ref="W60:W66" si="63">T60-U60</f>
        <v>63907184.684600011</v>
      </c>
      <c r="X60" s="226">
        <f t="shared" ref="X60:X66" si="64">W60-Q60</f>
        <v>-168595215.3154</v>
      </c>
      <c r="Y60" s="172">
        <f t="shared" ref="Y60:Y66" si="65">W60/Q60</f>
        <v>0.27486677421222322</v>
      </c>
      <c r="Z60" s="369">
        <f>IF(Y60&gt;120%,"0,55%",IF(Y60&gt;100%,"0,45%",IF(Y60&gt;80%,"0,35%",IF(Y60&gt;60%,"0,2%",IF(Y60&gt;40%,"0,15%",0)))))</f>
        <v>0</v>
      </c>
      <c r="AA60" s="186">
        <f>Z60*W60</f>
        <v>0</v>
      </c>
    </row>
    <row r="61" spans="1:27" ht="14.5" customHeight="1" x14ac:dyDescent="0.35">
      <c r="A61" s="626"/>
      <c r="B61" s="325" t="s">
        <v>97</v>
      </c>
      <c r="C61" s="327">
        <v>156054600</v>
      </c>
      <c r="D61" s="222">
        <v>10</v>
      </c>
      <c r="E61" s="308">
        <v>9</v>
      </c>
      <c r="F61" s="169">
        <v>104362935.45010005</v>
      </c>
      <c r="G61" s="328"/>
      <c r="H61" s="327"/>
      <c r="I61" s="326">
        <f t="shared" si="60"/>
        <v>104362935.45010005</v>
      </c>
      <c r="J61" s="226">
        <f t="shared" si="61"/>
        <v>-51691664.549899951</v>
      </c>
      <c r="K61" s="172">
        <f t="shared" si="62"/>
        <v>0.66875911027358403</v>
      </c>
      <c r="L61" s="369" t="str">
        <f t="shared" ref="L61:L65" si="66">IF(K61&gt;120%,"0,55%",IF(K61&gt;100%,"0,45%",IF(K61&gt;80%,"0,35%",IF(K61&gt;60%,"0,2%",IF(K61&gt;40%,"0,15%",0)))))</f>
        <v>0,2%</v>
      </c>
      <c r="M61" s="186">
        <f t="shared" ref="M61:M65" si="67">L61*I61</f>
        <v>208725.8709002001</v>
      </c>
      <c r="O61" s="619"/>
      <c r="P61" s="325" t="s">
        <v>97</v>
      </c>
      <c r="Q61" s="327">
        <v>219585600.00000003</v>
      </c>
      <c r="R61" s="222">
        <v>20</v>
      </c>
      <c r="S61" s="308">
        <v>18</v>
      </c>
      <c r="T61" s="169">
        <v>202215865.99159995</v>
      </c>
      <c r="U61" s="328">
        <v>333333.3334</v>
      </c>
      <c r="V61" s="327"/>
      <c r="W61" s="326">
        <f t="shared" si="63"/>
        <v>201882532.65819994</v>
      </c>
      <c r="X61" s="226">
        <f t="shared" si="64"/>
        <v>-17703067.341800094</v>
      </c>
      <c r="Y61" s="172">
        <f>W61/Q61</f>
        <v>0.91937965266483734</v>
      </c>
      <c r="Z61" s="369" t="str">
        <f t="shared" ref="Z61:Z65" si="68">IF(Y61&gt;120%,"0,55%",IF(Y61&gt;100%,"0,45%",IF(Y61&gt;80%,"0,35%",IF(Y61&gt;60%,"0,2%",IF(Y61&gt;40%,"0,15%",0)))))</f>
        <v>0,35%</v>
      </c>
      <c r="AA61" s="186">
        <f t="shared" ref="AA61:AA65" si="69">Z61*W61</f>
        <v>706588.86430369981</v>
      </c>
    </row>
    <row r="62" spans="1:27" ht="14.5" customHeight="1" x14ac:dyDescent="0.35">
      <c r="A62" s="626"/>
      <c r="B62" s="325" t="s">
        <v>98</v>
      </c>
      <c r="C62" s="327">
        <v>239283720</v>
      </c>
      <c r="D62" s="222">
        <v>25</v>
      </c>
      <c r="E62" s="308">
        <v>18</v>
      </c>
      <c r="F62" s="169">
        <v>127067890.54110001</v>
      </c>
      <c r="G62" s="169">
        <v>3897319.8197999997</v>
      </c>
      <c r="H62" s="327"/>
      <c r="I62" s="326">
        <f t="shared" si="60"/>
        <v>123170570.72130001</v>
      </c>
      <c r="J62" s="226">
        <f t="shared" si="61"/>
        <v>-116113149.27869999</v>
      </c>
      <c r="K62" s="172">
        <f t="shared" si="62"/>
        <v>0.51474697368170308</v>
      </c>
      <c r="L62" s="369" t="str">
        <f t="shared" si="66"/>
        <v>0,15%</v>
      </c>
      <c r="M62" s="186">
        <f t="shared" si="67"/>
        <v>184755.85608195001</v>
      </c>
      <c r="O62" s="619"/>
      <c r="P62" s="325" t="s">
        <v>98</v>
      </c>
      <c r="Q62" s="327">
        <v>284169600</v>
      </c>
      <c r="R62" s="222">
        <v>16</v>
      </c>
      <c r="S62" s="308">
        <v>13</v>
      </c>
      <c r="T62" s="169">
        <v>276532494.5959</v>
      </c>
      <c r="U62" s="169">
        <v>1045066.6666999999</v>
      </c>
      <c r="V62" s="327"/>
      <c r="W62" s="326">
        <f t="shared" si="63"/>
        <v>275487427.92919999</v>
      </c>
      <c r="X62" s="226">
        <f t="shared" si="64"/>
        <v>-8682172.0708000064</v>
      </c>
      <c r="Y62" s="172">
        <f t="shared" si="65"/>
        <v>0.96944721718720084</v>
      </c>
      <c r="Z62" s="369" t="str">
        <f t="shared" si="68"/>
        <v>0,35%</v>
      </c>
      <c r="AA62" s="186">
        <f t="shared" si="69"/>
        <v>964205.9977522</v>
      </c>
    </row>
    <row r="63" spans="1:27" ht="14.5" customHeight="1" x14ac:dyDescent="0.35">
      <c r="A63" s="626"/>
      <c r="B63" s="325" t="s">
        <v>99</v>
      </c>
      <c r="C63" s="327">
        <v>218476440</v>
      </c>
      <c r="D63" s="222">
        <v>13</v>
      </c>
      <c r="E63" s="308">
        <v>8</v>
      </c>
      <c r="F63" s="169">
        <v>45403215.765699998</v>
      </c>
      <c r="G63" s="169"/>
      <c r="H63" s="327"/>
      <c r="I63" s="326">
        <f t="shared" si="60"/>
        <v>45403215.765699998</v>
      </c>
      <c r="J63" s="226">
        <f t="shared" si="61"/>
        <v>-173073224.23430002</v>
      </c>
      <c r="K63" s="172">
        <f t="shared" si="62"/>
        <v>0.20781744597129098</v>
      </c>
      <c r="L63" s="369">
        <f t="shared" si="66"/>
        <v>0</v>
      </c>
      <c r="M63" s="186">
        <f t="shared" si="67"/>
        <v>0</v>
      </c>
      <c r="O63" s="619"/>
      <c r="P63" s="325" t="s">
        <v>99</v>
      </c>
      <c r="Q63" s="327">
        <v>258336000</v>
      </c>
      <c r="R63" s="222">
        <v>16</v>
      </c>
      <c r="S63" s="308">
        <v>12</v>
      </c>
      <c r="T63" s="169">
        <v>105643319.81929997</v>
      </c>
      <c r="U63" s="169">
        <v>2887351.3514</v>
      </c>
      <c r="V63" s="327"/>
      <c r="W63" s="326">
        <f t="shared" si="63"/>
        <v>102755968.46789996</v>
      </c>
      <c r="X63" s="226">
        <f t="shared" si="64"/>
        <v>-155580031.53210002</v>
      </c>
      <c r="Y63" s="172">
        <f t="shared" si="65"/>
        <v>0.39776093331126888</v>
      </c>
      <c r="Z63" s="369">
        <f t="shared" si="68"/>
        <v>0</v>
      </c>
      <c r="AA63" s="186">
        <f t="shared" si="69"/>
        <v>0</v>
      </c>
    </row>
    <row r="64" spans="1:27" ht="14.5" customHeight="1" x14ac:dyDescent="0.35">
      <c r="A64" s="626"/>
      <c r="B64" s="325" t="s">
        <v>100</v>
      </c>
      <c r="C64" s="327">
        <v>135247320</v>
      </c>
      <c r="D64" s="222">
        <v>13</v>
      </c>
      <c r="E64" s="308">
        <v>9</v>
      </c>
      <c r="F64" s="169">
        <v>76059589.639000028</v>
      </c>
      <c r="G64" s="169"/>
      <c r="H64" s="327"/>
      <c r="I64" s="326">
        <f t="shared" si="60"/>
        <v>76059589.639000028</v>
      </c>
      <c r="J64" s="226">
        <f t="shared" si="61"/>
        <v>-59187730.360999972</v>
      </c>
      <c r="K64" s="172">
        <f t="shared" si="62"/>
        <v>0.5623740983481228</v>
      </c>
      <c r="L64" s="369" t="str">
        <f t="shared" si="66"/>
        <v>0,15%</v>
      </c>
      <c r="M64" s="186">
        <f t="shared" si="67"/>
        <v>114089.38445850005</v>
      </c>
      <c r="O64" s="619"/>
      <c r="P64" s="325" t="s">
        <v>100</v>
      </c>
      <c r="Q64" s="327">
        <v>142084800</v>
      </c>
      <c r="R64" s="222">
        <v>8</v>
      </c>
      <c r="S64" s="308">
        <v>6</v>
      </c>
      <c r="T64" s="169">
        <v>17583148.648600001</v>
      </c>
      <c r="U64" s="169">
        <v>148648.64859999999</v>
      </c>
      <c r="V64" s="327"/>
      <c r="W64" s="326">
        <f t="shared" si="63"/>
        <v>17434500</v>
      </c>
      <c r="X64" s="226">
        <f t="shared" si="64"/>
        <v>-124650300</v>
      </c>
      <c r="Y64" s="172">
        <f t="shared" si="65"/>
        <v>0.12270489172663086</v>
      </c>
      <c r="Z64" s="369">
        <f t="shared" si="68"/>
        <v>0</v>
      </c>
      <c r="AA64" s="186">
        <f t="shared" si="69"/>
        <v>0</v>
      </c>
    </row>
    <row r="65" spans="1:27" ht="14.5" customHeight="1" x14ac:dyDescent="0.35">
      <c r="A65" s="626"/>
      <c r="B65" s="325" t="s">
        <v>101</v>
      </c>
      <c r="C65" s="327">
        <v>156054600</v>
      </c>
      <c r="D65" s="222">
        <v>12</v>
      </c>
      <c r="E65" s="308">
        <v>8</v>
      </c>
      <c r="F65" s="169">
        <v>58606269.819699988</v>
      </c>
      <c r="G65" s="169">
        <v>395000</v>
      </c>
      <c r="H65" s="327"/>
      <c r="I65" s="326">
        <f t="shared" si="60"/>
        <v>58211269.819699988</v>
      </c>
      <c r="J65" s="226">
        <f t="shared" si="61"/>
        <v>-97843330.180300012</v>
      </c>
      <c r="K65" s="172">
        <f t="shared" si="62"/>
        <v>0.37301860899774814</v>
      </c>
      <c r="L65" s="369">
        <f t="shared" si="66"/>
        <v>0</v>
      </c>
      <c r="M65" s="186">
        <f t="shared" si="67"/>
        <v>0</v>
      </c>
      <c r="O65" s="619"/>
      <c r="P65" s="325" t="s">
        <v>101</v>
      </c>
      <c r="Q65" s="327">
        <v>155001600</v>
      </c>
      <c r="R65" s="222">
        <v>13</v>
      </c>
      <c r="S65" s="308">
        <v>11</v>
      </c>
      <c r="T65" s="169">
        <v>65440157.657699995</v>
      </c>
      <c r="U65" s="169">
        <v>500000</v>
      </c>
      <c r="V65" s="327"/>
      <c r="W65" s="326">
        <f t="shared" si="63"/>
        <v>64940157.657699995</v>
      </c>
      <c r="X65" s="226">
        <f t="shared" si="64"/>
        <v>-90061442.342299998</v>
      </c>
      <c r="Y65" s="172">
        <f t="shared" si="65"/>
        <v>0.41896443428777508</v>
      </c>
      <c r="Z65" s="369" t="str">
        <f t="shared" si="68"/>
        <v>0,15%</v>
      </c>
      <c r="AA65" s="186">
        <f t="shared" si="69"/>
        <v>97410.236486549999</v>
      </c>
    </row>
    <row r="66" spans="1:27" ht="15" customHeight="1" thickBot="1" x14ac:dyDescent="0.4">
      <c r="A66" s="626"/>
      <c r="B66" s="352" t="s">
        <v>77</v>
      </c>
      <c r="C66" s="329">
        <f t="shared" ref="C66:H66" si="70">SUM(C60:C65)</f>
        <v>1040364000</v>
      </c>
      <c r="D66" s="178">
        <f t="shared" si="70"/>
        <v>89</v>
      </c>
      <c r="E66" s="178">
        <f t="shared" si="70"/>
        <v>64</v>
      </c>
      <c r="F66" s="329">
        <f t="shared" si="70"/>
        <v>486498041.12590015</v>
      </c>
      <c r="G66" s="330">
        <f t="shared" si="70"/>
        <v>4292319.8197999997</v>
      </c>
      <c r="H66" s="329">
        <f t="shared" si="70"/>
        <v>0</v>
      </c>
      <c r="I66" s="329">
        <f t="shared" si="60"/>
        <v>482205721.30610013</v>
      </c>
      <c r="J66" s="329">
        <f t="shared" si="61"/>
        <v>-558158278.69389987</v>
      </c>
      <c r="K66" s="305">
        <f t="shared" si="62"/>
        <v>0.46349712341651589</v>
      </c>
      <c r="L66" s="369" t="str">
        <f>IF(K66&gt;100%,"CAPAI 100%",IF(K66&gt;90%,"CAPAI 90%","BELUM CAPAI"))</f>
        <v>BELUM CAPAI</v>
      </c>
      <c r="M66" s="202">
        <f>SUM(M60:M65)</f>
        <v>620068.32130610023</v>
      </c>
      <c r="O66" s="620"/>
      <c r="P66" s="354" t="s">
        <v>77</v>
      </c>
      <c r="Q66" s="336">
        <f t="shared" ref="Q66:V66" si="71">SUM(Q60:Q65)</f>
        <v>1291680000</v>
      </c>
      <c r="R66" s="207">
        <f>SUM(R60:R65)</f>
        <v>87</v>
      </c>
      <c r="S66" s="207">
        <f t="shared" si="71"/>
        <v>71</v>
      </c>
      <c r="T66" s="336">
        <f t="shared" si="71"/>
        <v>733997847.0734998</v>
      </c>
      <c r="U66" s="337">
        <f t="shared" si="71"/>
        <v>7590075.6759000001</v>
      </c>
      <c r="V66" s="336">
        <f t="shared" si="71"/>
        <v>0</v>
      </c>
      <c r="W66" s="336">
        <f t="shared" si="63"/>
        <v>726407771.39759982</v>
      </c>
      <c r="X66" s="336">
        <f t="shared" si="64"/>
        <v>-565272228.60240018</v>
      </c>
      <c r="Y66" s="313">
        <f t="shared" si="65"/>
        <v>0.56237440495912283</v>
      </c>
      <c r="Z66" s="369" t="str">
        <f>IF(Y66&gt;100%,"CAPAI 100%",IF(Y66&gt;90%,"CAPAI 90%","BELUM CAPAI"))</f>
        <v>BELUM CAPAI</v>
      </c>
      <c r="AA66" s="202">
        <f>SUM(AA60:AA65)</f>
        <v>1768205.0985424498</v>
      </c>
    </row>
    <row r="67" spans="1:27" ht="14.5" customHeight="1" x14ac:dyDescent="0.55000000000000004">
      <c r="B67" s="324" t="str">
        <f>$B$12</f>
        <v>TARGET Q2</v>
      </c>
      <c r="C67" s="243">
        <f>C68*C66</f>
        <v>936327600</v>
      </c>
      <c r="D67" s="373"/>
      <c r="E67" s="374"/>
      <c r="F67" s="374"/>
      <c r="G67" s="374"/>
      <c r="H67" s="375"/>
      <c r="I67" s="243">
        <f>I66</f>
        <v>482205721.30610013</v>
      </c>
      <c r="J67" s="243">
        <f>I67-C67</f>
        <v>-454121878.69389987</v>
      </c>
      <c r="K67" s="183">
        <f t="shared" si="62"/>
        <v>0.51499680379612878</v>
      </c>
      <c r="O67" s="309"/>
      <c r="P67" s="324" t="str">
        <f>$B$12</f>
        <v>TARGET Q2</v>
      </c>
      <c r="Q67" s="243">
        <f>Q68*Q66</f>
        <v>1162512000</v>
      </c>
      <c r="R67" s="597"/>
      <c r="S67" s="598"/>
      <c r="T67" s="598"/>
      <c r="U67" s="598"/>
      <c r="V67" s="599"/>
      <c r="W67" s="243">
        <f>W66</f>
        <v>726407771.39759982</v>
      </c>
      <c r="X67" s="243">
        <f>W67-Q67</f>
        <v>-436104228.60240018</v>
      </c>
      <c r="Y67" s="183">
        <f>W67/Q67</f>
        <v>0.62486044995458101</v>
      </c>
      <c r="Z67" s="192"/>
    </row>
    <row r="68" spans="1:27" ht="24" thickBot="1" x14ac:dyDescent="0.6">
      <c r="C68" s="210">
        <v>0.9</v>
      </c>
      <c r="O68" s="309"/>
      <c r="Q68" s="210">
        <v>0.9</v>
      </c>
    </row>
    <row r="69" spans="1:27" ht="19.5" customHeight="1" x14ac:dyDescent="0.35">
      <c r="A69" s="623">
        <v>7</v>
      </c>
      <c r="B69" s="352" t="s">
        <v>57</v>
      </c>
      <c r="C69" s="353" t="s">
        <v>113</v>
      </c>
      <c r="D69" s="616" t="s">
        <v>91</v>
      </c>
      <c r="E69" s="616" t="s">
        <v>62</v>
      </c>
      <c r="F69" s="604" t="s">
        <v>114</v>
      </c>
      <c r="G69" s="605"/>
      <c r="H69" s="605"/>
      <c r="I69" s="606"/>
      <c r="J69" s="587" t="s">
        <v>65</v>
      </c>
      <c r="K69" s="352" t="s">
        <v>66</v>
      </c>
      <c r="O69" s="607">
        <v>7</v>
      </c>
      <c r="P69" s="354" t="s">
        <v>57</v>
      </c>
      <c r="Q69" s="355" t="s">
        <v>115</v>
      </c>
      <c r="R69" s="591" t="s">
        <v>91</v>
      </c>
      <c r="S69" s="591" t="s">
        <v>62</v>
      </c>
      <c r="T69" s="610" t="s">
        <v>114</v>
      </c>
      <c r="U69" s="611"/>
      <c r="V69" s="611"/>
      <c r="W69" s="612"/>
      <c r="X69" s="603" t="s">
        <v>65</v>
      </c>
      <c r="Y69" s="354" t="s">
        <v>66</v>
      </c>
    </row>
    <row r="70" spans="1:27" ht="36" customHeight="1" x14ac:dyDescent="0.35">
      <c r="A70" s="623"/>
      <c r="B70" s="352" t="s">
        <v>93</v>
      </c>
      <c r="C70" s="353" t="str">
        <f>C59</f>
        <v>TARGET 100%</v>
      </c>
      <c r="D70" s="617"/>
      <c r="E70" s="617"/>
      <c r="F70" s="163" t="str">
        <f>F4</f>
        <v>OMSET APR
 (1-30)</v>
      </c>
      <c r="G70" s="163" t="str">
        <f>G4</f>
        <v>OMSET PRODUK</v>
      </c>
      <c r="H70" s="353" t="s">
        <v>63</v>
      </c>
      <c r="I70" s="353" t="s">
        <v>64</v>
      </c>
      <c r="J70" s="587"/>
      <c r="K70" s="164">
        <f>K59</f>
        <v>1</v>
      </c>
      <c r="O70" s="608"/>
      <c r="P70" s="354" t="s">
        <v>93</v>
      </c>
      <c r="Q70" s="355" t="str">
        <f>Q59</f>
        <v>TARGET 100%</v>
      </c>
      <c r="R70" s="592"/>
      <c r="S70" s="592"/>
      <c r="T70" s="200" t="str">
        <f>T4</f>
        <v>OMSET APR
 (1-30)</v>
      </c>
      <c r="U70" s="200" t="str">
        <f>G4</f>
        <v>OMSET PRODUK</v>
      </c>
      <c r="V70" s="355" t="s">
        <v>63</v>
      </c>
      <c r="W70" s="355" t="s">
        <v>64</v>
      </c>
      <c r="X70" s="603"/>
      <c r="Y70" s="201">
        <f>K70</f>
        <v>1</v>
      </c>
    </row>
    <row r="71" spans="1:27" ht="14.5" customHeight="1" x14ac:dyDescent="0.35">
      <c r="A71" s="623"/>
      <c r="B71" s="325" t="s">
        <v>96</v>
      </c>
      <c r="C71" s="326">
        <v>136890000</v>
      </c>
      <c r="D71" s="222">
        <v>16</v>
      </c>
      <c r="E71" s="308">
        <v>16</v>
      </c>
      <c r="F71" s="169">
        <v>39141749.549500011</v>
      </c>
      <c r="G71" s="169"/>
      <c r="H71" s="326"/>
      <c r="I71" s="326">
        <f t="shared" ref="I71:I77" si="72">F71-G71</f>
        <v>39141749.549500011</v>
      </c>
      <c r="J71" s="226">
        <f t="shared" ref="J71:J77" si="73">I71-C71</f>
        <v>-97748250.450499982</v>
      </c>
      <c r="K71" s="172">
        <f t="shared" ref="K71:K78" si="74">I71/C71</f>
        <v>0.28593578456790131</v>
      </c>
      <c r="L71" s="369">
        <f>IF(K71&gt;120%,"0,55%",IF(K71&gt;100%,"0,45%",IF(K71&gt;80%,"0,35%",IF(K71&gt;60%,"0,2%",IF(K71&gt;40%,"0,15%",0)))))</f>
        <v>0</v>
      </c>
      <c r="M71" s="186">
        <f>L71*I71</f>
        <v>0</v>
      </c>
      <c r="N71" s="191"/>
      <c r="O71" s="608"/>
      <c r="P71" s="325" t="s">
        <v>96</v>
      </c>
      <c r="Q71" s="326">
        <v>232502400</v>
      </c>
      <c r="R71" s="222">
        <v>23</v>
      </c>
      <c r="S71" s="308">
        <v>22</v>
      </c>
      <c r="T71" s="169">
        <v>415613008.55870008</v>
      </c>
      <c r="U71" s="169">
        <v>10357636.0362</v>
      </c>
      <c r="V71" s="326"/>
      <c r="W71" s="326">
        <f>T71-U71</f>
        <v>405255372.5225001</v>
      </c>
      <c r="X71" s="226">
        <f t="shared" ref="X71:X77" si="75">W71-Q71</f>
        <v>172752972.5225001</v>
      </c>
      <c r="Y71" s="172">
        <f t="shared" ref="Y71:Y77" si="76">W71/Q71</f>
        <v>1.7430158678899663</v>
      </c>
      <c r="Z71" s="369" t="str">
        <f>IF(Y71&gt;120%,"0,55%",IF(Y71&gt;100%,"0,45%",IF(Y71&gt;80%,"0,35%",IF(Y71&gt;60%,"0,2%",IF(Y71&gt;40%,"0,15%",0)))))</f>
        <v>0,55%</v>
      </c>
      <c r="AA71" s="186">
        <f>Z71*W71</f>
        <v>2228904.5488737505</v>
      </c>
    </row>
    <row r="72" spans="1:27" ht="14.5" customHeight="1" x14ac:dyDescent="0.35">
      <c r="A72" s="623"/>
      <c r="B72" s="325" t="s">
        <v>97</v>
      </c>
      <c r="C72" s="327">
        <v>164268000</v>
      </c>
      <c r="D72" s="222">
        <v>16</v>
      </c>
      <c r="E72" s="308">
        <v>13</v>
      </c>
      <c r="F72" s="169">
        <v>91398710.368599966</v>
      </c>
      <c r="G72" s="328"/>
      <c r="H72" s="327"/>
      <c r="I72" s="326">
        <f t="shared" si="72"/>
        <v>91398710.368599966</v>
      </c>
      <c r="J72" s="226">
        <f t="shared" si="73"/>
        <v>-72869289.631400034</v>
      </c>
      <c r="K72" s="172">
        <f t="shared" si="74"/>
        <v>0.5563999705883067</v>
      </c>
      <c r="L72" s="369" t="str">
        <f t="shared" ref="L72:L76" si="77">IF(K72&gt;120%,"0,55%",IF(K72&gt;100%,"0,45%",IF(K72&gt;80%,"0,35%",IF(K72&gt;60%,"0,2%",IF(K72&gt;40%,"0,15%",0)))))</f>
        <v>0,15%</v>
      </c>
      <c r="M72" s="186">
        <f t="shared" ref="M72:M76" si="78">L72*I72</f>
        <v>137098.06555289996</v>
      </c>
      <c r="N72" s="191"/>
      <c r="O72" s="608"/>
      <c r="P72" s="325" t="s">
        <v>97</v>
      </c>
      <c r="Q72" s="327">
        <v>167918400</v>
      </c>
      <c r="R72" s="222">
        <v>16</v>
      </c>
      <c r="S72" s="308">
        <v>18</v>
      </c>
      <c r="T72" s="169">
        <v>135521067.11730003</v>
      </c>
      <c r="U72" s="328">
        <v>7426126.1263000006</v>
      </c>
      <c r="V72" s="327"/>
      <c r="W72" s="326">
        <f t="shared" ref="W72:W77" si="79">T72-U72</f>
        <v>128094940.99100003</v>
      </c>
      <c r="X72" s="226">
        <f t="shared" si="75"/>
        <v>-39823459.008999974</v>
      </c>
      <c r="Y72" s="172">
        <f t="shared" si="76"/>
        <v>0.76284040933572517</v>
      </c>
      <c r="Z72" s="369" t="str">
        <f t="shared" ref="Z72:Z76" si="80">IF(Y72&gt;120%,"0,55%",IF(Y72&gt;100%,"0,45%",IF(Y72&gt;80%,"0,35%",IF(Y72&gt;60%,"0,2%",IF(Y72&gt;40%,"0,15%",0)))))</f>
        <v>0,2%</v>
      </c>
      <c r="AA72" s="186">
        <f t="shared" ref="AA72:AA76" si="81">Z72*W72</f>
        <v>256189.88198200005</v>
      </c>
    </row>
    <row r="73" spans="1:27" ht="14.5" customHeight="1" x14ac:dyDescent="0.35">
      <c r="A73" s="623"/>
      <c r="B73" s="325" t="s">
        <v>98</v>
      </c>
      <c r="C73" s="327">
        <v>232713000.00000003</v>
      </c>
      <c r="D73" s="222">
        <v>18</v>
      </c>
      <c r="E73" s="308">
        <v>12</v>
      </c>
      <c r="F73" s="169">
        <v>108285731.09889999</v>
      </c>
      <c r="G73" s="169">
        <v>337500</v>
      </c>
      <c r="H73" s="327"/>
      <c r="I73" s="326">
        <f t="shared" si="72"/>
        <v>107948231.09889999</v>
      </c>
      <c r="J73" s="226">
        <f t="shared" si="73"/>
        <v>-124764768.90110004</v>
      </c>
      <c r="K73" s="172">
        <f t="shared" si="74"/>
        <v>0.46386850368866361</v>
      </c>
      <c r="L73" s="369" t="str">
        <f t="shared" si="77"/>
        <v>0,15%</v>
      </c>
      <c r="M73" s="186">
        <f t="shared" si="78"/>
        <v>161922.34664834998</v>
      </c>
      <c r="N73" s="191"/>
      <c r="O73" s="608"/>
      <c r="P73" s="325" t="s">
        <v>98</v>
      </c>
      <c r="Q73" s="327">
        <v>258336000</v>
      </c>
      <c r="R73" s="222">
        <v>14</v>
      </c>
      <c r="S73" s="308">
        <v>14</v>
      </c>
      <c r="T73" s="169">
        <v>196518191.89149997</v>
      </c>
      <c r="U73" s="169">
        <v>8837837.8377999999</v>
      </c>
      <c r="V73" s="327"/>
      <c r="W73" s="326">
        <f t="shared" si="79"/>
        <v>187680354.05369997</v>
      </c>
      <c r="X73" s="226">
        <f t="shared" si="75"/>
        <v>-70655645.94630003</v>
      </c>
      <c r="Y73" s="172">
        <f t="shared" si="76"/>
        <v>0.72649709701203069</v>
      </c>
      <c r="Z73" s="369" t="str">
        <f t="shared" si="80"/>
        <v>0,2%</v>
      </c>
      <c r="AA73" s="186">
        <f t="shared" si="81"/>
        <v>375360.70810739993</v>
      </c>
    </row>
    <row r="74" spans="1:27" ht="14.5" customHeight="1" x14ac:dyDescent="0.35">
      <c r="A74" s="623"/>
      <c r="B74" s="325" t="s">
        <v>99</v>
      </c>
      <c r="C74" s="327">
        <v>273780000</v>
      </c>
      <c r="D74" s="222">
        <v>20</v>
      </c>
      <c r="E74" s="308">
        <v>11</v>
      </c>
      <c r="F74" s="169">
        <v>110750901.80239996</v>
      </c>
      <c r="G74" s="169">
        <v>790000</v>
      </c>
      <c r="H74" s="327"/>
      <c r="I74" s="326">
        <f t="shared" si="72"/>
        <v>109960901.80239996</v>
      </c>
      <c r="J74" s="226">
        <f t="shared" si="73"/>
        <v>-163819098.19760004</v>
      </c>
      <c r="K74" s="172">
        <f t="shared" si="74"/>
        <v>0.40163964424866666</v>
      </c>
      <c r="L74" s="369" t="str">
        <f t="shared" si="77"/>
        <v>0,15%</v>
      </c>
      <c r="M74" s="186">
        <f t="shared" si="78"/>
        <v>164941.35270359996</v>
      </c>
      <c r="N74" s="191"/>
      <c r="O74" s="608"/>
      <c r="P74" s="325" t="s">
        <v>99</v>
      </c>
      <c r="Q74" s="327">
        <v>129168000</v>
      </c>
      <c r="R74" s="222">
        <v>12</v>
      </c>
      <c r="S74" s="308">
        <v>10</v>
      </c>
      <c r="T74" s="169">
        <v>99551022.162699968</v>
      </c>
      <c r="U74" s="169">
        <v>4179236.0360000003</v>
      </c>
      <c r="V74" s="327"/>
      <c r="W74" s="326">
        <f t="shared" si="79"/>
        <v>95371786.126699969</v>
      </c>
      <c r="X74" s="226">
        <f t="shared" si="75"/>
        <v>-33796213.873300031</v>
      </c>
      <c r="Y74" s="172">
        <f t="shared" si="76"/>
        <v>0.73835459344961574</v>
      </c>
      <c r="Z74" s="369" t="str">
        <f t="shared" si="80"/>
        <v>0,2%</v>
      </c>
      <c r="AA74" s="186">
        <f t="shared" si="81"/>
        <v>190743.57225339994</v>
      </c>
    </row>
    <row r="75" spans="1:27" ht="14.5" customHeight="1" x14ac:dyDescent="0.35">
      <c r="A75" s="623"/>
      <c r="B75" s="325" t="s">
        <v>100</v>
      </c>
      <c r="C75" s="327">
        <v>246402000</v>
      </c>
      <c r="D75" s="222">
        <v>20</v>
      </c>
      <c r="E75" s="308">
        <v>13</v>
      </c>
      <c r="F75" s="169">
        <v>135741450.01759991</v>
      </c>
      <c r="G75" s="169"/>
      <c r="H75" s="327"/>
      <c r="I75" s="326">
        <f t="shared" si="72"/>
        <v>135741450.01759991</v>
      </c>
      <c r="J75" s="226">
        <f t="shared" si="73"/>
        <v>-110660549.98240009</v>
      </c>
      <c r="K75" s="172">
        <f t="shared" si="74"/>
        <v>0.55089427041014238</v>
      </c>
      <c r="L75" s="369" t="str">
        <f t="shared" si="77"/>
        <v>0,15%</v>
      </c>
      <c r="M75" s="186">
        <f t="shared" si="78"/>
        <v>203612.17502639987</v>
      </c>
      <c r="N75" s="191"/>
      <c r="O75" s="608"/>
      <c r="P75" s="325" t="s">
        <v>100</v>
      </c>
      <c r="Q75" s="327">
        <v>232502400</v>
      </c>
      <c r="R75" s="222">
        <v>19</v>
      </c>
      <c r="S75" s="308">
        <v>17</v>
      </c>
      <c r="T75" s="169">
        <v>91915275.224900037</v>
      </c>
      <c r="U75" s="169">
        <v>3607005.4054</v>
      </c>
      <c r="V75" s="327"/>
      <c r="W75" s="326">
        <f t="shared" si="79"/>
        <v>88308269.819500044</v>
      </c>
      <c r="X75" s="226">
        <f t="shared" si="75"/>
        <v>-144194130.18049997</v>
      </c>
      <c r="Y75" s="172">
        <f t="shared" si="76"/>
        <v>0.37981659466525958</v>
      </c>
      <c r="Z75" s="369">
        <f t="shared" si="80"/>
        <v>0</v>
      </c>
      <c r="AA75" s="186">
        <f t="shared" si="81"/>
        <v>0</v>
      </c>
    </row>
    <row r="76" spans="1:27" ht="14.5" customHeight="1" x14ac:dyDescent="0.35">
      <c r="A76" s="623"/>
      <c r="B76" s="325" t="s">
        <v>101</v>
      </c>
      <c r="C76" s="327">
        <v>314847000</v>
      </c>
      <c r="D76" s="222">
        <v>17</v>
      </c>
      <c r="E76" s="308">
        <v>8</v>
      </c>
      <c r="F76" s="169">
        <v>90048292.292999998</v>
      </c>
      <c r="G76" s="169"/>
      <c r="H76" s="327"/>
      <c r="I76" s="326">
        <f t="shared" si="72"/>
        <v>90048292.292999998</v>
      </c>
      <c r="J76" s="226">
        <f t="shared" si="73"/>
        <v>-224798707.70700002</v>
      </c>
      <c r="K76" s="172">
        <f t="shared" si="74"/>
        <v>0.28600651202965249</v>
      </c>
      <c r="L76" s="369">
        <f t="shared" si="77"/>
        <v>0</v>
      </c>
      <c r="M76" s="186">
        <f t="shared" si="78"/>
        <v>0</v>
      </c>
      <c r="N76" s="191"/>
      <c r="O76" s="608"/>
      <c r="P76" s="325" t="s">
        <v>101</v>
      </c>
      <c r="Q76" s="327">
        <v>271252800</v>
      </c>
      <c r="R76" s="222">
        <v>13</v>
      </c>
      <c r="S76" s="308">
        <v>10</v>
      </c>
      <c r="T76" s="169">
        <v>265142868.64039996</v>
      </c>
      <c r="U76" s="169">
        <v>7189621.6216000002</v>
      </c>
      <c r="V76" s="327"/>
      <c r="W76" s="326">
        <f t="shared" si="79"/>
        <v>257953247.01879996</v>
      </c>
      <c r="X76" s="226">
        <f t="shared" si="75"/>
        <v>-13299552.981200039</v>
      </c>
      <c r="Y76" s="172">
        <f t="shared" si="76"/>
        <v>0.95096989604826188</v>
      </c>
      <c r="Z76" s="369" t="str">
        <f t="shared" si="80"/>
        <v>0,35%</v>
      </c>
      <c r="AA76" s="186">
        <f t="shared" si="81"/>
        <v>902836.36456579983</v>
      </c>
    </row>
    <row r="77" spans="1:27" ht="14.5" customHeight="1" thickBot="1" x14ac:dyDescent="0.4">
      <c r="A77" s="623"/>
      <c r="B77" s="352" t="s">
        <v>77</v>
      </c>
      <c r="C77" s="329">
        <f t="shared" ref="C77:H77" si="82">SUM(C71:C76)</f>
        <v>1368900000</v>
      </c>
      <c r="D77" s="178">
        <f t="shared" si="82"/>
        <v>107</v>
      </c>
      <c r="E77" s="178">
        <f t="shared" si="82"/>
        <v>73</v>
      </c>
      <c r="F77" s="329">
        <f t="shared" si="82"/>
        <v>575366835.12999988</v>
      </c>
      <c r="G77" s="330">
        <f t="shared" si="82"/>
        <v>1127500</v>
      </c>
      <c r="H77" s="329">
        <f t="shared" si="82"/>
        <v>0</v>
      </c>
      <c r="I77" s="329">
        <f t="shared" si="72"/>
        <v>574239335.12999988</v>
      </c>
      <c r="J77" s="329">
        <f t="shared" si="73"/>
        <v>-794660664.87000012</v>
      </c>
      <c r="K77" s="305">
        <f t="shared" si="74"/>
        <v>0.41948961584483885</v>
      </c>
      <c r="L77" s="369" t="str">
        <f>IF(K77&gt;100%,"CAPAI 100%",IF(K77&gt;90%,"CAPAI 90%","BELUM CAPAI"))</f>
        <v>BELUM CAPAI</v>
      </c>
      <c r="M77" s="202">
        <f>SUM(M71:M76)</f>
        <v>667573.93993124983</v>
      </c>
      <c r="N77" s="191"/>
      <c r="O77" s="609"/>
      <c r="P77" s="354" t="s">
        <v>77</v>
      </c>
      <c r="Q77" s="336">
        <f t="shared" ref="Q77:V77" si="83">SUM(Q71:Q76)</f>
        <v>1291680000</v>
      </c>
      <c r="R77" s="207">
        <f>SUM(R71:R76)</f>
        <v>97</v>
      </c>
      <c r="S77" s="207">
        <f t="shared" si="83"/>
        <v>91</v>
      </c>
      <c r="T77" s="336">
        <f t="shared" si="83"/>
        <v>1204261433.5955</v>
      </c>
      <c r="U77" s="337">
        <f t="shared" si="83"/>
        <v>41597463.063300006</v>
      </c>
      <c r="V77" s="336">
        <f t="shared" si="83"/>
        <v>0</v>
      </c>
      <c r="W77" s="336">
        <f t="shared" si="79"/>
        <v>1162663970.5322001</v>
      </c>
      <c r="X77" s="336">
        <f t="shared" si="75"/>
        <v>-129016029.4677999</v>
      </c>
      <c r="Y77" s="313">
        <f t="shared" si="76"/>
        <v>0.90011765339108762</v>
      </c>
      <c r="Z77" s="369" t="str">
        <f>IF(Y77&gt;100%,"CAPAI 100%",IF(Y77&gt;90%,"CAPAI 90%","BELUM CAPAI"))</f>
        <v>CAPAI 90%</v>
      </c>
      <c r="AA77" s="202">
        <f>SUM(AA71:AA76)</f>
        <v>3954035.0757823503</v>
      </c>
    </row>
    <row r="78" spans="1:27" ht="14.5" customHeight="1" x14ac:dyDescent="0.55000000000000004">
      <c r="B78" s="324" t="str">
        <f>$B$12</f>
        <v>TARGET Q2</v>
      </c>
      <c r="C78" s="243">
        <f>C79*C77</f>
        <v>1232010000</v>
      </c>
      <c r="D78" s="597"/>
      <c r="E78" s="598"/>
      <c r="F78" s="598"/>
      <c r="G78" s="598"/>
      <c r="H78" s="599"/>
      <c r="I78" s="243">
        <f>I77</f>
        <v>574239335.12999988</v>
      </c>
      <c r="J78" s="243">
        <f>I78-C78</f>
        <v>-657770664.87000012</v>
      </c>
      <c r="K78" s="183">
        <f t="shared" si="74"/>
        <v>0.46609957316093203</v>
      </c>
      <c r="O78" s="309"/>
      <c r="P78" s="324" t="str">
        <f>$B$12</f>
        <v>TARGET Q2</v>
      </c>
      <c r="Q78" s="243">
        <f>Q79*Q77</f>
        <v>1162512000</v>
      </c>
      <c r="R78" s="597"/>
      <c r="S78" s="598"/>
      <c r="T78" s="598"/>
      <c r="U78" s="598"/>
      <c r="V78" s="599"/>
      <c r="W78" s="243">
        <f>W77</f>
        <v>1162663970.5322001</v>
      </c>
      <c r="X78" s="243">
        <f>W78-Q78</f>
        <v>151970.53220009804</v>
      </c>
      <c r="Y78" s="183">
        <f>W78/Q78</f>
        <v>1.0001307259900973</v>
      </c>
      <c r="Z78" s="192"/>
    </row>
    <row r="79" spans="1:27" ht="14.5" customHeight="1" thickBot="1" x14ac:dyDescent="0.6">
      <c r="C79" s="210">
        <v>0.9</v>
      </c>
      <c r="O79" s="309"/>
      <c r="Q79" s="210">
        <v>0.9</v>
      </c>
    </row>
    <row r="80" spans="1:27" ht="20.149999999999999" customHeight="1" x14ac:dyDescent="0.35">
      <c r="A80" s="623">
        <v>8</v>
      </c>
      <c r="B80" s="352" t="s">
        <v>57</v>
      </c>
      <c r="C80" s="353" t="s">
        <v>116</v>
      </c>
      <c r="D80" s="616" t="s">
        <v>91</v>
      </c>
      <c r="E80" s="616" t="s">
        <v>62</v>
      </c>
      <c r="F80" s="604" t="s">
        <v>117</v>
      </c>
      <c r="G80" s="605"/>
      <c r="H80" s="605"/>
      <c r="I80" s="606"/>
      <c r="J80" s="587" t="s">
        <v>65</v>
      </c>
      <c r="K80" s="352" t="s">
        <v>66</v>
      </c>
      <c r="O80" s="607">
        <v>8</v>
      </c>
      <c r="P80" s="354" t="s">
        <v>57</v>
      </c>
      <c r="Q80" s="355" t="s">
        <v>118</v>
      </c>
      <c r="R80" s="591" t="s">
        <v>91</v>
      </c>
      <c r="S80" s="591" t="s">
        <v>62</v>
      </c>
      <c r="T80" s="610" t="s">
        <v>117</v>
      </c>
      <c r="U80" s="611"/>
      <c r="V80" s="611"/>
      <c r="W80" s="612"/>
      <c r="X80" s="603" t="s">
        <v>65</v>
      </c>
      <c r="Y80" s="354" t="s">
        <v>66</v>
      </c>
    </row>
    <row r="81" spans="1:27" ht="33" customHeight="1" x14ac:dyDescent="0.35">
      <c r="A81" s="623"/>
      <c r="B81" s="352" t="s">
        <v>93</v>
      </c>
      <c r="C81" s="353" t="str">
        <f>C70</f>
        <v>TARGET 100%</v>
      </c>
      <c r="D81" s="617"/>
      <c r="E81" s="617"/>
      <c r="F81" s="163" t="str">
        <f>F4</f>
        <v>OMSET APR
 (1-30)</v>
      </c>
      <c r="G81" s="163" t="str">
        <f>G4</f>
        <v>OMSET PRODUK</v>
      </c>
      <c r="H81" s="353" t="s">
        <v>63</v>
      </c>
      <c r="I81" s="353" t="s">
        <v>64</v>
      </c>
      <c r="J81" s="587"/>
      <c r="K81" s="164">
        <f>K70</f>
        <v>1</v>
      </c>
      <c r="O81" s="608"/>
      <c r="P81" s="354" t="s">
        <v>93</v>
      </c>
      <c r="Q81" s="355" t="str">
        <f>Q70</f>
        <v>TARGET 100%</v>
      </c>
      <c r="R81" s="592"/>
      <c r="S81" s="592"/>
      <c r="T81" s="200" t="str">
        <f>T4</f>
        <v>OMSET APR
 (1-30)</v>
      </c>
      <c r="U81" s="200" t="str">
        <f>G4</f>
        <v>OMSET PRODUK</v>
      </c>
      <c r="V81" s="355" t="s">
        <v>63</v>
      </c>
      <c r="W81" s="355" t="s">
        <v>64</v>
      </c>
      <c r="X81" s="603"/>
      <c r="Y81" s="201">
        <f>K81</f>
        <v>1</v>
      </c>
    </row>
    <row r="82" spans="1:27" ht="14.5" customHeight="1" x14ac:dyDescent="0.35">
      <c r="A82" s="623"/>
      <c r="B82" s="325" t="s">
        <v>96</v>
      </c>
      <c r="C82" s="326">
        <v>128129040</v>
      </c>
      <c r="D82" s="222">
        <v>4</v>
      </c>
      <c r="E82" s="308">
        <v>4</v>
      </c>
      <c r="F82" s="169">
        <v>50583405.406000003</v>
      </c>
      <c r="G82" s="169"/>
      <c r="H82" s="326"/>
      <c r="I82" s="326">
        <f>F82-G82</f>
        <v>50583405.406000003</v>
      </c>
      <c r="J82" s="226">
        <f t="shared" ref="J82:J88" si="84">I82-C82</f>
        <v>-77545634.593999997</v>
      </c>
      <c r="K82" s="172">
        <f t="shared" ref="K82:K89" si="85">I82/C82</f>
        <v>0.39478486224512416</v>
      </c>
      <c r="L82" s="369">
        <f>IF(K82&gt;120%,"0,55%",IF(K82&gt;100%,"0,45%",IF(K82&gt;80%,"0,35%",IF(K82&gt;60%,"0,2%",IF(K82&gt;40%,"0,15%",0)))))</f>
        <v>0</v>
      </c>
      <c r="M82" s="186">
        <f>L82*I82</f>
        <v>0</v>
      </c>
      <c r="O82" s="608"/>
      <c r="P82" s="325" t="s">
        <v>96</v>
      </c>
      <c r="Q82" s="326">
        <v>114566400.00000001</v>
      </c>
      <c r="R82" s="222">
        <v>8</v>
      </c>
      <c r="S82" s="308">
        <v>9</v>
      </c>
      <c r="T82" s="169">
        <v>45129279.279499985</v>
      </c>
      <c r="U82" s="169">
        <v>2022522.5226</v>
      </c>
      <c r="V82" s="326"/>
      <c r="W82" s="326">
        <f t="shared" ref="W82:W88" si="86">T82-U82</f>
        <v>43106756.756899983</v>
      </c>
      <c r="X82" s="226">
        <f t="shared" ref="X82:X87" si="87">T82-Q82</f>
        <v>-69437120.720500022</v>
      </c>
      <c r="Y82" s="172">
        <f t="shared" ref="Y82:Y88" si="88">W82/Q82</f>
        <v>0.37626002699657124</v>
      </c>
      <c r="Z82" s="369">
        <f>IF(Y82&gt;120%,"0,55%",IF(Y82&gt;100%,"0,45%",IF(Y82&gt;80%,"0,35%",IF(Y82&gt;60%,"0,2%",IF(Y82&gt;40%,"0,15%",0)))))</f>
        <v>0</v>
      </c>
      <c r="AA82" s="186">
        <f>Z82*W82</f>
        <v>0</v>
      </c>
    </row>
    <row r="83" spans="1:27" ht="16" customHeight="1" x14ac:dyDescent="0.35">
      <c r="A83" s="623"/>
      <c r="B83" s="325" t="s">
        <v>97</v>
      </c>
      <c r="C83" s="327">
        <v>108416880</v>
      </c>
      <c r="D83" s="222">
        <v>8</v>
      </c>
      <c r="E83" s="308">
        <v>9</v>
      </c>
      <c r="F83" s="169">
        <v>73036466.621900022</v>
      </c>
      <c r="G83" s="328"/>
      <c r="H83" s="327"/>
      <c r="I83" s="326">
        <f t="shared" ref="I83:I88" si="89">F83-G83</f>
        <v>73036466.621900022</v>
      </c>
      <c r="J83" s="226">
        <f t="shared" si="84"/>
        <v>-35380413.378099978</v>
      </c>
      <c r="K83" s="172">
        <f t="shared" si="85"/>
        <v>0.6736632397270611</v>
      </c>
      <c r="L83" s="369" t="str">
        <f t="shared" ref="L83:L87" si="90">IF(K83&gt;120%,"0,55%",IF(K83&gt;100%,"0,45%",IF(K83&gt;80%,"0,35%",IF(K83&gt;60%,"0,2%",IF(K83&gt;40%,"0,15%",0)))))</f>
        <v>0,2%</v>
      </c>
      <c r="M83" s="186">
        <f t="shared" ref="M83:M87" si="91">L83*I83</f>
        <v>146072.93324380004</v>
      </c>
      <c r="O83" s="608"/>
      <c r="P83" s="325" t="s">
        <v>97</v>
      </c>
      <c r="Q83" s="327">
        <v>95472000.000000015</v>
      </c>
      <c r="R83" s="222">
        <v>5</v>
      </c>
      <c r="S83" s="308">
        <v>4</v>
      </c>
      <c r="T83" s="169">
        <v>24497945.946199998</v>
      </c>
      <c r="U83" s="328">
        <v>2094594.5946</v>
      </c>
      <c r="V83" s="327"/>
      <c r="W83" s="326">
        <f t="shared" si="86"/>
        <v>22403351.351599999</v>
      </c>
      <c r="X83" s="226">
        <f t="shared" si="87"/>
        <v>-70974054.053800017</v>
      </c>
      <c r="Y83" s="172">
        <f>W83/Q83</f>
        <v>0.23465886701441255</v>
      </c>
      <c r="Z83" s="369">
        <f t="shared" ref="Z83:Z87" si="92">IF(Y83&gt;120%,"0,55%",IF(Y83&gt;100%,"0,45%",IF(Y83&gt;80%,"0,35%",IF(Y83&gt;60%,"0,2%",IF(Y83&gt;40%,"0,15%",0)))))</f>
        <v>0</v>
      </c>
      <c r="AA83" s="186">
        <f t="shared" ref="AA83:AA87" si="93">Z83*W83</f>
        <v>0</v>
      </c>
    </row>
    <row r="84" spans="1:27" ht="14.5" customHeight="1" x14ac:dyDescent="0.35">
      <c r="A84" s="623"/>
      <c r="B84" s="325" t="s">
        <v>98</v>
      </c>
      <c r="C84" s="327">
        <v>137985120</v>
      </c>
      <c r="D84" s="222">
        <v>12</v>
      </c>
      <c r="E84" s="308">
        <v>11</v>
      </c>
      <c r="F84" s="169">
        <v>55480527.026600011</v>
      </c>
      <c r="G84" s="169"/>
      <c r="H84" s="327"/>
      <c r="I84" s="326">
        <f t="shared" si="89"/>
        <v>55480527.026600011</v>
      </c>
      <c r="J84" s="226">
        <f t="shared" si="84"/>
        <v>-82504592.973399997</v>
      </c>
      <c r="K84" s="172">
        <f t="shared" si="85"/>
        <v>0.40207615883944597</v>
      </c>
      <c r="L84" s="369" t="str">
        <f t="shared" si="90"/>
        <v>0,15%</v>
      </c>
      <c r="M84" s="186">
        <f t="shared" si="91"/>
        <v>83220.790539900016</v>
      </c>
      <c r="O84" s="608"/>
      <c r="P84" s="325" t="s">
        <v>98</v>
      </c>
      <c r="Q84" s="327">
        <v>105019200.00000001</v>
      </c>
      <c r="R84" s="222">
        <v>4</v>
      </c>
      <c r="S84" s="308">
        <v>7</v>
      </c>
      <c r="T84" s="169">
        <v>63061459.459399983</v>
      </c>
      <c r="U84" s="169">
        <v>1476533.3333000001</v>
      </c>
      <c r="V84" s="327"/>
      <c r="W84" s="326">
        <f t="shared" si="86"/>
        <v>61584926.126099981</v>
      </c>
      <c r="X84" s="226">
        <f t="shared" si="87"/>
        <v>-41957740.540600032</v>
      </c>
      <c r="Y84" s="172">
        <f t="shared" si="88"/>
        <v>0.58641587563131292</v>
      </c>
      <c r="Z84" s="369" t="str">
        <f t="shared" si="92"/>
        <v>0,15%</v>
      </c>
      <c r="AA84" s="186">
        <f t="shared" si="93"/>
        <v>92377.389189149981</v>
      </c>
    </row>
    <row r="85" spans="1:27" ht="14.5" customHeight="1" x14ac:dyDescent="0.35">
      <c r="A85" s="623"/>
      <c r="B85" s="325" t="s">
        <v>99</v>
      </c>
      <c r="C85" s="327">
        <v>108416880</v>
      </c>
      <c r="D85" s="222">
        <v>6</v>
      </c>
      <c r="E85" s="308">
        <v>3</v>
      </c>
      <c r="F85" s="169">
        <v>15998891.891999999</v>
      </c>
      <c r="G85" s="169">
        <v>337500</v>
      </c>
      <c r="H85" s="327"/>
      <c r="I85" s="326">
        <f t="shared" si="89"/>
        <v>15661391.891999999</v>
      </c>
      <c r="J85" s="226">
        <f t="shared" si="84"/>
        <v>-92755488.107999995</v>
      </c>
      <c r="K85" s="172">
        <f t="shared" si="85"/>
        <v>0.14445529046768363</v>
      </c>
      <c r="L85" s="369">
        <f t="shared" si="90"/>
        <v>0</v>
      </c>
      <c r="M85" s="186">
        <f t="shared" si="91"/>
        <v>0</v>
      </c>
      <c r="O85" s="608"/>
      <c r="P85" s="325" t="s">
        <v>99</v>
      </c>
      <c r="Q85" s="327">
        <v>95472000.000000015</v>
      </c>
      <c r="R85" s="222">
        <v>9</v>
      </c>
      <c r="S85" s="308">
        <v>6</v>
      </c>
      <c r="T85" s="169">
        <v>38741677.927699991</v>
      </c>
      <c r="U85" s="169">
        <v>333333.3334</v>
      </c>
      <c r="V85" s="327"/>
      <c r="W85" s="326">
        <f t="shared" si="86"/>
        <v>38408344.594299987</v>
      </c>
      <c r="X85" s="226">
        <f t="shared" si="87"/>
        <v>-56730322.072300024</v>
      </c>
      <c r="Y85" s="172">
        <f t="shared" si="88"/>
        <v>0.40229957049501402</v>
      </c>
      <c r="Z85" s="369" t="str">
        <f t="shared" si="92"/>
        <v>0,15%</v>
      </c>
      <c r="AA85" s="186">
        <f t="shared" si="93"/>
        <v>57612.516891449981</v>
      </c>
    </row>
    <row r="86" spans="1:27" ht="14.5" customHeight="1" x14ac:dyDescent="0.35">
      <c r="A86" s="623"/>
      <c r="B86" s="325" t="s">
        <v>100</v>
      </c>
      <c r="C86" s="327">
        <v>246402000</v>
      </c>
      <c r="D86" s="222">
        <v>15</v>
      </c>
      <c r="E86" s="308">
        <v>9</v>
      </c>
      <c r="F86" s="169">
        <v>90330638.738900021</v>
      </c>
      <c r="G86" s="169"/>
      <c r="H86" s="327"/>
      <c r="I86" s="326">
        <f t="shared" si="89"/>
        <v>90330638.738900021</v>
      </c>
      <c r="J86" s="226">
        <f t="shared" si="84"/>
        <v>-156071361.26109999</v>
      </c>
      <c r="K86" s="172">
        <f t="shared" si="85"/>
        <v>0.36659864262018987</v>
      </c>
      <c r="L86" s="369">
        <f t="shared" si="90"/>
        <v>0</v>
      </c>
      <c r="M86" s="186">
        <f t="shared" si="91"/>
        <v>0</v>
      </c>
      <c r="O86" s="608"/>
      <c r="P86" s="325" t="s">
        <v>100</v>
      </c>
      <c r="Q86" s="327">
        <v>305510400.00000006</v>
      </c>
      <c r="R86" s="222">
        <v>15</v>
      </c>
      <c r="S86" s="308">
        <v>12</v>
      </c>
      <c r="T86" s="169">
        <v>187709858.55819997</v>
      </c>
      <c r="U86" s="169">
        <v>1986486.4865000001</v>
      </c>
      <c r="V86" s="327"/>
      <c r="W86" s="326">
        <f t="shared" si="86"/>
        <v>185723372.07169998</v>
      </c>
      <c r="X86" s="226">
        <f t="shared" si="87"/>
        <v>-117800541.44180009</v>
      </c>
      <c r="Y86" s="172">
        <f t="shared" si="88"/>
        <v>0.60791178327055295</v>
      </c>
      <c r="Z86" s="369" t="str">
        <f t="shared" si="92"/>
        <v>0,2%</v>
      </c>
      <c r="AA86" s="186">
        <f t="shared" si="93"/>
        <v>371446.74414339993</v>
      </c>
    </row>
    <row r="87" spans="1:27" ht="14.5" customHeight="1" x14ac:dyDescent="0.35">
      <c r="A87" s="623"/>
      <c r="B87" s="325" t="s">
        <v>101</v>
      </c>
      <c r="C87" s="327">
        <v>256258080</v>
      </c>
      <c r="D87" s="222">
        <v>18</v>
      </c>
      <c r="E87" s="308">
        <v>9</v>
      </c>
      <c r="F87" s="169">
        <v>98699465.135499999</v>
      </c>
      <c r="G87" s="169">
        <v>337500</v>
      </c>
      <c r="H87" s="327"/>
      <c r="I87" s="326">
        <f t="shared" si="89"/>
        <v>98361965.135499999</v>
      </c>
      <c r="J87" s="226">
        <f t="shared" si="84"/>
        <v>-157896114.86449999</v>
      </c>
      <c r="K87" s="172">
        <f t="shared" si="85"/>
        <v>0.38383946814672143</v>
      </c>
      <c r="L87" s="369">
        <f t="shared" si="90"/>
        <v>0</v>
      </c>
      <c r="M87" s="186">
        <f t="shared" si="91"/>
        <v>0</v>
      </c>
      <c r="O87" s="608"/>
      <c r="P87" s="325" t="s">
        <v>101</v>
      </c>
      <c r="Q87" s="327">
        <v>238680000.00000003</v>
      </c>
      <c r="R87" s="222">
        <v>11</v>
      </c>
      <c r="S87" s="308">
        <v>6</v>
      </c>
      <c r="T87" s="169">
        <v>67217891.756999999</v>
      </c>
      <c r="U87" s="169">
        <v>2051329.7297</v>
      </c>
      <c r="V87" s="327"/>
      <c r="W87" s="326">
        <f t="shared" si="86"/>
        <v>65166562.0273</v>
      </c>
      <c r="X87" s="226">
        <f t="shared" si="87"/>
        <v>-171462108.24300003</v>
      </c>
      <c r="Y87" s="172">
        <f>W87/Q87</f>
        <v>0.27302900128749785</v>
      </c>
      <c r="Z87" s="369">
        <f t="shared" si="92"/>
        <v>0</v>
      </c>
      <c r="AA87" s="186">
        <f t="shared" si="93"/>
        <v>0</v>
      </c>
    </row>
    <row r="88" spans="1:27" ht="14.5" customHeight="1" thickBot="1" x14ac:dyDescent="0.4">
      <c r="A88" s="623"/>
      <c r="B88" s="352" t="s">
        <v>77</v>
      </c>
      <c r="C88" s="329">
        <f t="shared" ref="C88:H88" si="94">SUM(C82:C87)</f>
        <v>985608000</v>
      </c>
      <c r="D88" s="178">
        <f t="shared" si="94"/>
        <v>63</v>
      </c>
      <c r="E88" s="178">
        <f t="shared" si="94"/>
        <v>45</v>
      </c>
      <c r="F88" s="329">
        <f t="shared" si="94"/>
        <v>384129394.82090008</v>
      </c>
      <c r="G88" s="330">
        <f t="shared" si="94"/>
        <v>675000</v>
      </c>
      <c r="H88" s="329">
        <f t="shared" si="94"/>
        <v>0</v>
      </c>
      <c r="I88" s="329">
        <f t="shared" si="89"/>
        <v>383454394.82090008</v>
      </c>
      <c r="J88" s="329">
        <f t="shared" si="84"/>
        <v>-602153605.17909992</v>
      </c>
      <c r="K88" s="305">
        <f>I88/C88</f>
        <v>0.38905365502400557</v>
      </c>
      <c r="L88" s="369" t="str">
        <f>IF(K88&gt;100%,"CAPAI 100%",IF(K88&gt;90%,"CAPAI 90%","BELUM CAPAI"))</f>
        <v>BELUM CAPAI</v>
      </c>
      <c r="M88" s="202">
        <f>SUM(M82:M87)</f>
        <v>229293.72378370006</v>
      </c>
      <c r="O88" s="609"/>
      <c r="P88" s="354" t="s">
        <v>77</v>
      </c>
      <c r="Q88" s="336">
        <f t="shared" ref="Q88:V88" si="95">SUM(Q82:Q87)</f>
        <v>954720000.00000012</v>
      </c>
      <c r="R88" s="207">
        <f>SUM(R82:R87)</f>
        <v>52</v>
      </c>
      <c r="S88" s="207">
        <f t="shared" si="95"/>
        <v>44</v>
      </c>
      <c r="T88" s="336">
        <f t="shared" si="95"/>
        <v>426358112.92799997</v>
      </c>
      <c r="U88" s="337">
        <f t="shared" si="95"/>
        <v>9964800.0001000017</v>
      </c>
      <c r="V88" s="336">
        <f t="shared" si="95"/>
        <v>0</v>
      </c>
      <c r="W88" s="336">
        <f t="shared" si="86"/>
        <v>416393312.92789996</v>
      </c>
      <c r="X88" s="336">
        <f>W88-Q88</f>
        <v>-538326687.07210016</v>
      </c>
      <c r="Y88" s="313">
        <f t="shared" si="88"/>
        <v>0.43614181427842708</v>
      </c>
      <c r="Z88" s="369" t="str">
        <f>IF(Y88&gt;100%,"CAPAI 100%",IF(Y88&gt;90%,"CAPAI 90%","BELUM CAPAI"))</f>
        <v>BELUM CAPAI</v>
      </c>
      <c r="AA88" s="202">
        <f>SUM(AA82:AA87)</f>
        <v>521436.65022399987</v>
      </c>
    </row>
    <row r="89" spans="1:27" ht="14.5" customHeight="1" x14ac:dyDescent="0.55000000000000004">
      <c r="B89" s="324" t="str">
        <f>$B$12</f>
        <v>TARGET Q2</v>
      </c>
      <c r="C89" s="243">
        <f>C90*C88</f>
        <v>887047200</v>
      </c>
      <c r="D89" s="597"/>
      <c r="E89" s="598"/>
      <c r="F89" s="598"/>
      <c r="G89" s="598"/>
      <c r="H89" s="599"/>
      <c r="I89" s="243">
        <f>I88</f>
        <v>383454394.82090008</v>
      </c>
      <c r="J89" s="243">
        <f>I89-C89</f>
        <v>-503592805.17909992</v>
      </c>
      <c r="K89" s="183">
        <f t="shared" si="85"/>
        <v>0.43228183891556177</v>
      </c>
      <c r="O89" s="309"/>
      <c r="P89" s="324" t="str">
        <f>$B$12</f>
        <v>TARGET Q2</v>
      </c>
      <c r="Q89" s="243">
        <f>Q90*Q88</f>
        <v>859248000.00000012</v>
      </c>
      <c r="R89" s="597"/>
      <c r="S89" s="598"/>
      <c r="T89" s="598"/>
      <c r="U89" s="598"/>
      <c r="V89" s="599"/>
      <c r="W89" s="243">
        <f>W88</f>
        <v>416393312.92789996</v>
      </c>
      <c r="X89" s="243">
        <f>W89-Q89</f>
        <v>-442854687.07210016</v>
      </c>
      <c r="Y89" s="183">
        <f>W89/Q89</f>
        <v>0.48460201586491897</v>
      </c>
      <c r="Z89" s="192"/>
    </row>
    <row r="90" spans="1:27" ht="24" thickBot="1" x14ac:dyDescent="0.6">
      <c r="C90" s="210">
        <v>0.9</v>
      </c>
      <c r="O90" s="309"/>
      <c r="Q90" s="210">
        <v>0.9</v>
      </c>
    </row>
    <row r="91" spans="1:27" ht="20.5" customHeight="1" x14ac:dyDescent="0.35">
      <c r="A91" s="624">
        <v>9</v>
      </c>
      <c r="B91" s="352" t="s">
        <v>57</v>
      </c>
      <c r="C91" s="353" t="s">
        <v>43</v>
      </c>
      <c r="D91" s="616" t="s">
        <v>91</v>
      </c>
      <c r="E91" s="616" t="s">
        <v>62</v>
      </c>
      <c r="F91" s="604" t="s">
        <v>119</v>
      </c>
      <c r="G91" s="605"/>
      <c r="H91" s="605"/>
      <c r="I91" s="606"/>
      <c r="J91" s="587" t="s">
        <v>65</v>
      </c>
      <c r="K91" s="352" t="s">
        <v>66</v>
      </c>
      <c r="O91" s="607">
        <v>9</v>
      </c>
      <c r="P91" s="354" t="s">
        <v>57</v>
      </c>
      <c r="Q91" s="355" t="s">
        <v>160</v>
      </c>
      <c r="R91" s="591" t="s">
        <v>91</v>
      </c>
      <c r="S91" s="591" t="s">
        <v>62</v>
      </c>
      <c r="T91" s="610" t="s">
        <v>119</v>
      </c>
      <c r="U91" s="611"/>
      <c r="V91" s="611"/>
      <c r="W91" s="612"/>
      <c r="X91" s="603" t="s">
        <v>65</v>
      </c>
      <c r="Y91" s="354" t="s">
        <v>66</v>
      </c>
    </row>
    <row r="92" spans="1:27" ht="33.65" customHeight="1" x14ac:dyDescent="0.35">
      <c r="A92" s="625"/>
      <c r="B92" s="352" t="s">
        <v>93</v>
      </c>
      <c r="C92" s="353" t="str">
        <f>C81</f>
        <v>TARGET 100%</v>
      </c>
      <c r="D92" s="617"/>
      <c r="E92" s="617"/>
      <c r="F92" s="163" t="str">
        <f>F4</f>
        <v>OMSET APR
 (1-30)</v>
      </c>
      <c r="G92" s="163" t="str">
        <f>G4</f>
        <v>OMSET PRODUK</v>
      </c>
      <c r="H92" s="353" t="s">
        <v>63</v>
      </c>
      <c r="I92" s="353" t="s">
        <v>64</v>
      </c>
      <c r="J92" s="587"/>
      <c r="K92" s="164">
        <f>K81</f>
        <v>1</v>
      </c>
      <c r="O92" s="608"/>
      <c r="P92" s="354" t="s">
        <v>93</v>
      </c>
      <c r="Q92" s="355" t="str">
        <f>Q81</f>
        <v>TARGET 100%</v>
      </c>
      <c r="R92" s="592"/>
      <c r="S92" s="592"/>
      <c r="T92" s="200" t="str">
        <f>T15</f>
        <v>OMSET APR
 (1-30)</v>
      </c>
      <c r="U92" s="200" t="str">
        <f>G4</f>
        <v>OMSET PRODUK</v>
      </c>
      <c r="V92" s="355" t="s">
        <v>63</v>
      </c>
      <c r="W92" s="355" t="s">
        <v>64</v>
      </c>
      <c r="X92" s="603"/>
      <c r="Y92" s="201">
        <f>K92</f>
        <v>1</v>
      </c>
    </row>
    <row r="93" spans="1:27" ht="14.5" customHeight="1" x14ac:dyDescent="0.35">
      <c r="A93" s="625"/>
      <c r="B93" s="325" t="s">
        <v>96</v>
      </c>
      <c r="C93" s="326">
        <v>218476440</v>
      </c>
      <c r="D93" s="222">
        <v>22</v>
      </c>
      <c r="E93" s="308">
        <v>18</v>
      </c>
      <c r="F93" s="169">
        <v>244150775.41169992</v>
      </c>
      <c r="G93" s="169"/>
      <c r="H93" s="326"/>
      <c r="I93" s="326">
        <f t="shared" ref="I93:I99" si="96">F93-G93</f>
        <v>244150775.41169992</v>
      </c>
      <c r="J93" s="226">
        <f t="shared" ref="J93:J99" si="97">I93-C93</f>
        <v>25674335.411699921</v>
      </c>
      <c r="K93" s="172">
        <f t="shared" ref="K93:K100" si="98">I93/C93</f>
        <v>1.1175153504501443</v>
      </c>
      <c r="L93" s="369" t="str">
        <f>IF(K93&gt;120%,"0,55%",IF(K93&gt;100%,"0,45%",IF(K93&gt;80%,"0,35%",IF(K93&gt;60%,"0,2%",IF(K93&gt;40%,"0,15%",0)))))</f>
        <v>0,45%</v>
      </c>
      <c r="M93" s="186">
        <f>L93*I93</f>
        <v>1098678.4893526495</v>
      </c>
      <c r="O93" s="608"/>
      <c r="P93" s="325" t="s">
        <v>96</v>
      </c>
      <c r="Q93" s="326">
        <v>101088000</v>
      </c>
      <c r="R93" s="222">
        <v>12</v>
      </c>
      <c r="S93" s="308">
        <v>10</v>
      </c>
      <c r="T93" s="169">
        <v>84253594.143600002</v>
      </c>
      <c r="U93" s="169">
        <v>2948691.8919000002</v>
      </c>
      <c r="V93" s="326"/>
      <c r="W93" s="326">
        <f t="shared" ref="W93:W99" si="99">T93-U93</f>
        <v>81304902.251699999</v>
      </c>
      <c r="X93" s="226">
        <f t="shared" ref="X93:X98" si="100">T93-Q93</f>
        <v>-16834405.856399998</v>
      </c>
      <c r="Y93" s="172">
        <f t="shared" ref="Y93:Y99" si="101">W93/Q93</f>
        <v>0.80429825747566475</v>
      </c>
      <c r="Z93" s="369" t="str">
        <f>IF(Y93&gt;120%,"0,55%",IF(Y93&gt;100%,"0,45%",IF(Y93&gt;80%,"0,35%",IF(Y93&gt;60%,"0,2%",IF(Y93&gt;40%,"0,15%",0)))))</f>
        <v>0,35%</v>
      </c>
      <c r="AA93" s="186">
        <f>Z93*W93</f>
        <v>284567.15788095002</v>
      </c>
    </row>
    <row r="94" spans="1:27" ht="14.5" customHeight="1" x14ac:dyDescent="0.35">
      <c r="A94" s="625"/>
      <c r="B94" s="325" t="s">
        <v>97</v>
      </c>
      <c r="C94" s="327">
        <v>176861880</v>
      </c>
      <c r="D94" s="222">
        <v>15</v>
      </c>
      <c r="E94" s="308">
        <v>10</v>
      </c>
      <c r="F94" s="169">
        <v>105352374.44980001</v>
      </c>
      <c r="G94" s="328">
        <v>1597702.7027</v>
      </c>
      <c r="H94" s="327"/>
      <c r="I94" s="326">
        <f t="shared" si="96"/>
        <v>103754671.74710001</v>
      </c>
      <c r="J94" s="226">
        <f t="shared" si="97"/>
        <v>-73107208.252899989</v>
      </c>
      <c r="K94" s="172">
        <f t="shared" si="98"/>
        <v>0.58664236604914533</v>
      </c>
      <c r="L94" s="369" t="str">
        <f t="shared" ref="L94:L98" si="102">IF(K94&gt;120%,"0,55%",IF(K94&gt;100%,"0,45%",IF(K94&gt;80%,"0,35%",IF(K94&gt;60%,"0,2%",IF(K94&gt;40%,"0,15%",0)))))</f>
        <v>0,15%</v>
      </c>
      <c r="M94" s="186">
        <f t="shared" ref="M94:M98" si="103">L94*I94</f>
        <v>155632.00762065002</v>
      </c>
      <c r="O94" s="608"/>
      <c r="P94" s="325" t="s">
        <v>97</v>
      </c>
      <c r="Q94" s="327">
        <v>363916800</v>
      </c>
      <c r="R94" s="222">
        <v>15</v>
      </c>
      <c r="S94" s="308">
        <v>12</v>
      </c>
      <c r="T94" s="169">
        <v>235246993.69400012</v>
      </c>
      <c r="U94" s="328">
        <v>1970248.6486</v>
      </c>
      <c r="V94" s="327"/>
      <c r="W94" s="326">
        <f t="shared" si="99"/>
        <v>233276745.04540011</v>
      </c>
      <c r="X94" s="226">
        <f t="shared" si="100"/>
        <v>-128669806.30599988</v>
      </c>
      <c r="Y94" s="172">
        <f t="shared" si="101"/>
        <v>0.64101669679827944</v>
      </c>
      <c r="Z94" s="369" t="str">
        <f t="shared" ref="Z94:Z98" si="104">IF(Y94&gt;120%,"0,55%",IF(Y94&gt;100%,"0,45%",IF(Y94&gt;80%,"0,35%",IF(Y94&gt;60%,"0,2%",IF(Y94&gt;40%,"0,15%",0)))))</f>
        <v>0,2%</v>
      </c>
      <c r="AA94" s="186">
        <f t="shared" ref="AA94:AA98" si="105">Z94*W94</f>
        <v>466553.49009080022</v>
      </c>
    </row>
    <row r="95" spans="1:27" ht="14.5" customHeight="1" x14ac:dyDescent="0.35">
      <c r="A95" s="625"/>
      <c r="B95" s="325" t="s">
        <v>98</v>
      </c>
      <c r="C95" s="327">
        <v>197669160</v>
      </c>
      <c r="D95" s="222">
        <v>15</v>
      </c>
      <c r="E95" s="308">
        <v>12</v>
      </c>
      <c r="F95" s="169">
        <v>146403555.40549991</v>
      </c>
      <c r="G95" s="169">
        <v>315000</v>
      </c>
      <c r="H95" s="327"/>
      <c r="I95" s="326">
        <f>F95-G95</f>
        <v>146088555.40549991</v>
      </c>
      <c r="J95" s="226">
        <f t="shared" si="97"/>
        <v>-51580604.594500095</v>
      </c>
      <c r="K95" s="172">
        <f t="shared" si="98"/>
        <v>0.73905588208853579</v>
      </c>
      <c r="L95" s="369" t="str">
        <f t="shared" si="102"/>
        <v>0,2%</v>
      </c>
      <c r="M95" s="186">
        <f t="shared" si="103"/>
        <v>292177.11081099982</v>
      </c>
      <c r="O95" s="608"/>
      <c r="P95" s="325" t="s">
        <v>98</v>
      </c>
      <c r="Q95" s="327">
        <v>141523200</v>
      </c>
      <c r="R95" s="222">
        <v>12</v>
      </c>
      <c r="S95" s="308">
        <v>14</v>
      </c>
      <c r="T95" s="169">
        <v>103505790.99079998</v>
      </c>
      <c r="U95" s="169">
        <v>8288288.2883000001</v>
      </c>
      <c r="V95" s="327"/>
      <c r="W95" s="326">
        <f t="shared" si="99"/>
        <v>95217502.702499986</v>
      </c>
      <c r="X95" s="226">
        <f t="shared" si="100"/>
        <v>-38017409.009200022</v>
      </c>
      <c r="Y95" s="172">
        <f t="shared" si="101"/>
        <v>0.6728049019701362</v>
      </c>
      <c r="Z95" s="369" t="str">
        <f t="shared" si="104"/>
        <v>0,2%</v>
      </c>
      <c r="AA95" s="186">
        <f t="shared" si="105"/>
        <v>190435.00540499997</v>
      </c>
    </row>
    <row r="96" spans="1:27" ht="14.5" customHeight="1" x14ac:dyDescent="0.35">
      <c r="A96" s="625"/>
      <c r="B96" s="325" t="s">
        <v>99</v>
      </c>
      <c r="C96" s="327">
        <v>176861880</v>
      </c>
      <c r="D96" s="222">
        <v>17</v>
      </c>
      <c r="E96" s="308">
        <v>12</v>
      </c>
      <c r="F96" s="169">
        <v>98429583.233900011</v>
      </c>
      <c r="G96" s="169">
        <v>337500</v>
      </c>
      <c r="H96" s="327"/>
      <c r="I96" s="326">
        <f>F96-G96</f>
        <v>98092083.233900011</v>
      </c>
      <c r="J96" s="226">
        <f t="shared" si="97"/>
        <v>-78769796.766099989</v>
      </c>
      <c r="K96" s="172">
        <f t="shared" si="98"/>
        <v>0.55462535643011379</v>
      </c>
      <c r="L96" s="369" t="str">
        <f t="shared" si="102"/>
        <v>0,15%</v>
      </c>
      <c r="M96" s="186">
        <f t="shared" si="103"/>
        <v>147138.12485085003</v>
      </c>
      <c r="O96" s="608"/>
      <c r="P96" s="325" t="s">
        <v>99</v>
      </c>
      <c r="Q96" s="327">
        <v>121305600</v>
      </c>
      <c r="R96" s="222">
        <v>12</v>
      </c>
      <c r="S96" s="308">
        <v>10</v>
      </c>
      <c r="T96" s="169">
        <v>72244972.973100007</v>
      </c>
      <c r="U96" s="169">
        <v>1504504.5044999998</v>
      </c>
      <c r="V96" s="327"/>
      <c r="W96" s="326">
        <f t="shared" si="99"/>
        <v>70740468.468600005</v>
      </c>
      <c r="X96" s="226">
        <f t="shared" si="100"/>
        <v>-49060627.026899993</v>
      </c>
      <c r="Y96" s="172">
        <f t="shared" si="101"/>
        <v>0.58315913254293295</v>
      </c>
      <c r="Z96" s="369" t="str">
        <f t="shared" si="104"/>
        <v>0,15%</v>
      </c>
      <c r="AA96" s="186">
        <f t="shared" si="105"/>
        <v>106110.70270290002</v>
      </c>
    </row>
    <row r="97" spans="1:27" ht="14.5" customHeight="1" x14ac:dyDescent="0.35">
      <c r="A97" s="625"/>
      <c r="B97" s="325" t="s">
        <v>100</v>
      </c>
      <c r="C97" s="327">
        <v>124843680</v>
      </c>
      <c r="D97" s="222">
        <v>16</v>
      </c>
      <c r="E97" s="308">
        <v>13</v>
      </c>
      <c r="F97" s="169">
        <v>105564138.73840001</v>
      </c>
      <c r="G97" s="169"/>
      <c r="H97" s="327"/>
      <c r="I97" s="326">
        <f t="shared" si="96"/>
        <v>105564138.73840001</v>
      </c>
      <c r="J97" s="226">
        <f t="shared" si="97"/>
        <v>-19279541.261599988</v>
      </c>
      <c r="K97" s="172">
        <f t="shared" si="98"/>
        <v>0.84557054660996867</v>
      </c>
      <c r="L97" s="369" t="str">
        <f t="shared" si="102"/>
        <v>0,35%</v>
      </c>
      <c r="M97" s="186">
        <f t="shared" si="103"/>
        <v>369474.48558440007</v>
      </c>
      <c r="O97" s="608"/>
      <c r="P97" s="325" t="s">
        <v>100</v>
      </c>
      <c r="Q97" s="327">
        <v>131414400</v>
      </c>
      <c r="R97" s="222">
        <v>8</v>
      </c>
      <c r="S97" s="308">
        <v>8</v>
      </c>
      <c r="T97" s="169">
        <v>66429067.567799978</v>
      </c>
      <c r="U97" s="169"/>
      <c r="V97" s="327"/>
      <c r="W97" s="326">
        <f t="shared" si="99"/>
        <v>66429067.567799978</v>
      </c>
      <c r="X97" s="226">
        <f t="shared" si="100"/>
        <v>-64985332.432200022</v>
      </c>
      <c r="Y97" s="172">
        <f t="shared" si="101"/>
        <v>0.50549306292004514</v>
      </c>
      <c r="Z97" s="369" t="str">
        <f t="shared" si="104"/>
        <v>0,15%</v>
      </c>
      <c r="AA97" s="186">
        <f t="shared" si="105"/>
        <v>99643.601351699966</v>
      </c>
    </row>
    <row r="98" spans="1:27" ht="14.5" customHeight="1" x14ac:dyDescent="0.35">
      <c r="A98" s="625"/>
      <c r="B98" s="325" t="s">
        <v>101</v>
      </c>
      <c r="C98" s="327">
        <v>145650960</v>
      </c>
      <c r="D98" s="222">
        <v>12</v>
      </c>
      <c r="E98" s="308">
        <v>9</v>
      </c>
      <c r="F98" s="169">
        <v>104078531.36950003</v>
      </c>
      <c r="G98" s="169"/>
      <c r="H98" s="327"/>
      <c r="I98" s="326">
        <f t="shared" si="96"/>
        <v>104078531.36950003</v>
      </c>
      <c r="J98" s="226">
        <f t="shared" si="97"/>
        <v>-41572428.630499974</v>
      </c>
      <c r="K98" s="172">
        <f t="shared" si="98"/>
        <v>0.71457497684532956</v>
      </c>
      <c r="L98" s="369" t="str">
        <f t="shared" si="102"/>
        <v>0,2%</v>
      </c>
      <c r="M98" s="186">
        <f t="shared" si="103"/>
        <v>208157.06273900004</v>
      </c>
      <c r="O98" s="608"/>
      <c r="P98" s="325" t="s">
        <v>101</v>
      </c>
      <c r="Q98" s="327">
        <v>151632000</v>
      </c>
      <c r="R98" s="222">
        <v>8</v>
      </c>
      <c r="S98" s="308">
        <v>7</v>
      </c>
      <c r="T98" s="169">
        <v>46943458.107899979</v>
      </c>
      <c r="U98" s="169"/>
      <c r="V98" s="327"/>
      <c r="W98" s="326">
        <f t="shared" si="99"/>
        <v>46943458.107899979</v>
      </c>
      <c r="X98" s="226">
        <f t="shared" si="100"/>
        <v>-104688541.89210002</v>
      </c>
      <c r="Y98" s="172">
        <f t="shared" si="101"/>
        <v>0.30958806919317811</v>
      </c>
      <c r="Z98" s="369">
        <f t="shared" si="104"/>
        <v>0</v>
      </c>
      <c r="AA98" s="186">
        <f t="shared" si="105"/>
        <v>0</v>
      </c>
    </row>
    <row r="99" spans="1:27" s="187" customFormat="1" ht="14.5" customHeight="1" thickBot="1" x14ac:dyDescent="0.4">
      <c r="A99" s="625"/>
      <c r="B99" s="352" t="s">
        <v>77</v>
      </c>
      <c r="C99" s="329">
        <f t="shared" ref="C99:H99" si="106">SUM(C93:C98)</f>
        <v>1040364000</v>
      </c>
      <c r="D99" s="178">
        <f t="shared" si="106"/>
        <v>97</v>
      </c>
      <c r="E99" s="178">
        <f t="shared" si="106"/>
        <v>74</v>
      </c>
      <c r="F99" s="329">
        <f t="shared" si="106"/>
        <v>803978958.60879982</v>
      </c>
      <c r="G99" s="330">
        <f t="shared" si="106"/>
        <v>2250202.7027000003</v>
      </c>
      <c r="H99" s="329">
        <f t="shared" si="106"/>
        <v>0</v>
      </c>
      <c r="I99" s="329">
        <f t="shared" si="96"/>
        <v>801728755.9060998</v>
      </c>
      <c r="J99" s="329">
        <f t="shared" si="97"/>
        <v>-238635244.0939002</v>
      </c>
      <c r="K99" s="305">
        <f t="shared" si="98"/>
        <v>0.77062331636436843</v>
      </c>
      <c r="L99" s="369" t="str">
        <f>IF(K99&gt;100%,"CAPAI 100%",IF(K99&gt;90%,"CAPAI 90%","BELUM CAPAI"))</f>
        <v>BELUM CAPAI</v>
      </c>
      <c r="M99" s="202">
        <f>SUM(M93:M98)</f>
        <v>2271257.2809585496</v>
      </c>
      <c r="O99" s="609"/>
      <c r="P99" s="354" t="s">
        <v>77</v>
      </c>
      <c r="Q99" s="336">
        <f t="shared" ref="Q99:V99" si="107">SUM(Q93:Q98)</f>
        <v>1010880000</v>
      </c>
      <c r="R99" s="207">
        <f t="shared" si="107"/>
        <v>67</v>
      </c>
      <c r="S99" s="207">
        <f>SUM(S93:S98)</f>
        <v>61</v>
      </c>
      <c r="T99" s="336">
        <f t="shared" si="107"/>
        <v>608623877.47720003</v>
      </c>
      <c r="U99" s="337">
        <f t="shared" si="107"/>
        <v>14711733.3333</v>
      </c>
      <c r="V99" s="336">
        <f t="shared" si="107"/>
        <v>0</v>
      </c>
      <c r="W99" s="336">
        <f t="shared" si="99"/>
        <v>593912144.14390004</v>
      </c>
      <c r="X99" s="336">
        <f>W99-Q99</f>
        <v>-416967855.85609996</v>
      </c>
      <c r="Y99" s="313">
        <f t="shared" si="101"/>
        <v>0.58751992733450065</v>
      </c>
      <c r="Z99" s="369" t="str">
        <f>IF(Y99&gt;100%,"CAPAI 100%",IF(Y99&gt;90%,"CAPAI 90%","BELUM CAPAI"))</f>
        <v>BELUM CAPAI</v>
      </c>
      <c r="AA99" s="202">
        <f>SUM(AA93:AA98)</f>
        <v>1147309.9574313501</v>
      </c>
    </row>
    <row r="100" spans="1:27" ht="15" customHeight="1" x14ac:dyDescent="0.55000000000000004">
      <c r="A100" s="219"/>
      <c r="B100" s="324" t="str">
        <f>$B$12</f>
        <v>TARGET Q2</v>
      </c>
      <c r="C100" s="243">
        <f>C101*C99</f>
        <v>936327600</v>
      </c>
      <c r="D100" s="597"/>
      <c r="E100" s="598"/>
      <c r="F100" s="598"/>
      <c r="G100" s="598"/>
      <c r="H100" s="599"/>
      <c r="I100" s="243">
        <f>I99</f>
        <v>801728755.9060998</v>
      </c>
      <c r="J100" s="243">
        <f>I100-C100</f>
        <v>-134598844.0939002</v>
      </c>
      <c r="K100" s="183">
        <f t="shared" si="98"/>
        <v>0.85624812929374272</v>
      </c>
      <c r="O100" s="309"/>
      <c r="P100" s="324" t="str">
        <f>$B$12</f>
        <v>TARGET Q2</v>
      </c>
      <c r="Q100" s="243">
        <f>Q101*Q99</f>
        <v>909792000</v>
      </c>
      <c r="R100" s="597"/>
      <c r="S100" s="598"/>
      <c r="T100" s="598"/>
      <c r="U100" s="598"/>
      <c r="V100" s="599"/>
      <c r="W100" s="243">
        <f>W99</f>
        <v>593912144.14390004</v>
      </c>
      <c r="X100" s="243">
        <f>W100-Q100</f>
        <v>-315879855.85609996</v>
      </c>
      <c r="Y100" s="183">
        <f>W100/Q100</f>
        <v>0.65279991926055625</v>
      </c>
      <c r="Z100" s="192"/>
    </row>
    <row r="101" spans="1:27" ht="24" thickBot="1" x14ac:dyDescent="0.6">
      <c r="C101" s="210">
        <v>0.9</v>
      </c>
      <c r="O101" s="309"/>
      <c r="Q101" s="210">
        <v>0.9</v>
      </c>
    </row>
    <row r="102" spans="1:27" ht="17.149999999999999" customHeight="1" x14ac:dyDescent="0.35">
      <c r="A102" s="623">
        <v>10</v>
      </c>
      <c r="B102" s="352" t="s">
        <v>57</v>
      </c>
      <c r="C102" s="353" t="s">
        <v>37</v>
      </c>
      <c r="D102" s="616" t="s">
        <v>91</v>
      </c>
      <c r="E102" s="616" t="s">
        <v>62</v>
      </c>
      <c r="F102" s="604" t="s">
        <v>121</v>
      </c>
      <c r="G102" s="605"/>
      <c r="H102" s="605"/>
      <c r="I102" s="606"/>
      <c r="J102" s="587" t="s">
        <v>65</v>
      </c>
      <c r="K102" s="352" t="s">
        <v>66</v>
      </c>
      <c r="O102" s="613">
        <v>10</v>
      </c>
      <c r="P102" s="354" t="s">
        <v>57</v>
      </c>
      <c r="Q102" s="355" t="s">
        <v>122</v>
      </c>
      <c r="R102" s="591" t="s">
        <v>91</v>
      </c>
      <c r="S102" s="591" t="s">
        <v>62</v>
      </c>
      <c r="T102" s="610" t="s">
        <v>121</v>
      </c>
      <c r="U102" s="611"/>
      <c r="V102" s="611"/>
      <c r="W102" s="612"/>
      <c r="X102" s="603" t="s">
        <v>65</v>
      </c>
      <c r="Y102" s="354" t="s">
        <v>66</v>
      </c>
    </row>
    <row r="103" spans="1:27" ht="37.5" customHeight="1" x14ac:dyDescent="0.35">
      <c r="A103" s="623"/>
      <c r="B103" s="352" t="s">
        <v>93</v>
      </c>
      <c r="C103" s="353" t="str">
        <f>C92</f>
        <v>TARGET 100%</v>
      </c>
      <c r="D103" s="617"/>
      <c r="E103" s="617"/>
      <c r="F103" s="163" t="str">
        <f>F4</f>
        <v>OMSET APR
 (1-30)</v>
      </c>
      <c r="G103" s="163" t="str">
        <f>G4</f>
        <v>OMSET PRODUK</v>
      </c>
      <c r="H103" s="353" t="s">
        <v>63</v>
      </c>
      <c r="I103" s="353" t="s">
        <v>64</v>
      </c>
      <c r="J103" s="587"/>
      <c r="K103" s="164">
        <f>K92</f>
        <v>1</v>
      </c>
      <c r="O103" s="614"/>
      <c r="P103" s="354" t="s">
        <v>93</v>
      </c>
      <c r="Q103" s="355" t="str">
        <f>Q92</f>
        <v>TARGET 100%</v>
      </c>
      <c r="R103" s="592"/>
      <c r="S103" s="592"/>
      <c r="T103" s="200" t="str">
        <f>T4</f>
        <v>OMSET APR
 (1-30)</v>
      </c>
      <c r="U103" s="200" t="str">
        <f>G4</f>
        <v>OMSET PRODUK</v>
      </c>
      <c r="V103" s="355" t="s">
        <v>63</v>
      </c>
      <c r="W103" s="355" t="s">
        <v>64</v>
      </c>
      <c r="X103" s="603"/>
      <c r="Y103" s="201">
        <f>K103</f>
        <v>1</v>
      </c>
    </row>
    <row r="104" spans="1:27" ht="14.5" customHeight="1" x14ac:dyDescent="0.35">
      <c r="A104" s="623"/>
      <c r="B104" s="325" t="s">
        <v>96</v>
      </c>
      <c r="C104" s="326">
        <v>416145600</v>
      </c>
      <c r="D104" s="222">
        <v>27</v>
      </c>
      <c r="E104" s="308">
        <v>22</v>
      </c>
      <c r="F104" s="169">
        <v>333839241.89119995</v>
      </c>
      <c r="G104" s="169">
        <v>337500</v>
      </c>
      <c r="H104" s="326"/>
      <c r="I104" s="326">
        <f t="shared" ref="I104:I110" si="108">F104-G104</f>
        <v>333501741.89119995</v>
      </c>
      <c r="J104" s="226">
        <f t="shared" ref="J104:J110" si="109">I104-C104</f>
        <v>-82643858.108800054</v>
      </c>
      <c r="K104" s="172">
        <f>I104/C104</f>
        <v>0.80140638731059499</v>
      </c>
      <c r="L104" s="369" t="str">
        <f>IF(K104&gt;120%,"0,55%",IF(K104&gt;100%,"0,45%",IF(K104&gt;80%,"0,35%",IF(K104&gt;60%,"0,2%",IF(K104&gt;40%,"0,15%",0)))))</f>
        <v>0,35%</v>
      </c>
      <c r="M104" s="186">
        <f>L104*I104</f>
        <v>1167256.0966191997</v>
      </c>
      <c r="O104" s="614"/>
      <c r="P104" s="325" t="s">
        <v>96</v>
      </c>
      <c r="Q104" s="326">
        <v>138715200</v>
      </c>
      <c r="R104" s="222">
        <v>11</v>
      </c>
      <c r="S104" s="308">
        <v>8</v>
      </c>
      <c r="T104" s="169">
        <v>63166766.666699991</v>
      </c>
      <c r="U104" s="169">
        <v>1884663.0630999999</v>
      </c>
      <c r="V104" s="326"/>
      <c r="W104" s="326">
        <f t="shared" ref="W104:W110" si="110">T104-U104</f>
        <v>61282103.603599988</v>
      </c>
      <c r="X104" s="226">
        <f t="shared" ref="X104:X109" si="111">T104-Q104</f>
        <v>-75548433.333300009</v>
      </c>
      <c r="Y104" s="172">
        <f t="shared" ref="Y104:Y111" si="112">W104/Q104</f>
        <v>0.44178362287334039</v>
      </c>
      <c r="Z104" s="369" t="str">
        <f>IF(Y104&gt;120%,"0,55%",IF(Y104&gt;100%,"0,45%",IF(Y104&gt;80%,"0,35%",IF(Y104&gt;60%,"0,2%",IF(Y104&gt;40%,"0,15%",0)))))</f>
        <v>0,15%</v>
      </c>
      <c r="AA104" s="186">
        <f>Z104*W104</f>
        <v>91923.155405399986</v>
      </c>
    </row>
    <row r="105" spans="1:27" ht="14.5" customHeight="1" x14ac:dyDescent="0.35">
      <c r="A105" s="623"/>
      <c r="B105" s="325" t="s">
        <v>97</v>
      </c>
      <c r="C105" s="327">
        <v>0</v>
      </c>
      <c r="D105" s="222"/>
      <c r="E105" s="308"/>
      <c r="F105" s="169"/>
      <c r="G105" s="328"/>
      <c r="H105" s="327"/>
      <c r="I105" s="326">
        <f t="shared" si="108"/>
        <v>0</v>
      </c>
      <c r="J105" s="226">
        <f t="shared" si="109"/>
        <v>0</v>
      </c>
      <c r="K105" s="172">
        <v>0</v>
      </c>
      <c r="L105" s="369">
        <f t="shared" ref="L105:L109" si="113">IF(K105&gt;120%,"0,55%",IF(K105&gt;100%,"0,45%",IF(K105&gt;80%,"0,35%",IF(K105&gt;60%,"0,2%",IF(K105&gt;40%,"0,15%",0)))))</f>
        <v>0</v>
      </c>
      <c r="M105" s="186">
        <f t="shared" ref="M105:M109" si="114">L105*I105</f>
        <v>0</v>
      </c>
      <c r="O105" s="614"/>
      <c r="P105" s="325" t="s">
        <v>97</v>
      </c>
      <c r="Q105" s="327">
        <v>480168000</v>
      </c>
      <c r="R105" s="222">
        <v>24</v>
      </c>
      <c r="S105" s="308">
        <v>24</v>
      </c>
      <c r="T105" s="169">
        <v>488092340.0898</v>
      </c>
      <c r="U105" s="328">
        <v>8414609.0090999994</v>
      </c>
      <c r="V105" s="327"/>
      <c r="W105" s="326">
        <f>T105-U105</f>
        <v>479677731.08069998</v>
      </c>
      <c r="X105" s="226">
        <f>T105-Q105</f>
        <v>7924340.0898000002</v>
      </c>
      <c r="Y105" s="172">
        <f t="shared" si="112"/>
        <v>0.99897896378080164</v>
      </c>
      <c r="Z105" s="369" t="str">
        <f t="shared" ref="Z105:Z109" si="115">IF(Y105&gt;120%,"0,55%",IF(Y105&gt;100%,"0,45%",IF(Y105&gt;80%,"0,35%",IF(Y105&gt;60%,"0,2%",IF(Y105&gt;40%,"0,15%",0)))))</f>
        <v>0,35%</v>
      </c>
      <c r="AA105" s="186">
        <f t="shared" ref="AA105:AA109" si="116">Z105*W105</f>
        <v>1678872.0587824499</v>
      </c>
    </row>
    <row r="106" spans="1:27" ht="14.5" customHeight="1" x14ac:dyDescent="0.35">
      <c r="A106" s="623"/>
      <c r="B106" s="325" t="s">
        <v>98</v>
      </c>
      <c r="C106" s="327">
        <v>156054600</v>
      </c>
      <c r="D106" s="222">
        <v>10</v>
      </c>
      <c r="E106" s="308">
        <v>9</v>
      </c>
      <c r="F106" s="169">
        <v>28962777.026799999</v>
      </c>
      <c r="G106" s="169"/>
      <c r="H106" s="327"/>
      <c r="I106" s="326">
        <f t="shared" si="108"/>
        <v>28962777.026799999</v>
      </c>
      <c r="J106" s="226">
        <f t="shared" si="109"/>
        <v>-127091822.97319999</v>
      </c>
      <c r="K106" s="172">
        <f t="shared" ref="K106:K109" si="117">I106/C106</f>
        <v>0.18559386924063756</v>
      </c>
      <c r="L106" s="369">
        <f t="shared" si="113"/>
        <v>0</v>
      </c>
      <c r="M106" s="186">
        <f t="shared" si="114"/>
        <v>0</v>
      </c>
      <c r="O106" s="614"/>
      <c r="P106" s="325" t="s">
        <v>98</v>
      </c>
      <c r="Q106" s="327">
        <v>0</v>
      </c>
      <c r="R106" s="222"/>
      <c r="S106" s="308"/>
      <c r="T106" s="169"/>
      <c r="U106" s="169"/>
      <c r="V106" s="327"/>
      <c r="W106" s="326">
        <f t="shared" si="110"/>
        <v>0</v>
      </c>
      <c r="X106" s="226">
        <f t="shared" si="111"/>
        <v>0</v>
      </c>
      <c r="Y106" s="172">
        <v>0</v>
      </c>
      <c r="Z106" s="369">
        <f t="shared" si="115"/>
        <v>0</v>
      </c>
      <c r="AA106" s="186">
        <f t="shared" si="116"/>
        <v>0</v>
      </c>
    </row>
    <row r="107" spans="1:27" ht="14.5" customHeight="1" x14ac:dyDescent="0.35">
      <c r="A107" s="623"/>
      <c r="B107" s="325" t="s">
        <v>99</v>
      </c>
      <c r="C107" s="327">
        <v>156054600</v>
      </c>
      <c r="D107" s="222">
        <v>8</v>
      </c>
      <c r="E107" s="308">
        <v>8</v>
      </c>
      <c r="F107" s="169">
        <v>157354400.90959993</v>
      </c>
      <c r="G107" s="169">
        <v>1070000</v>
      </c>
      <c r="H107" s="327"/>
      <c r="I107" s="326">
        <f t="shared" si="108"/>
        <v>156284400.90959993</v>
      </c>
      <c r="J107" s="226">
        <f t="shared" si="109"/>
        <v>229800.90959993005</v>
      </c>
      <c r="K107" s="172">
        <f t="shared" si="117"/>
        <v>1.0014725673552713</v>
      </c>
      <c r="L107" s="369" t="str">
        <f t="shared" si="113"/>
        <v>0,45%</v>
      </c>
      <c r="M107" s="186">
        <f t="shared" si="114"/>
        <v>703279.80409319967</v>
      </c>
      <c r="O107" s="614"/>
      <c r="P107" s="325" t="s">
        <v>99</v>
      </c>
      <c r="Q107" s="327">
        <v>170726400</v>
      </c>
      <c r="R107" s="222">
        <v>19</v>
      </c>
      <c r="S107" s="308">
        <v>16</v>
      </c>
      <c r="T107" s="169">
        <v>46173956.84669999</v>
      </c>
      <c r="U107" s="169">
        <v>2072072.0721</v>
      </c>
      <c r="V107" s="327"/>
      <c r="W107" s="326">
        <f t="shared" si="110"/>
        <v>44101884.774599992</v>
      </c>
      <c r="X107" s="226">
        <f t="shared" si="111"/>
        <v>-124552443.15330002</v>
      </c>
      <c r="Y107" s="172">
        <f t="shared" si="112"/>
        <v>0.25831906942687244</v>
      </c>
      <c r="Z107" s="369">
        <f t="shared" si="115"/>
        <v>0</v>
      </c>
      <c r="AA107" s="186">
        <f t="shared" si="116"/>
        <v>0</v>
      </c>
    </row>
    <row r="108" spans="1:27" ht="14.5" customHeight="1" x14ac:dyDescent="0.35">
      <c r="A108" s="623"/>
      <c r="B108" s="325" t="s">
        <v>100</v>
      </c>
      <c r="C108" s="327">
        <v>145650960</v>
      </c>
      <c r="D108" s="222">
        <v>6</v>
      </c>
      <c r="E108" s="308">
        <v>7</v>
      </c>
      <c r="F108" s="169">
        <v>29005236.9366</v>
      </c>
      <c r="G108" s="169">
        <v>319819.8198</v>
      </c>
      <c r="H108" s="327"/>
      <c r="I108" s="326">
        <f t="shared" si="108"/>
        <v>28685417.116799999</v>
      </c>
      <c r="J108" s="226">
        <f t="shared" si="109"/>
        <v>-116965542.8832</v>
      </c>
      <c r="K108" s="172">
        <f t="shared" si="117"/>
        <v>0.19694629624686305</v>
      </c>
      <c r="L108" s="369">
        <f t="shared" si="113"/>
        <v>0</v>
      </c>
      <c r="M108" s="186">
        <f t="shared" si="114"/>
        <v>0</v>
      </c>
      <c r="O108" s="614"/>
      <c r="P108" s="325" t="s">
        <v>100</v>
      </c>
      <c r="Q108" s="327">
        <v>149385600</v>
      </c>
      <c r="R108" s="222">
        <v>10</v>
      </c>
      <c r="S108" s="308">
        <v>8</v>
      </c>
      <c r="T108" s="169">
        <v>31448036.036499999</v>
      </c>
      <c r="U108" s="169">
        <v>1080136.9369999999</v>
      </c>
      <c r="V108" s="327"/>
      <c r="W108" s="326">
        <f t="shared" si="110"/>
        <v>30367899.0995</v>
      </c>
      <c r="X108" s="226">
        <f t="shared" si="111"/>
        <v>-117937563.96349999</v>
      </c>
      <c r="Y108" s="172">
        <f t="shared" si="112"/>
        <v>0.20328531732308872</v>
      </c>
      <c r="Z108" s="369">
        <f t="shared" si="115"/>
        <v>0</v>
      </c>
      <c r="AA108" s="186">
        <f t="shared" si="116"/>
        <v>0</v>
      </c>
    </row>
    <row r="109" spans="1:27" ht="14.5" customHeight="1" x14ac:dyDescent="0.35">
      <c r="A109" s="623"/>
      <c r="B109" s="325" t="s">
        <v>101</v>
      </c>
      <c r="C109" s="327">
        <v>166458240</v>
      </c>
      <c r="D109" s="222">
        <v>18</v>
      </c>
      <c r="E109" s="308">
        <v>13</v>
      </c>
      <c r="F109" s="169">
        <v>62266331.080599986</v>
      </c>
      <c r="G109" s="169">
        <v>395000</v>
      </c>
      <c r="H109" s="327"/>
      <c r="I109" s="326">
        <f t="shared" si="108"/>
        <v>61871331.080599986</v>
      </c>
      <c r="J109" s="226">
        <f t="shared" si="109"/>
        <v>-104586908.91940001</v>
      </c>
      <c r="K109" s="172">
        <f t="shared" si="117"/>
        <v>0.37169281064487997</v>
      </c>
      <c r="L109" s="369">
        <f t="shared" si="113"/>
        <v>0</v>
      </c>
      <c r="M109" s="186">
        <f t="shared" si="114"/>
        <v>0</v>
      </c>
      <c r="O109" s="614"/>
      <c r="P109" s="325" t="s">
        <v>101</v>
      </c>
      <c r="Q109" s="327">
        <v>128044800</v>
      </c>
      <c r="R109" s="222">
        <v>10</v>
      </c>
      <c r="S109" s="308">
        <v>7</v>
      </c>
      <c r="T109" s="169">
        <v>27730007.207299996</v>
      </c>
      <c r="U109" s="169">
        <v>445945.94589999999</v>
      </c>
      <c r="V109" s="327"/>
      <c r="W109" s="326">
        <f t="shared" si="110"/>
        <v>27284061.261399996</v>
      </c>
      <c r="X109" s="226">
        <f t="shared" si="111"/>
        <v>-100314792.79270001</v>
      </c>
      <c r="Y109" s="172">
        <f t="shared" si="112"/>
        <v>0.21308214985223919</v>
      </c>
      <c r="Z109" s="369">
        <f t="shared" si="115"/>
        <v>0</v>
      </c>
      <c r="AA109" s="186">
        <f t="shared" si="116"/>
        <v>0</v>
      </c>
    </row>
    <row r="110" spans="1:27" ht="14.5" customHeight="1" thickBot="1" x14ac:dyDescent="0.4">
      <c r="A110" s="623"/>
      <c r="B110" s="352" t="s">
        <v>77</v>
      </c>
      <c r="C110" s="329">
        <f t="shared" ref="C110:H110" si="118">SUM(C104:C109)</f>
        <v>1040364000</v>
      </c>
      <c r="D110" s="178">
        <f t="shared" si="118"/>
        <v>69</v>
      </c>
      <c r="E110" s="178">
        <f t="shared" si="118"/>
        <v>59</v>
      </c>
      <c r="F110" s="329">
        <f t="shared" si="118"/>
        <v>611427987.84479988</v>
      </c>
      <c r="G110" s="330">
        <f t="shared" si="118"/>
        <v>2122319.8197999997</v>
      </c>
      <c r="H110" s="329">
        <f t="shared" si="118"/>
        <v>0</v>
      </c>
      <c r="I110" s="329">
        <f t="shared" si="108"/>
        <v>609305668.02499986</v>
      </c>
      <c r="J110" s="329">
        <f t="shared" si="109"/>
        <v>-431058331.97500014</v>
      </c>
      <c r="K110" s="305">
        <f>I110/C110</f>
        <v>0.58566585159136597</v>
      </c>
      <c r="L110" s="369" t="str">
        <f>IF(K110&gt;100%,"CAPAI 100%",IF(K110&gt;90%,"CAPAI 90%","BELUM CAPAI"))</f>
        <v>BELUM CAPAI</v>
      </c>
      <c r="M110" s="202">
        <f>SUM(M104:M109)</f>
        <v>1870535.9007123993</v>
      </c>
      <c r="O110" s="615"/>
      <c r="P110" s="354" t="s">
        <v>77</v>
      </c>
      <c r="Q110" s="336">
        <f t="shared" ref="Q110:V110" si="119">SUM(Q104:Q109)</f>
        <v>1067040000</v>
      </c>
      <c r="R110" s="207">
        <f t="shared" si="119"/>
        <v>74</v>
      </c>
      <c r="S110" s="207">
        <f t="shared" si="119"/>
        <v>63</v>
      </c>
      <c r="T110" s="336">
        <f t="shared" si="119"/>
        <v>656611106.84699988</v>
      </c>
      <c r="U110" s="337">
        <f t="shared" si="119"/>
        <v>13897427.027200002</v>
      </c>
      <c r="V110" s="336">
        <f t="shared" si="119"/>
        <v>0</v>
      </c>
      <c r="W110" s="336">
        <f t="shared" si="110"/>
        <v>642713679.8197999</v>
      </c>
      <c r="X110" s="336">
        <f>W110-Q110</f>
        <v>-424326320.1802001</v>
      </c>
      <c r="Y110" s="313">
        <f t="shared" si="112"/>
        <v>0.60233325819069561</v>
      </c>
      <c r="Z110" s="369" t="str">
        <f>IF(Y110&gt;100%,"CAPAI 100%",IF(Y110&gt;90%,"CAPAI 90%","BELUM CAPAI"))</f>
        <v>BELUM CAPAI</v>
      </c>
      <c r="AA110" s="202">
        <f>SUM(AA104:AA109)</f>
        <v>1770795.21418785</v>
      </c>
    </row>
    <row r="111" spans="1:27" ht="14.5" customHeight="1" x14ac:dyDescent="0.35">
      <c r="B111" s="324" t="str">
        <f>$B$12</f>
        <v>TARGET Q2</v>
      </c>
      <c r="C111" s="243">
        <f>C112*C110</f>
        <v>936327600</v>
      </c>
      <c r="D111" s="597"/>
      <c r="E111" s="598"/>
      <c r="F111" s="598"/>
      <c r="G111" s="598"/>
      <c r="H111" s="599"/>
      <c r="I111" s="243">
        <f>I110</f>
        <v>609305668.02499986</v>
      </c>
      <c r="J111" s="243">
        <f>I111-C111</f>
        <v>-327021931.97500014</v>
      </c>
      <c r="K111" s="183">
        <f>I111/C111</f>
        <v>0.65073983510151778</v>
      </c>
      <c r="P111" s="324" t="str">
        <f>$B$12</f>
        <v>TARGET Q2</v>
      </c>
      <c r="Q111" s="243">
        <f>Q112*Q110</f>
        <v>960336000</v>
      </c>
      <c r="R111" s="597"/>
      <c r="S111" s="598"/>
      <c r="T111" s="598"/>
      <c r="U111" s="598"/>
      <c r="V111" s="599"/>
      <c r="W111" s="243">
        <f>W110</f>
        <v>642713679.8197999</v>
      </c>
      <c r="X111" s="243">
        <f>W111-Q111</f>
        <v>-317622320.1802001</v>
      </c>
      <c r="Y111" s="183">
        <f t="shared" si="112"/>
        <v>0.66925917576743965</v>
      </c>
      <c r="Z111" s="192"/>
    </row>
    <row r="112" spans="1:27" ht="14.5" customHeight="1" x14ac:dyDescent="0.35">
      <c r="C112" s="210">
        <v>0.9</v>
      </c>
      <c r="Q112" s="210">
        <v>0.9</v>
      </c>
    </row>
    <row r="113" spans="2:28" x14ac:dyDescent="0.35">
      <c r="C113" s="210"/>
    </row>
    <row r="114" spans="2:28" s="290" customFormat="1" ht="14.5" customHeight="1" x14ac:dyDescent="0.35">
      <c r="C114" s="291"/>
      <c r="D114" s="292"/>
      <c r="E114" s="293"/>
      <c r="F114" s="294"/>
      <c r="G114" s="295"/>
      <c r="H114" s="291"/>
      <c r="I114" s="291"/>
      <c r="J114" s="296"/>
      <c r="K114" s="292"/>
      <c r="L114" s="297"/>
      <c r="M114" s="291"/>
      <c r="Q114" s="292"/>
      <c r="R114" s="299"/>
      <c r="S114" s="292"/>
      <c r="T114" s="294"/>
      <c r="U114" s="295"/>
      <c r="V114" s="291"/>
      <c r="W114" s="291"/>
      <c r="X114" s="291"/>
      <c r="Y114" s="292"/>
      <c r="Z114" s="291"/>
      <c r="AA114" s="300"/>
    </row>
    <row r="115" spans="2:28" ht="14.5" customHeight="1" x14ac:dyDescent="0.35"/>
    <row r="116" spans="2:28" ht="15" customHeight="1" x14ac:dyDescent="0.35">
      <c r="B116" s="580" t="s">
        <v>123</v>
      </c>
      <c r="C116" s="581"/>
      <c r="D116" s="581"/>
      <c r="E116" s="581"/>
      <c r="F116" s="581"/>
      <c r="G116" s="581"/>
      <c r="H116" s="581"/>
      <c r="I116" s="581"/>
      <c r="J116" s="581"/>
      <c r="K116" s="581"/>
      <c r="L116" s="581"/>
      <c r="M116" s="582"/>
      <c r="P116" s="600" t="s">
        <v>124</v>
      </c>
      <c r="Q116" s="600"/>
      <c r="R116" s="600"/>
      <c r="S116" s="600"/>
      <c r="T116" s="600"/>
      <c r="U116" s="600"/>
      <c r="V116" s="600"/>
      <c r="W116" s="600"/>
      <c r="X116" s="600"/>
      <c r="Y116" s="600"/>
      <c r="Z116" s="600"/>
      <c r="AA116" s="600"/>
    </row>
    <row r="117" spans="2:28" ht="15" customHeight="1" x14ac:dyDescent="0.35">
      <c r="B117" s="583"/>
      <c r="C117" s="584"/>
      <c r="D117" s="584"/>
      <c r="E117" s="584"/>
      <c r="F117" s="584"/>
      <c r="G117" s="584"/>
      <c r="H117" s="584"/>
      <c r="I117" s="584"/>
      <c r="J117" s="584"/>
      <c r="K117" s="584"/>
      <c r="L117" s="584"/>
      <c r="M117" s="585"/>
      <c r="P117" s="600"/>
      <c r="Q117" s="600"/>
      <c r="R117" s="600"/>
      <c r="S117" s="600"/>
      <c r="T117" s="600"/>
      <c r="U117" s="600"/>
      <c r="V117" s="600"/>
      <c r="W117" s="600"/>
      <c r="X117" s="600"/>
      <c r="Y117" s="600"/>
      <c r="Z117" s="600"/>
      <c r="AA117" s="600"/>
    </row>
    <row r="118" spans="2:28" ht="15" customHeight="1" x14ac:dyDescent="0.35">
      <c r="B118" s="586" t="s">
        <v>125</v>
      </c>
      <c r="C118" s="587" t="s">
        <v>94</v>
      </c>
      <c r="D118" s="586" t="s">
        <v>91</v>
      </c>
      <c r="E118" s="586" t="s">
        <v>62</v>
      </c>
      <c r="F118" s="588" t="str">
        <f>F48</f>
        <v>OMSET APR
 (1-30)</v>
      </c>
      <c r="G118" s="588" t="s">
        <v>95</v>
      </c>
      <c r="H118" s="587" t="s">
        <v>63</v>
      </c>
      <c r="I118" s="587" t="s">
        <v>64</v>
      </c>
      <c r="J118" s="587" t="s">
        <v>126</v>
      </c>
      <c r="K118" s="589" t="s">
        <v>66</v>
      </c>
      <c r="L118" s="590" t="s">
        <v>127</v>
      </c>
      <c r="M118" s="372" t="s">
        <v>128</v>
      </c>
      <c r="P118" s="601" t="s">
        <v>125</v>
      </c>
      <c r="Q118" s="601" t="s">
        <v>94</v>
      </c>
      <c r="R118" s="602" t="s">
        <v>91</v>
      </c>
      <c r="S118" s="601" t="s">
        <v>62</v>
      </c>
      <c r="T118" s="579" t="str">
        <f>T26</f>
        <v>OMSET APR
 (1-30)</v>
      </c>
      <c r="U118" s="579" t="str">
        <f>G4</f>
        <v>OMSET PRODUK</v>
      </c>
      <c r="V118" s="603" t="s">
        <v>63</v>
      </c>
      <c r="W118" s="603" t="s">
        <v>64</v>
      </c>
      <c r="X118" s="603" t="s">
        <v>126</v>
      </c>
      <c r="Y118" s="578" t="s">
        <v>66</v>
      </c>
      <c r="Z118" s="579" t="s">
        <v>127</v>
      </c>
      <c r="AA118" s="310" t="s">
        <v>128</v>
      </c>
    </row>
    <row r="119" spans="2:28" ht="30" customHeight="1" x14ac:dyDescent="0.35">
      <c r="B119" s="586"/>
      <c r="C119" s="587"/>
      <c r="D119" s="586"/>
      <c r="E119" s="586"/>
      <c r="F119" s="588"/>
      <c r="G119" s="588"/>
      <c r="H119" s="587"/>
      <c r="I119" s="587"/>
      <c r="J119" s="587"/>
      <c r="K119" s="589"/>
      <c r="L119" s="590"/>
      <c r="M119" s="302">
        <f>K103</f>
        <v>1</v>
      </c>
      <c r="P119" s="601"/>
      <c r="Q119" s="601"/>
      <c r="R119" s="602"/>
      <c r="S119" s="601"/>
      <c r="T119" s="579"/>
      <c r="U119" s="579"/>
      <c r="V119" s="603"/>
      <c r="W119" s="603"/>
      <c r="X119" s="603"/>
      <c r="Y119" s="578"/>
      <c r="Z119" s="579"/>
      <c r="AA119" s="311">
        <f>K4</f>
        <v>1</v>
      </c>
    </row>
    <row r="120" spans="2:28" x14ac:dyDescent="0.35">
      <c r="B120" s="226" t="str">
        <f>C3</f>
        <v>CHRISTOPER</v>
      </c>
      <c r="C120" s="326">
        <f t="shared" ref="C120:H120" si="120">C11</f>
        <v>1541592000</v>
      </c>
      <c r="D120" s="222">
        <f t="shared" si="120"/>
        <v>97</v>
      </c>
      <c r="E120" s="222">
        <f t="shared" si="120"/>
        <v>79</v>
      </c>
      <c r="F120" s="331">
        <f t="shared" si="120"/>
        <v>955178601.33679986</v>
      </c>
      <c r="G120" s="332">
        <f t="shared" si="120"/>
        <v>5185000</v>
      </c>
      <c r="H120" s="326">
        <f t="shared" si="120"/>
        <v>0</v>
      </c>
      <c r="I120" s="326">
        <f>F120-G120</f>
        <v>949993601.33679986</v>
      </c>
      <c r="J120" s="326">
        <f t="shared" ref="J120:J125" si="121">I120-C120</f>
        <v>-591598398.66320014</v>
      </c>
      <c r="K120" s="172">
        <f t="shared" ref="K120:K125" si="122">I120/C120</f>
        <v>0.61624191182673482</v>
      </c>
      <c r="L120" s="226">
        <f t="shared" ref="L120:L125" si="123">H120+I120</f>
        <v>949993601.33679986</v>
      </c>
      <c r="M120" s="333">
        <f t="shared" ref="M120:M125" si="124">L120/C120</f>
        <v>0.61624191182673482</v>
      </c>
      <c r="N120" s="228">
        <f>F120+H120</f>
        <v>955178601.33679986</v>
      </c>
      <c r="P120" s="250" t="str">
        <f>Q3</f>
        <v>AGPS:BANTEN-BKS</v>
      </c>
      <c r="Q120" s="326">
        <f t="shared" ref="Q120:V120" si="125">Q11</f>
        <v>1263600000</v>
      </c>
      <c r="R120" s="338">
        <f t="shared" si="125"/>
        <v>70</v>
      </c>
      <c r="S120" s="222">
        <f t="shared" si="125"/>
        <v>67</v>
      </c>
      <c r="T120" s="326">
        <f t="shared" si="125"/>
        <v>903315071.62329996</v>
      </c>
      <c r="U120" s="339">
        <f t="shared" si="125"/>
        <v>21718032.432599999</v>
      </c>
      <c r="V120" s="326">
        <f t="shared" si="125"/>
        <v>0</v>
      </c>
      <c r="W120" s="326">
        <f>T120-U120</f>
        <v>881597039.19069993</v>
      </c>
      <c r="X120" s="326">
        <f t="shared" ref="X120:X125" si="126">W120-Q120</f>
        <v>-382002960.80930007</v>
      </c>
      <c r="Y120" s="172">
        <f t="shared" ref="Y120:Y125" si="127">W120/Q120</f>
        <v>0.69768679897966124</v>
      </c>
      <c r="Z120" s="226">
        <f t="shared" ref="Z120:Z125" si="128">V120+W120</f>
        <v>881597039.19069993</v>
      </c>
      <c r="AA120" s="333">
        <f t="shared" ref="AA120:AA125" si="129">Z120/Q120</f>
        <v>0.69768679897966124</v>
      </c>
      <c r="AB120" s="228">
        <f>T120+V120</f>
        <v>903315071.62329996</v>
      </c>
    </row>
    <row r="121" spans="2:28" x14ac:dyDescent="0.35">
      <c r="B121" s="226" t="str">
        <f>C14</f>
        <v>ANNAUFAL</v>
      </c>
      <c r="C121" s="326">
        <f t="shared" ref="C121:H121" si="130">C22</f>
        <v>1712880000</v>
      </c>
      <c r="D121" s="222">
        <f t="shared" si="130"/>
        <v>99</v>
      </c>
      <c r="E121" s="222">
        <f t="shared" si="130"/>
        <v>63</v>
      </c>
      <c r="F121" s="331">
        <f t="shared" si="130"/>
        <v>606954352.02939987</v>
      </c>
      <c r="G121" s="332">
        <f t="shared" si="130"/>
        <v>4212500</v>
      </c>
      <c r="H121" s="326">
        <f t="shared" si="130"/>
        <v>0</v>
      </c>
      <c r="I121" s="326">
        <f>F121-G121</f>
        <v>602741852.02939987</v>
      </c>
      <c r="J121" s="326">
        <f t="shared" si="121"/>
        <v>-1110138147.9706001</v>
      </c>
      <c r="K121" s="172">
        <f t="shared" si="122"/>
        <v>0.35188796181250287</v>
      </c>
      <c r="L121" s="226">
        <f t="shared" si="123"/>
        <v>602741852.02939987</v>
      </c>
      <c r="M121" s="333">
        <f t="shared" si="124"/>
        <v>0.35188796181250287</v>
      </c>
      <c r="N121" s="228">
        <f>F121+H121</f>
        <v>606954352.02939987</v>
      </c>
      <c r="P121" s="250" t="str">
        <f>Q14</f>
        <v>AGPS:BOGOR</v>
      </c>
      <c r="Q121" s="326">
        <f t="shared" ref="Q121:V121" si="131">Q22</f>
        <v>1600560000</v>
      </c>
      <c r="R121" s="338">
        <f t="shared" si="131"/>
        <v>79</v>
      </c>
      <c r="S121" s="222">
        <f t="shared" si="131"/>
        <v>65</v>
      </c>
      <c r="T121" s="326">
        <f t="shared" si="131"/>
        <v>656171212.79419994</v>
      </c>
      <c r="U121" s="339">
        <f t="shared" si="131"/>
        <v>22133030.630599998</v>
      </c>
      <c r="V121" s="326">
        <f t="shared" si="131"/>
        <v>0</v>
      </c>
      <c r="W121" s="326">
        <f>T121-U121</f>
        <v>634038182.16359997</v>
      </c>
      <c r="X121" s="326">
        <f t="shared" si="126"/>
        <v>-966521817.83640003</v>
      </c>
      <c r="Y121" s="172">
        <f t="shared" si="127"/>
        <v>0.39613521652646572</v>
      </c>
      <c r="Z121" s="226">
        <f>V121+W121</f>
        <v>634038182.16359997</v>
      </c>
      <c r="AA121" s="333">
        <f t="shared" si="129"/>
        <v>0.39613521652646572</v>
      </c>
      <c r="AB121" s="228">
        <f>T121+V121</f>
        <v>656171212.79419994</v>
      </c>
    </row>
    <row r="122" spans="2:28" x14ac:dyDescent="0.35">
      <c r="B122" s="226" t="str">
        <f>C25</f>
        <v>DIKI HERMAWAN</v>
      </c>
      <c r="C122" s="326">
        <f t="shared" ref="C122:H122" si="132">C33</f>
        <v>1627236000</v>
      </c>
      <c r="D122" s="222">
        <f t="shared" si="132"/>
        <v>95</v>
      </c>
      <c r="E122" s="222">
        <f t="shared" si="132"/>
        <v>84</v>
      </c>
      <c r="F122" s="331">
        <f t="shared" si="132"/>
        <v>1700707502.4006</v>
      </c>
      <c r="G122" s="332">
        <f t="shared" si="132"/>
        <v>3960000</v>
      </c>
      <c r="H122" s="326">
        <f t="shared" si="132"/>
        <v>0</v>
      </c>
      <c r="I122" s="326">
        <f>F122-G122</f>
        <v>1696747502.4006</v>
      </c>
      <c r="J122" s="326">
        <f t="shared" si="121"/>
        <v>69511502.400599957</v>
      </c>
      <c r="K122" s="172">
        <f t="shared" si="122"/>
        <v>1.0427175298485285</v>
      </c>
      <c r="L122" s="226">
        <f t="shared" si="123"/>
        <v>1696747502.4006</v>
      </c>
      <c r="M122" s="333">
        <f t="shared" si="124"/>
        <v>1.0427175298485285</v>
      </c>
      <c r="N122" s="228">
        <f>F122+H122</f>
        <v>1700707502.4006</v>
      </c>
      <c r="P122" s="250" t="str">
        <f>Q25</f>
        <v>AGPS : BEKASI</v>
      </c>
      <c r="Q122" s="326">
        <f t="shared" ref="Q122:V122" si="133">Q33</f>
        <v>1516320000</v>
      </c>
      <c r="R122" s="338">
        <f t="shared" si="133"/>
        <v>81</v>
      </c>
      <c r="S122" s="222">
        <f t="shared" si="133"/>
        <v>68</v>
      </c>
      <c r="T122" s="326">
        <f t="shared" si="133"/>
        <v>1097961419.8202004</v>
      </c>
      <c r="U122" s="339">
        <f t="shared" si="133"/>
        <v>11341390.9911</v>
      </c>
      <c r="V122" s="326">
        <f t="shared" si="133"/>
        <v>0</v>
      </c>
      <c r="W122" s="326">
        <f>T122-U122</f>
        <v>1086620028.8291004</v>
      </c>
      <c r="X122" s="326">
        <f t="shared" si="126"/>
        <v>-429699971.17089963</v>
      </c>
      <c r="Y122" s="172">
        <f t="shared" si="127"/>
        <v>0.71661656433279275</v>
      </c>
      <c r="Z122" s="226">
        <f t="shared" si="128"/>
        <v>1086620028.8291004</v>
      </c>
      <c r="AA122" s="333">
        <f t="shared" si="129"/>
        <v>0.71661656433279275</v>
      </c>
      <c r="AB122" s="228">
        <f>T122+V122</f>
        <v>1097961419.8202004</v>
      </c>
    </row>
    <row r="123" spans="2:28" ht="14.5" customHeight="1" x14ac:dyDescent="0.35">
      <c r="B123" s="226" t="str">
        <f>C36</f>
        <v>AGPC:TKAB-KRW</v>
      </c>
      <c r="C123" s="326">
        <f t="shared" ref="C123:H123" si="134">C44</f>
        <v>1884168000</v>
      </c>
      <c r="D123" s="222">
        <f t="shared" si="134"/>
        <v>84</v>
      </c>
      <c r="E123" s="222">
        <f t="shared" si="134"/>
        <v>76</v>
      </c>
      <c r="F123" s="331">
        <f t="shared" si="134"/>
        <v>1265656737.6189001</v>
      </c>
      <c r="G123" s="332">
        <f t="shared" si="134"/>
        <v>4683761.2611999996</v>
      </c>
      <c r="H123" s="326">
        <f t="shared" si="134"/>
        <v>0</v>
      </c>
      <c r="I123" s="326">
        <f>F123-G123</f>
        <v>1260972976.3577001</v>
      </c>
      <c r="J123" s="326">
        <f t="shared" si="121"/>
        <v>-623195023.64229989</v>
      </c>
      <c r="K123" s="172">
        <f t="shared" si="122"/>
        <v>0.66924657268231924</v>
      </c>
      <c r="L123" s="226">
        <f t="shared" si="123"/>
        <v>1260972976.3577001</v>
      </c>
      <c r="M123" s="333">
        <f t="shared" si="124"/>
        <v>0.66924657268231924</v>
      </c>
      <c r="N123" s="228">
        <f>F123+H123</f>
        <v>1265656737.6189001</v>
      </c>
      <c r="P123" s="250" t="str">
        <f>Q36</f>
        <v>GILBERT</v>
      </c>
      <c r="Q123" s="326">
        <f t="shared" ref="Q123:V123" si="135">Q44</f>
        <v>2106000000</v>
      </c>
      <c r="R123" s="338">
        <f t="shared" si="135"/>
        <v>65</v>
      </c>
      <c r="S123" s="222">
        <f t="shared" si="135"/>
        <v>53</v>
      </c>
      <c r="T123" s="326">
        <f t="shared" si="135"/>
        <v>1104977616.9964998</v>
      </c>
      <c r="U123" s="339">
        <f t="shared" si="135"/>
        <v>7057679.2793000005</v>
      </c>
      <c r="V123" s="326">
        <f t="shared" si="135"/>
        <v>0</v>
      </c>
      <c r="W123" s="326">
        <f>T123-U123</f>
        <v>1097919937.7171998</v>
      </c>
      <c r="X123" s="326">
        <f t="shared" si="126"/>
        <v>-1008080062.2828002</v>
      </c>
      <c r="Y123" s="172">
        <f t="shared" si="127"/>
        <v>0.52132950508888876</v>
      </c>
      <c r="Z123" s="226">
        <f t="shared" si="128"/>
        <v>1097919937.7171998</v>
      </c>
      <c r="AA123" s="333">
        <f t="shared" si="129"/>
        <v>0.52132950508888876</v>
      </c>
      <c r="AB123" s="228">
        <f>T123+V123</f>
        <v>1104977616.9964998</v>
      </c>
    </row>
    <row r="124" spans="2:28" ht="14.5" customHeight="1" x14ac:dyDescent="0.35">
      <c r="B124" s="226" t="str">
        <f>C47</f>
        <v>RIDWAN</v>
      </c>
      <c r="C124" s="326">
        <f t="shared" ref="C124:H124" si="136">C55</f>
        <v>1798524000</v>
      </c>
      <c r="D124" s="222">
        <f t="shared" si="136"/>
        <v>116</v>
      </c>
      <c r="E124" s="222">
        <f t="shared" si="136"/>
        <v>92</v>
      </c>
      <c r="F124" s="331">
        <f t="shared" si="136"/>
        <v>1713282805.2996995</v>
      </c>
      <c r="G124" s="332">
        <f t="shared" si="136"/>
        <v>8560000</v>
      </c>
      <c r="H124" s="326">
        <f t="shared" si="136"/>
        <v>0</v>
      </c>
      <c r="I124" s="326">
        <f>F124-G124</f>
        <v>1704722805.2996995</v>
      </c>
      <c r="J124" s="326">
        <f t="shared" si="121"/>
        <v>-93801194.700300455</v>
      </c>
      <c r="K124" s="172">
        <f t="shared" si="122"/>
        <v>0.94784545844242252</v>
      </c>
      <c r="L124" s="226">
        <f t="shared" si="123"/>
        <v>1704722805.2996995</v>
      </c>
      <c r="M124" s="333">
        <f t="shared" si="124"/>
        <v>0.94784545844242252</v>
      </c>
      <c r="N124" s="228">
        <f>F124+H124</f>
        <v>1713282805.2996995</v>
      </c>
      <c r="P124" s="250" t="str">
        <f>Q47</f>
        <v>FAUZI</v>
      </c>
      <c r="Q124" s="326">
        <f t="shared" ref="Q124:V124" si="137">Q55</f>
        <v>1937520000</v>
      </c>
      <c r="R124" s="338">
        <f t="shared" si="137"/>
        <v>80</v>
      </c>
      <c r="S124" s="222">
        <f t="shared" si="137"/>
        <v>70</v>
      </c>
      <c r="T124" s="326">
        <f t="shared" si="137"/>
        <v>1445369085.358799</v>
      </c>
      <c r="U124" s="339">
        <f t="shared" si="137"/>
        <v>25590162.162499998</v>
      </c>
      <c r="V124" s="326">
        <f t="shared" si="137"/>
        <v>0</v>
      </c>
      <c r="W124" s="326">
        <f>T124-U124</f>
        <v>1419778923.1962991</v>
      </c>
      <c r="X124" s="326">
        <f t="shared" si="126"/>
        <v>-517741076.80370092</v>
      </c>
      <c r="Y124" s="172">
        <f t="shared" si="127"/>
        <v>0.73278155745298068</v>
      </c>
      <c r="Z124" s="226">
        <f t="shared" si="128"/>
        <v>1419778923.1962991</v>
      </c>
      <c r="AA124" s="333">
        <f t="shared" si="129"/>
        <v>0.73278155745298068</v>
      </c>
      <c r="AB124" s="228">
        <f>T124+V124</f>
        <v>1445369085.358799</v>
      </c>
    </row>
    <row r="125" spans="2:28" x14ac:dyDescent="0.35">
      <c r="B125" s="352" t="s">
        <v>77</v>
      </c>
      <c r="C125" s="329">
        <f t="shared" ref="C125:H125" si="138">SUM(C120:C124)</f>
        <v>8564400000</v>
      </c>
      <c r="D125" s="178">
        <f t="shared" si="138"/>
        <v>491</v>
      </c>
      <c r="E125" s="178">
        <f t="shared" si="138"/>
        <v>394</v>
      </c>
      <c r="F125" s="334">
        <f t="shared" si="138"/>
        <v>6241779998.6854</v>
      </c>
      <c r="G125" s="335">
        <f t="shared" si="138"/>
        <v>26601261.2612</v>
      </c>
      <c r="H125" s="329">
        <f t="shared" si="138"/>
        <v>0</v>
      </c>
      <c r="I125" s="329">
        <f>SUM(I120:I124)</f>
        <v>6215178737.4242001</v>
      </c>
      <c r="J125" s="329">
        <f t="shared" si="121"/>
        <v>-2349221262.5757999</v>
      </c>
      <c r="K125" s="305">
        <f t="shared" si="122"/>
        <v>0.72569925942555225</v>
      </c>
      <c r="L125" s="353">
        <f t="shared" si="123"/>
        <v>6215178737.4242001</v>
      </c>
      <c r="M125" s="305">
        <f t="shared" si="124"/>
        <v>0.72569925942555225</v>
      </c>
      <c r="P125" s="354" t="s">
        <v>77</v>
      </c>
      <c r="Q125" s="336">
        <f>SUM(Q120:Q124)</f>
        <v>8424000000</v>
      </c>
      <c r="R125" s="340">
        <f>SUM(R120:R124)</f>
        <v>375</v>
      </c>
      <c r="S125" s="207">
        <f t="shared" ref="S125:W125" si="139">SUM(S120:S124)</f>
        <v>323</v>
      </c>
      <c r="T125" s="336">
        <f>SUM(T120:T124)</f>
        <v>5207794406.5929995</v>
      </c>
      <c r="U125" s="337">
        <f t="shared" si="139"/>
        <v>87840295.496099994</v>
      </c>
      <c r="V125" s="336">
        <f t="shared" si="139"/>
        <v>0</v>
      </c>
      <c r="W125" s="336">
        <f t="shared" si="139"/>
        <v>5119954111.096899</v>
      </c>
      <c r="X125" s="336">
        <f t="shared" si="126"/>
        <v>-3304045888.903101</v>
      </c>
      <c r="Y125" s="313">
        <f t="shared" si="127"/>
        <v>0.60778182705328809</v>
      </c>
      <c r="Z125" s="355">
        <f t="shared" si="128"/>
        <v>5119954111.096899</v>
      </c>
      <c r="AA125" s="313">
        <f t="shared" si="129"/>
        <v>0.60778182705328809</v>
      </c>
    </row>
    <row r="126" spans="2:28" x14ac:dyDescent="0.35">
      <c r="C126" s="202"/>
      <c r="D126" s="245"/>
      <c r="E126" s="245"/>
      <c r="F126" s="245"/>
      <c r="G126" s="245"/>
      <c r="H126" s="245"/>
      <c r="I126" s="245"/>
      <c r="J126" s="245"/>
      <c r="K126" s="245"/>
      <c r="L126" s="197"/>
      <c r="M126" s="202"/>
      <c r="Q126" s="202"/>
      <c r="R126" s="245"/>
      <c r="S126" s="245"/>
      <c r="T126" s="245"/>
      <c r="U126" s="245"/>
      <c r="V126" s="245"/>
      <c r="W126" s="202"/>
      <c r="X126" s="247"/>
      <c r="Y126" s="248"/>
      <c r="Z126" s="197"/>
      <c r="AA126" s="246"/>
    </row>
    <row r="127" spans="2:28" x14ac:dyDescent="0.35">
      <c r="K127" s="249"/>
    </row>
    <row r="128" spans="2:28" ht="15" customHeight="1" x14ac:dyDescent="0.35">
      <c r="B128" s="580" t="s">
        <v>129</v>
      </c>
      <c r="C128" s="581"/>
      <c r="D128" s="581"/>
      <c r="E128" s="581"/>
      <c r="F128" s="581"/>
      <c r="G128" s="581"/>
      <c r="H128" s="581"/>
      <c r="I128" s="581"/>
      <c r="J128" s="581"/>
      <c r="K128" s="581"/>
      <c r="L128" s="581"/>
      <c r="M128" s="582"/>
      <c r="P128" s="580" t="s">
        <v>130</v>
      </c>
      <c r="Q128" s="581"/>
      <c r="R128" s="581"/>
      <c r="S128" s="581"/>
      <c r="T128" s="581"/>
      <c r="U128" s="581"/>
      <c r="V128" s="581"/>
      <c r="W128" s="581"/>
      <c r="X128" s="581"/>
      <c r="Y128" s="581"/>
      <c r="Z128" s="581"/>
      <c r="AA128" s="582"/>
    </row>
    <row r="129" spans="2:28" ht="15" customHeight="1" x14ac:dyDescent="0.35">
      <c r="B129" s="583"/>
      <c r="C129" s="584"/>
      <c r="D129" s="584"/>
      <c r="E129" s="584"/>
      <c r="F129" s="584"/>
      <c r="G129" s="584"/>
      <c r="H129" s="584"/>
      <c r="I129" s="584"/>
      <c r="J129" s="584"/>
      <c r="K129" s="584"/>
      <c r="L129" s="584"/>
      <c r="M129" s="585"/>
      <c r="P129" s="583"/>
      <c r="Q129" s="584"/>
      <c r="R129" s="584"/>
      <c r="S129" s="584"/>
      <c r="T129" s="584"/>
      <c r="U129" s="584"/>
      <c r="V129" s="584"/>
      <c r="W129" s="584"/>
      <c r="X129" s="584"/>
      <c r="Y129" s="584"/>
      <c r="Z129" s="584"/>
      <c r="AA129" s="585"/>
    </row>
    <row r="130" spans="2:28" ht="15" customHeight="1" x14ac:dyDescent="0.35">
      <c r="B130" s="586" t="s">
        <v>125</v>
      </c>
      <c r="C130" s="587" t="s">
        <v>94</v>
      </c>
      <c r="D130" s="586" t="s">
        <v>91</v>
      </c>
      <c r="E130" s="586" t="s">
        <v>62</v>
      </c>
      <c r="F130" s="588" t="str">
        <f>F48</f>
        <v>OMSET APR
 (1-30)</v>
      </c>
      <c r="G130" s="588" t="str">
        <f>G48</f>
        <v>OMSET PRODUK</v>
      </c>
      <c r="H130" s="587" t="s">
        <v>63</v>
      </c>
      <c r="I130" s="587" t="s">
        <v>64</v>
      </c>
      <c r="J130" s="587" t="s">
        <v>126</v>
      </c>
      <c r="K130" s="589" t="s">
        <v>66</v>
      </c>
      <c r="L130" s="590" t="s">
        <v>127</v>
      </c>
      <c r="M130" s="372" t="s">
        <v>128</v>
      </c>
      <c r="P130" s="591" t="s">
        <v>125</v>
      </c>
      <c r="Q130" s="591" t="s">
        <v>94</v>
      </c>
      <c r="R130" s="593" t="s">
        <v>91</v>
      </c>
      <c r="S130" s="591" t="s">
        <v>62</v>
      </c>
      <c r="T130" s="576" t="str">
        <f>T26</f>
        <v>OMSET APR
 (1-30)</v>
      </c>
      <c r="U130" s="576" t="str">
        <f>G4</f>
        <v>OMSET PRODUK</v>
      </c>
      <c r="V130" s="595" t="s">
        <v>63</v>
      </c>
      <c r="W130" s="595" t="s">
        <v>64</v>
      </c>
      <c r="X130" s="595" t="s">
        <v>126</v>
      </c>
      <c r="Y130" s="574" t="s">
        <v>66</v>
      </c>
      <c r="Z130" s="576" t="s">
        <v>127</v>
      </c>
      <c r="AA130" s="310" t="s">
        <v>128</v>
      </c>
    </row>
    <row r="131" spans="2:28" ht="27.75" customHeight="1" x14ac:dyDescent="0.35">
      <c r="B131" s="586"/>
      <c r="C131" s="587"/>
      <c r="D131" s="586"/>
      <c r="E131" s="586"/>
      <c r="F131" s="588"/>
      <c r="G131" s="588"/>
      <c r="H131" s="587"/>
      <c r="I131" s="587"/>
      <c r="J131" s="587"/>
      <c r="K131" s="589"/>
      <c r="L131" s="590"/>
      <c r="M131" s="302">
        <f>M119</f>
        <v>1</v>
      </c>
      <c r="P131" s="592"/>
      <c r="Q131" s="592"/>
      <c r="R131" s="594"/>
      <c r="S131" s="592"/>
      <c r="T131" s="577"/>
      <c r="U131" s="577"/>
      <c r="V131" s="596"/>
      <c r="W131" s="596"/>
      <c r="X131" s="596"/>
      <c r="Y131" s="575"/>
      <c r="Z131" s="577"/>
      <c r="AA131" s="311">
        <f>K4</f>
        <v>1</v>
      </c>
    </row>
    <row r="132" spans="2:28" ht="15" customHeight="1" x14ac:dyDescent="0.35">
      <c r="B132" s="226" t="str">
        <f>C58</f>
        <v>AHMAD</v>
      </c>
      <c r="C132" s="326">
        <f t="shared" ref="C132:H132" si="140">C66</f>
        <v>1040364000</v>
      </c>
      <c r="D132" s="222">
        <f t="shared" si="140"/>
        <v>89</v>
      </c>
      <c r="E132" s="222">
        <f t="shared" si="140"/>
        <v>64</v>
      </c>
      <c r="F132" s="331">
        <f t="shared" si="140"/>
        <v>486498041.12590015</v>
      </c>
      <c r="G132" s="332">
        <f t="shared" si="140"/>
        <v>4292319.8197999997</v>
      </c>
      <c r="H132" s="326">
        <f t="shared" si="140"/>
        <v>0</v>
      </c>
      <c r="I132" s="326">
        <f>F132-G132</f>
        <v>482205721.30610013</v>
      </c>
      <c r="J132" s="326">
        <f t="shared" ref="J132:J137" si="141">I132-C132</f>
        <v>-558158278.69389987</v>
      </c>
      <c r="K132" s="172">
        <f t="shared" ref="K132:K137" si="142">I132/C132</f>
        <v>0.46349712341651589</v>
      </c>
      <c r="L132" s="226">
        <f t="shared" ref="L132:L137" si="143">H132+I132</f>
        <v>482205721.30610013</v>
      </c>
      <c r="M132" s="333">
        <f t="shared" ref="M132:M137" si="144">L132/C132</f>
        <v>0.46349712341651589</v>
      </c>
      <c r="N132" s="228">
        <f>F132+H132</f>
        <v>486498041.12590015</v>
      </c>
      <c r="P132" s="250" t="str">
        <f>Q58</f>
        <v>AGUSTIAN</v>
      </c>
      <c r="Q132" s="226">
        <f t="shared" ref="Q132:V132" si="145">Q66</f>
        <v>1291680000</v>
      </c>
      <c r="R132" s="251">
        <f t="shared" si="145"/>
        <v>87</v>
      </c>
      <c r="S132" s="165">
        <f t="shared" si="145"/>
        <v>71</v>
      </c>
      <c r="T132" s="226">
        <f t="shared" si="145"/>
        <v>733997847.0734998</v>
      </c>
      <c r="U132" s="252">
        <f t="shared" si="145"/>
        <v>7590075.6759000001</v>
      </c>
      <c r="V132" s="226">
        <f t="shared" si="145"/>
        <v>0</v>
      </c>
      <c r="W132" s="226">
        <f>T132-U132</f>
        <v>726407771.39759982</v>
      </c>
      <c r="X132" s="226">
        <f t="shared" ref="X132:X137" si="146">W132-Q132</f>
        <v>-565272228.60240018</v>
      </c>
      <c r="Y132" s="172">
        <f t="shared" ref="Y132:Y137" si="147">W132/Q132</f>
        <v>0.56237440495912283</v>
      </c>
      <c r="Z132" s="171">
        <f t="shared" ref="Z132:Z137" si="148">V132+W132</f>
        <v>726407771.39759982</v>
      </c>
      <c r="AA132" s="227">
        <f t="shared" ref="AA132:AA137" si="149">Z132/Q132</f>
        <v>0.56237440495912283</v>
      </c>
      <c r="AB132" s="228">
        <f>T132+V132</f>
        <v>733997847.0734998</v>
      </c>
    </row>
    <row r="133" spans="2:28" x14ac:dyDescent="0.35">
      <c r="B133" s="226" t="str">
        <f>C69</f>
        <v>AGPC:DPK-SKB</v>
      </c>
      <c r="C133" s="326">
        <f t="shared" ref="C133:H133" si="150">C77</f>
        <v>1368900000</v>
      </c>
      <c r="D133" s="222">
        <f t="shared" si="150"/>
        <v>107</v>
      </c>
      <c r="E133" s="222">
        <f t="shared" si="150"/>
        <v>73</v>
      </c>
      <c r="F133" s="331">
        <f t="shared" si="150"/>
        <v>575366835.12999988</v>
      </c>
      <c r="G133" s="332">
        <f t="shared" si="150"/>
        <v>1127500</v>
      </c>
      <c r="H133" s="326">
        <f t="shared" si="150"/>
        <v>0</v>
      </c>
      <c r="I133" s="326">
        <f>F133-G133</f>
        <v>574239335.12999988</v>
      </c>
      <c r="J133" s="326">
        <f t="shared" si="141"/>
        <v>-794660664.87000012</v>
      </c>
      <c r="K133" s="172">
        <f t="shared" si="142"/>
        <v>0.41948961584483885</v>
      </c>
      <c r="L133" s="226">
        <f t="shared" si="143"/>
        <v>574239335.12999988</v>
      </c>
      <c r="M133" s="333">
        <f t="shared" si="144"/>
        <v>0.41948961584483885</v>
      </c>
      <c r="N133" s="228">
        <f>F133+H133</f>
        <v>575366835.12999988</v>
      </c>
      <c r="P133" s="250" t="str">
        <f>Q69</f>
        <v>RAYFAHMI</v>
      </c>
      <c r="Q133" s="226">
        <f t="shared" ref="Q133:V133" si="151">Q77</f>
        <v>1291680000</v>
      </c>
      <c r="R133" s="251">
        <f t="shared" si="151"/>
        <v>97</v>
      </c>
      <c r="S133" s="165">
        <f t="shared" si="151"/>
        <v>91</v>
      </c>
      <c r="T133" s="226">
        <f t="shared" si="151"/>
        <v>1204261433.5955</v>
      </c>
      <c r="U133" s="252">
        <f t="shared" si="151"/>
        <v>41597463.063300006</v>
      </c>
      <c r="V133" s="226">
        <f t="shared" si="151"/>
        <v>0</v>
      </c>
      <c r="W133" s="226">
        <f>T133-U133</f>
        <v>1162663970.5322001</v>
      </c>
      <c r="X133" s="226">
        <f t="shared" si="146"/>
        <v>-129016029.4677999</v>
      </c>
      <c r="Y133" s="172">
        <f t="shared" si="147"/>
        <v>0.90011765339108762</v>
      </c>
      <c r="Z133" s="171">
        <f>V133+W133</f>
        <v>1162663970.5322001</v>
      </c>
      <c r="AA133" s="227">
        <f t="shared" si="149"/>
        <v>0.90011765339108762</v>
      </c>
      <c r="AB133" s="228">
        <f>T133+V133</f>
        <v>1204261433.5955</v>
      </c>
    </row>
    <row r="134" spans="2:28" x14ac:dyDescent="0.35">
      <c r="B134" s="226" t="str">
        <f>C80</f>
        <v>NURRAHMAN</v>
      </c>
      <c r="C134" s="326">
        <f t="shared" ref="C134:H134" si="152">C88</f>
        <v>985608000</v>
      </c>
      <c r="D134" s="222">
        <f t="shared" si="152"/>
        <v>63</v>
      </c>
      <c r="E134" s="222">
        <f t="shared" si="152"/>
        <v>45</v>
      </c>
      <c r="F134" s="331">
        <f t="shared" si="152"/>
        <v>384129394.82090008</v>
      </c>
      <c r="G134" s="332">
        <f t="shared" si="152"/>
        <v>675000</v>
      </c>
      <c r="H134" s="326">
        <f t="shared" si="152"/>
        <v>0</v>
      </c>
      <c r="I134" s="326">
        <f>F134-G134</f>
        <v>383454394.82090008</v>
      </c>
      <c r="J134" s="326">
        <f t="shared" si="141"/>
        <v>-602153605.17909992</v>
      </c>
      <c r="K134" s="172">
        <f t="shared" si="142"/>
        <v>0.38905365502400557</v>
      </c>
      <c r="L134" s="226">
        <f t="shared" si="143"/>
        <v>383454394.82090008</v>
      </c>
      <c r="M134" s="333">
        <f t="shared" si="144"/>
        <v>0.38905365502400557</v>
      </c>
      <c r="N134" s="228">
        <f>F134+H134</f>
        <v>384129394.82090008</v>
      </c>
      <c r="P134" s="250" t="str">
        <f>Q80</f>
        <v>AGPS:JAKTIM-CKR</v>
      </c>
      <c r="Q134" s="166">
        <f t="shared" ref="Q134:V134" si="153">Q88</f>
        <v>954720000.00000012</v>
      </c>
      <c r="R134" s="230">
        <f t="shared" si="153"/>
        <v>52</v>
      </c>
      <c r="S134" s="167">
        <f t="shared" si="153"/>
        <v>44</v>
      </c>
      <c r="T134" s="166">
        <f t="shared" si="153"/>
        <v>426358112.92799997</v>
      </c>
      <c r="U134" s="231">
        <f t="shared" si="153"/>
        <v>9964800.0001000017</v>
      </c>
      <c r="V134" s="166">
        <f t="shared" si="153"/>
        <v>0</v>
      </c>
      <c r="W134" s="226">
        <f>T134-U134</f>
        <v>416393312.92789996</v>
      </c>
      <c r="X134" s="226">
        <f t="shared" si="146"/>
        <v>-538326687.07210016</v>
      </c>
      <c r="Y134" s="172">
        <f t="shared" si="147"/>
        <v>0.43614181427842708</v>
      </c>
      <c r="Z134" s="171">
        <f t="shared" si="148"/>
        <v>416393312.92789996</v>
      </c>
      <c r="AA134" s="227">
        <f t="shared" si="149"/>
        <v>0.43614181427842708</v>
      </c>
      <c r="AB134" s="228">
        <f>T134+V134</f>
        <v>426358112.92799997</v>
      </c>
    </row>
    <row r="135" spans="2:28" x14ac:dyDescent="0.35">
      <c r="B135" s="226" t="str">
        <f>C91</f>
        <v>IPNU</v>
      </c>
      <c r="C135" s="326">
        <f t="shared" ref="C135:H135" si="154">C99</f>
        <v>1040364000</v>
      </c>
      <c r="D135" s="222">
        <f t="shared" si="154"/>
        <v>97</v>
      </c>
      <c r="E135" s="222">
        <f t="shared" si="154"/>
        <v>74</v>
      </c>
      <c r="F135" s="331">
        <f t="shared" si="154"/>
        <v>803978958.60879982</v>
      </c>
      <c r="G135" s="332">
        <f t="shared" si="154"/>
        <v>2250202.7027000003</v>
      </c>
      <c r="H135" s="326">
        <f t="shared" si="154"/>
        <v>0</v>
      </c>
      <c r="I135" s="326">
        <f>F135-G135</f>
        <v>801728755.9060998</v>
      </c>
      <c r="J135" s="326">
        <f t="shared" si="141"/>
        <v>-238635244.0939002</v>
      </c>
      <c r="K135" s="172">
        <f t="shared" si="142"/>
        <v>0.77062331636436843</v>
      </c>
      <c r="L135" s="226">
        <f t="shared" si="143"/>
        <v>801728755.9060998</v>
      </c>
      <c r="M135" s="333">
        <f t="shared" si="144"/>
        <v>0.77062331636436843</v>
      </c>
      <c r="N135" s="228">
        <f>F135+H135</f>
        <v>803978958.60879982</v>
      </c>
      <c r="P135" s="250" t="str">
        <f>Q91</f>
        <v>AGPS : JAKSEL</v>
      </c>
      <c r="Q135" s="166">
        <f t="shared" ref="Q135:V135" si="155">Q99</f>
        <v>1010880000</v>
      </c>
      <c r="R135" s="230">
        <f t="shared" si="155"/>
        <v>67</v>
      </c>
      <c r="S135" s="167">
        <f t="shared" si="155"/>
        <v>61</v>
      </c>
      <c r="T135" s="166">
        <f t="shared" si="155"/>
        <v>608623877.47720003</v>
      </c>
      <c r="U135" s="231">
        <f t="shared" si="155"/>
        <v>14711733.3333</v>
      </c>
      <c r="V135" s="166">
        <f t="shared" si="155"/>
        <v>0</v>
      </c>
      <c r="W135" s="226">
        <f>T135-U135</f>
        <v>593912144.14390004</v>
      </c>
      <c r="X135" s="226">
        <f t="shared" si="146"/>
        <v>-416967855.85609996</v>
      </c>
      <c r="Y135" s="172">
        <f t="shared" si="147"/>
        <v>0.58751992733450065</v>
      </c>
      <c r="Z135" s="171">
        <f t="shared" si="148"/>
        <v>593912144.14390004</v>
      </c>
      <c r="AA135" s="227">
        <f t="shared" si="149"/>
        <v>0.58751992733450065</v>
      </c>
      <c r="AB135" s="228">
        <f>T135+V135</f>
        <v>608623877.47720003</v>
      </c>
    </row>
    <row r="136" spans="2:28" x14ac:dyDescent="0.35">
      <c r="B136" s="226" t="str">
        <f>C102</f>
        <v>SYAEPULLOH</v>
      </c>
      <c r="C136" s="326">
        <f t="shared" ref="C136:H136" si="156">C110</f>
        <v>1040364000</v>
      </c>
      <c r="D136" s="222">
        <f t="shared" si="156"/>
        <v>69</v>
      </c>
      <c r="E136" s="222">
        <f t="shared" si="156"/>
        <v>59</v>
      </c>
      <c r="F136" s="331">
        <f t="shared" si="156"/>
        <v>611427987.84479988</v>
      </c>
      <c r="G136" s="332">
        <f t="shared" si="156"/>
        <v>2122319.8197999997</v>
      </c>
      <c r="H136" s="326">
        <f t="shared" si="156"/>
        <v>0</v>
      </c>
      <c r="I136" s="326">
        <f>F136-G136</f>
        <v>609305668.02499986</v>
      </c>
      <c r="J136" s="326">
        <f t="shared" si="141"/>
        <v>-431058331.97500014</v>
      </c>
      <c r="K136" s="172">
        <f t="shared" si="142"/>
        <v>0.58566585159136597</v>
      </c>
      <c r="L136" s="226">
        <f t="shared" si="143"/>
        <v>609305668.02499986</v>
      </c>
      <c r="M136" s="333">
        <f t="shared" si="144"/>
        <v>0.58566585159136597</v>
      </c>
      <c r="N136" s="228">
        <f>F136+H136</f>
        <v>611427987.84479988</v>
      </c>
      <c r="P136" s="253" t="str">
        <f>Q102</f>
        <v>DEVANI</v>
      </c>
      <c r="Q136" s="254">
        <f t="shared" ref="Q136:V136" si="157">Q110</f>
        <v>1067040000</v>
      </c>
      <c r="R136" s="255">
        <f t="shared" si="157"/>
        <v>74</v>
      </c>
      <c r="S136" s="256">
        <f t="shared" si="157"/>
        <v>63</v>
      </c>
      <c r="T136" s="254">
        <f t="shared" si="157"/>
        <v>656611106.84699988</v>
      </c>
      <c r="U136" s="231">
        <f t="shared" si="157"/>
        <v>13897427.027200002</v>
      </c>
      <c r="V136" s="166">
        <f t="shared" si="157"/>
        <v>0</v>
      </c>
      <c r="W136" s="226">
        <f>T136-U136</f>
        <v>642713679.8197999</v>
      </c>
      <c r="X136" s="226">
        <f t="shared" si="146"/>
        <v>-424326320.1802001</v>
      </c>
      <c r="Y136" s="172">
        <f t="shared" si="147"/>
        <v>0.60233325819069561</v>
      </c>
      <c r="Z136" s="171">
        <f t="shared" si="148"/>
        <v>642713679.8197999</v>
      </c>
      <c r="AA136" s="227">
        <f t="shared" si="149"/>
        <v>0.60233325819069561</v>
      </c>
      <c r="AB136" s="228">
        <f>T136+V136</f>
        <v>656611106.84699988</v>
      </c>
    </row>
    <row r="137" spans="2:28" x14ac:dyDescent="0.35">
      <c r="B137" s="352" t="s">
        <v>77</v>
      </c>
      <c r="C137" s="329">
        <f t="shared" ref="C137:H137" si="158">SUM(C132:C136)</f>
        <v>5475600000</v>
      </c>
      <c r="D137" s="178">
        <f>SUM(D132:D136)</f>
        <v>425</v>
      </c>
      <c r="E137" s="178">
        <f t="shared" si="158"/>
        <v>315</v>
      </c>
      <c r="F137" s="334">
        <f>SUM(F132:F136)</f>
        <v>2861401217.5303998</v>
      </c>
      <c r="G137" s="335">
        <f t="shared" si="158"/>
        <v>10467342.3423</v>
      </c>
      <c r="H137" s="329">
        <f t="shared" si="158"/>
        <v>0</v>
      </c>
      <c r="I137" s="329">
        <f>SUM(I132:I136)</f>
        <v>2850933875.1880999</v>
      </c>
      <c r="J137" s="329">
        <f t="shared" si="141"/>
        <v>-2624666124.8119001</v>
      </c>
      <c r="K137" s="305">
        <f t="shared" si="142"/>
        <v>0.52066145722625834</v>
      </c>
      <c r="L137" s="353">
        <f t="shared" si="143"/>
        <v>2850933875.1880999</v>
      </c>
      <c r="M137" s="305">
        <f t="shared" si="144"/>
        <v>0.52066145722625834</v>
      </c>
      <c r="P137" s="204" t="s">
        <v>77</v>
      </c>
      <c r="Q137" s="205">
        <f t="shared" ref="Q137:V137" si="159">SUM(Q132:Q136)</f>
        <v>5616000000</v>
      </c>
      <c r="R137" s="312">
        <f>SUM(R132:R136)</f>
        <v>377</v>
      </c>
      <c r="S137" s="206">
        <f t="shared" si="159"/>
        <v>330</v>
      </c>
      <c r="T137" s="205">
        <f t="shared" si="159"/>
        <v>3629852377.9211998</v>
      </c>
      <c r="U137" s="208">
        <f t="shared" si="159"/>
        <v>87761499.099800006</v>
      </c>
      <c r="V137" s="205">
        <f t="shared" si="159"/>
        <v>0</v>
      </c>
      <c r="W137" s="205">
        <f>SUM(W132:W136)</f>
        <v>3542090878.8213997</v>
      </c>
      <c r="X137" s="205">
        <f t="shared" si="146"/>
        <v>-2073909121.1786003</v>
      </c>
      <c r="Y137" s="209">
        <f t="shared" si="147"/>
        <v>0.63071418782432331</v>
      </c>
      <c r="Z137" s="314">
        <f t="shared" si="148"/>
        <v>3542090878.8213997</v>
      </c>
      <c r="AA137" s="209">
        <f t="shared" si="149"/>
        <v>0.63071418782432331</v>
      </c>
    </row>
    <row r="138" spans="2:28" x14ac:dyDescent="0.35">
      <c r="C138" s="202"/>
      <c r="D138" s="245"/>
      <c r="E138" s="245"/>
      <c r="F138" s="245"/>
      <c r="G138" s="245"/>
      <c r="H138" s="245"/>
      <c r="I138" s="245"/>
      <c r="J138" s="245"/>
      <c r="K138" s="245"/>
      <c r="L138" s="197"/>
      <c r="M138" s="202"/>
      <c r="Q138" s="202"/>
      <c r="R138" s="245"/>
      <c r="S138" s="245"/>
      <c r="T138" s="245"/>
      <c r="U138" s="245"/>
      <c r="V138" s="245"/>
      <c r="W138" s="202"/>
      <c r="X138" s="247"/>
      <c r="Y138" s="248"/>
      <c r="Z138" s="197"/>
      <c r="AA138" s="246"/>
    </row>
    <row r="139" spans="2:28" ht="15" customHeight="1" x14ac:dyDescent="0.35"/>
    <row r="140" spans="2:28" ht="15" customHeight="1" x14ac:dyDescent="0.35">
      <c r="B140" s="580" t="s">
        <v>131</v>
      </c>
      <c r="C140" s="581"/>
      <c r="D140" s="581"/>
      <c r="E140" s="581"/>
      <c r="F140" s="581"/>
      <c r="G140" s="581"/>
      <c r="H140" s="581"/>
      <c r="I140" s="581"/>
      <c r="J140" s="581"/>
      <c r="K140" s="581"/>
      <c r="L140" s="581"/>
      <c r="M140" s="582"/>
      <c r="P140" s="580" t="s">
        <v>132</v>
      </c>
      <c r="Q140" s="581"/>
      <c r="R140" s="581"/>
      <c r="S140" s="581"/>
      <c r="T140" s="581"/>
      <c r="U140" s="581"/>
      <c r="V140" s="581"/>
      <c r="W140" s="581"/>
      <c r="X140" s="581"/>
      <c r="Y140" s="581"/>
      <c r="Z140" s="581"/>
      <c r="AA140" s="582"/>
    </row>
    <row r="141" spans="2:28" ht="15" customHeight="1" x14ac:dyDescent="0.35">
      <c r="B141" s="583"/>
      <c r="C141" s="584"/>
      <c r="D141" s="584"/>
      <c r="E141" s="584"/>
      <c r="F141" s="584"/>
      <c r="G141" s="584"/>
      <c r="H141" s="584"/>
      <c r="I141" s="584"/>
      <c r="J141" s="584"/>
      <c r="K141" s="584"/>
      <c r="L141" s="584"/>
      <c r="M141" s="585"/>
      <c r="P141" s="583"/>
      <c r="Q141" s="584"/>
      <c r="R141" s="584"/>
      <c r="S141" s="584"/>
      <c r="T141" s="584"/>
      <c r="U141" s="584"/>
      <c r="V141" s="584"/>
      <c r="W141" s="584"/>
      <c r="X141" s="584"/>
      <c r="Y141" s="584"/>
      <c r="Z141" s="584"/>
      <c r="AA141" s="585"/>
    </row>
    <row r="142" spans="2:28" ht="15" customHeight="1" x14ac:dyDescent="0.35">
      <c r="B142" s="586" t="s">
        <v>133</v>
      </c>
      <c r="C142" s="587" t="s">
        <v>94</v>
      </c>
      <c r="D142" s="586" t="s">
        <v>91</v>
      </c>
      <c r="E142" s="586" t="s">
        <v>62</v>
      </c>
      <c r="F142" s="588" t="str">
        <f>F130</f>
        <v>OMSET APR
 (1-30)</v>
      </c>
      <c r="G142" s="588" t="s">
        <v>95</v>
      </c>
      <c r="H142" s="587" t="s">
        <v>63</v>
      </c>
      <c r="I142" s="587" t="s">
        <v>64</v>
      </c>
      <c r="J142" s="587" t="s">
        <v>126</v>
      </c>
      <c r="K142" s="586" t="s">
        <v>66</v>
      </c>
      <c r="L142" s="590" t="s">
        <v>127</v>
      </c>
      <c r="M142" s="372" t="s">
        <v>128</v>
      </c>
      <c r="P142" s="601" t="s">
        <v>133</v>
      </c>
      <c r="Q142" s="601" t="s">
        <v>94</v>
      </c>
      <c r="R142" s="602" t="s">
        <v>91</v>
      </c>
      <c r="S142" s="601" t="s">
        <v>62</v>
      </c>
      <c r="T142" s="629" t="str">
        <f>T130</f>
        <v>OMSET APR
 (1-30)</v>
      </c>
      <c r="U142" s="629" t="s">
        <v>95</v>
      </c>
      <c r="V142" s="603" t="s">
        <v>63</v>
      </c>
      <c r="W142" s="603" t="s">
        <v>64</v>
      </c>
      <c r="X142" s="603" t="s">
        <v>126</v>
      </c>
      <c r="Y142" s="601" t="str">
        <f>Y130</f>
        <v>PERCENTAGE</v>
      </c>
      <c r="Z142" s="579" t="s">
        <v>127</v>
      </c>
      <c r="AA142" s="310" t="s">
        <v>128</v>
      </c>
    </row>
    <row r="143" spans="2:28" x14ac:dyDescent="0.35">
      <c r="B143" s="586"/>
      <c r="C143" s="587"/>
      <c r="D143" s="586"/>
      <c r="E143" s="586"/>
      <c r="F143" s="588"/>
      <c r="G143" s="588"/>
      <c r="H143" s="587"/>
      <c r="I143" s="587"/>
      <c r="J143" s="587"/>
      <c r="K143" s="586"/>
      <c r="L143" s="590"/>
      <c r="M143" s="302">
        <f>M131</f>
        <v>1</v>
      </c>
      <c r="P143" s="601"/>
      <c r="Q143" s="601"/>
      <c r="R143" s="602"/>
      <c r="S143" s="601"/>
      <c r="T143" s="629"/>
      <c r="U143" s="629"/>
      <c r="V143" s="603"/>
      <c r="W143" s="603"/>
      <c r="X143" s="603"/>
      <c r="Y143" s="601"/>
      <c r="Z143" s="579"/>
      <c r="AA143" s="311">
        <f>K4</f>
        <v>1</v>
      </c>
    </row>
    <row r="144" spans="2:28" x14ac:dyDescent="0.35">
      <c r="B144" s="257" t="s">
        <v>134</v>
      </c>
      <c r="C144" s="166">
        <f t="shared" ref="C144:H144" si="160">C125</f>
        <v>8564400000</v>
      </c>
      <c r="D144" s="167">
        <f t="shared" si="160"/>
        <v>491</v>
      </c>
      <c r="E144" s="222">
        <f t="shared" si="160"/>
        <v>394</v>
      </c>
      <c r="F144" s="223">
        <f t="shared" si="160"/>
        <v>6241779998.6854</v>
      </c>
      <c r="G144" s="224">
        <f t="shared" si="160"/>
        <v>26601261.2612</v>
      </c>
      <c r="H144" s="166">
        <f t="shared" si="160"/>
        <v>0</v>
      </c>
      <c r="I144" s="166">
        <f>F144-G144</f>
        <v>6215178737.4242001</v>
      </c>
      <c r="J144" s="166">
        <f>I144-C144</f>
        <v>-2349221262.5757999</v>
      </c>
      <c r="K144" s="172">
        <f>I144/C144</f>
        <v>0.72569925942555225</v>
      </c>
      <c r="L144" s="226">
        <f>H144+I144</f>
        <v>6215178737.4242001</v>
      </c>
      <c r="M144" s="227">
        <f>L144/C144</f>
        <v>0.72569925942555225</v>
      </c>
      <c r="P144" s="257" t="s">
        <v>135</v>
      </c>
      <c r="Q144" s="166">
        <f t="shared" ref="Q144:V144" si="161">Q125</f>
        <v>8424000000</v>
      </c>
      <c r="R144" s="230">
        <f t="shared" si="161"/>
        <v>375</v>
      </c>
      <c r="S144" s="167">
        <f t="shared" si="161"/>
        <v>323</v>
      </c>
      <c r="T144" s="223">
        <f t="shared" si="161"/>
        <v>5207794406.5929995</v>
      </c>
      <c r="U144" s="224">
        <f t="shared" si="161"/>
        <v>87840295.496099994</v>
      </c>
      <c r="V144" s="166">
        <f t="shared" si="161"/>
        <v>0</v>
      </c>
      <c r="W144" s="166">
        <f>T144-U144</f>
        <v>5119954111.096899</v>
      </c>
      <c r="X144" s="166">
        <f>W144-Q144</f>
        <v>-3304045888.903101</v>
      </c>
      <c r="Y144" s="172">
        <f>Y125</f>
        <v>0.60778182705328809</v>
      </c>
      <c r="Z144" s="171">
        <f>V144+W144</f>
        <v>5119954111.096899</v>
      </c>
      <c r="AA144" s="227">
        <f>Z144/Q144</f>
        <v>0.60778182705328809</v>
      </c>
    </row>
    <row r="145" spans="2:27" x14ac:dyDescent="0.35">
      <c r="B145" s="257" t="s">
        <v>136</v>
      </c>
      <c r="C145" s="166">
        <f t="shared" ref="C145:H145" si="162">C137</f>
        <v>5475600000</v>
      </c>
      <c r="D145" s="167">
        <f t="shared" si="162"/>
        <v>425</v>
      </c>
      <c r="E145" s="222">
        <f t="shared" si="162"/>
        <v>315</v>
      </c>
      <c r="F145" s="223">
        <f t="shared" si="162"/>
        <v>2861401217.5303998</v>
      </c>
      <c r="G145" s="224">
        <f t="shared" si="162"/>
        <v>10467342.3423</v>
      </c>
      <c r="H145" s="166">
        <f t="shared" si="162"/>
        <v>0</v>
      </c>
      <c r="I145" s="166">
        <f>F145-G145</f>
        <v>2850933875.1880999</v>
      </c>
      <c r="J145" s="166">
        <f>I145-C145</f>
        <v>-2624666124.8119001</v>
      </c>
      <c r="K145" s="172">
        <f>I145/C145</f>
        <v>0.52066145722625834</v>
      </c>
      <c r="L145" s="226">
        <f>H145+I145</f>
        <v>2850933875.1880999</v>
      </c>
      <c r="M145" s="227">
        <f>L145/C145</f>
        <v>0.52066145722625834</v>
      </c>
      <c r="P145" s="257" t="s">
        <v>137</v>
      </c>
      <c r="Q145" s="166">
        <f t="shared" ref="Q145:V145" si="163">Q137</f>
        <v>5616000000</v>
      </c>
      <c r="R145" s="230">
        <f t="shared" si="163"/>
        <v>377</v>
      </c>
      <c r="S145" s="167">
        <f t="shared" si="163"/>
        <v>330</v>
      </c>
      <c r="T145" s="223">
        <f t="shared" si="163"/>
        <v>3629852377.9211998</v>
      </c>
      <c r="U145" s="224">
        <f t="shared" si="163"/>
        <v>87761499.099800006</v>
      </c>
      <c r="V145" s="166">
        <f t="shared" si="163"/>
        <v>0</v>
      </c>
      <c r="W145" s="166">
        <f>T145-U145</f>
        <v>3542090878.8213997</v>
      </c>
      <c r="X145" s="166">
        <f>W145-Q145</f>
        <v>-2073909121.1786003</v>
      </c>
      <c r="Y145" s="172">
        <f>Y137</f>
        <v>0.63071418782432331</v>
      </c>
      <c r="Z145" s="171">
        <f>V145+W145</f>
        <v>3542090878.8213997</v>
      </c>
      <c r="AA145" s="227">
        <f>Z145/Q145</f>
        <v>0.63071418782432331</v>
      </c>
    </row>
    <row r="146" spans="2:27" x14ac:dyDescent="0.35">
      <c r="B146" s="175" t="s">
        <v>77</v>
      </c>
      <c r="C146" s="176">
        <f>SUM(C144:C145)</f>
        <v>14040000000</v>
      </c>
      <c r="D146" s="177">
        <f t="shared" ref="D146:I146" si="164">SUM(D144:D145)</f>
        <v>916</v>
      </c>
      <c r="E146" s="178">
        <f t="shared" si="164"/>
        <v>709</v>
      </c>
      <c r="F146" s="303">
        <f t="shared" si="164"/>
        <v>9103181216.2157993</v>
      </c>
      <c r="G146" s="304">
        <f t="shared" si="164"/>
        <v>37068603.603500001</v>
      </c>
      <c r="H146" s="176">
        <f t="shared" si="164"/>
        <v>0</v>
      </c>
      <c r="I146" s="176">
        <f t="shared" si="164"/>
        <v>9066112612.6123009</v>
      </c>
      <c r="J146" s="176">
        <f>I146-C146</f>
        <v>-4973887387.3876991</v>
      </c>
      <c r="K146" s="306">
        <f>I146/C146</f>
        <v>0.64573451656782765</v>
      </c>
      <c r="L146" s="353">
        <f>H146+I146</f>
        <v>9066112612.6123009</v>
      </c>
      <c r="M146" s="180">
        <f>L146/C146</f>
        <v>0.64573451656782765</v>
      </c>
      <c r="P146" s="204" t="s">
        <v>77</v>
      </c>
      <c r="Q146" s="205">
        <f t="shared" ref="Q146:W146" si="165">SUM(Q144:Q145)</f>
        <v>14040000000</v>
      </c>
      <c r="R146" s="312">
        <f t="shared" si="165"/>
        <v>752</v>
      </c>
      <c r="S146" s="206">
        <f t="shared" si="165"/>
        <v>653</v>
      </c>
      <c r="T146" s="315">
        <f t="shared" si="165"/>
        <v>8837646784.5141983</v>
      </c>
      <c r="U146" s="316">
        <f t="shared" si="165"/>
        <v>175601794.5959</v>
      </c>
      <c r="V146" s="205">
        <f t="shared" si="165"/>
        <v>0</v>
      </c>
      <c r="W146" s="205">
        <f t="shared" si="165"/>
        <v>8662044989.9182987</v>
      </c>
      <c r="X146" s="205">
        <f>W146-Q146</f>
        <v>-5377955010.0817013</v>
      </c>
      <c r="Y146" s="317">
        <f>W146/Q146</f>
        <v>0.61695477136170218</v>
      </c>
      <c r="Z146" s="314">
        <f>V146+W146</f>
        <v>8662044989.9182987</v>
      </c>
      <c r="AA146" s="209">
        <f>Z146/Q146</f>
        <v>0.61695477136170218</v>
      </c>
    </row>
  </sheetData>
  <mergeCells count="191">
    <mergeCell ref="A3:A11"/>
    <mergeCell ref="D3:D4"/>
    <mergeCell ref="E3:E4"/>
    <mergeCell ref="F3:I3"/>
    <mergeCell ref="J3:J4"/>
    <mergeCell ref="O3:O11"/>
    <mergeCell ref="R3:R4"/>
    <mergeCell ref="A25:A33"/>
    <mergeCell ref="D25:D26"/>
    <mergeCell ref="E25:E26"/>
    <mergeCell ref="F25:I25"/>
    <mergeCell ref="J25:J26"/>
    <mergeCell ref="O25:O33"/>
    <mergeCell ref="R25:R26"/>
    <mergeCell ref="A14:A22"/>
    <mergeCell ref="D14:D15"/>
    <mergeCell ref="E14:E15"/>
    <mergeCell ref="D23:H23"/>
    <mergeCell ref="R23:V23"/>
    <mergeCell ref="S3:S4"/>
    <mergeCell ref="T3:W3"/>
    <mergeCell ref="A36:A44"/>
    <mergeCell ref="D36:D37"/>
    <mergeCell ref="E36:E37"/>
    <mergeCell ref="F47:I47"/>
    <mergeCell ref="J47:J48"/>
    <mergeCell ref="O47:O55"/>
    <mergeCell ref="R47:R48"/>
    <mergeCell ref="A58:A66"/>
    <mergeCell ref="A47:A55"/>
    <mergeCell ref="D47:D48"/>
    <mergeCell ref="E47:E48"/>
    <mergeCell ref="R58:R59"/>
    <mergeCell ref="D56:H56"/>
    <mergeCell ref="R56:V56"/>
    <mergeCell ref="A69:A77"/>
    <mergeCell ref="D69:D70"/>
    <mergeCell ref="E69:E70"/>
    <mergeCell ref="F69:I69"/>
    <mergeCell ref="J69:J70"/>
    <mergeCell ref="O69:O77"/>
    <mergeCell ref="R69:R70"/>
    <mergeCell ref="S69:S70"/>
    <mergeCell ref="T69:W69"/>
    <mergeCell ref="A102:A110"/>
    <mergeCell ref="A91:A99"/>
    <mergeCell ref="D91:D92"/>
    <mergeCell ref="E91:E92"/>
    <mergeCell ref="D80:D81"/>
    <mergeCell ref="E80:E81"/>
    <mergeCell ref="A80:A88"/>
    <mergeCell ref="X80:X81"/>
    <mergeCell ref="F80:I80"/>
    <mergeCell ref="J80:J81"/>
    <mergeCell ref="D102:D103"/>
    <mergeCell ref="E102:E103"/>
    <mergeCell ref="F91:I91"/>
    <mergeCell ref="J91:J92"/>
    <mergeCell ref="O91:O99"/>
    <mergeCell ref="R91:R92"/>
    <mergeCell ref="X91:X92"/>
    <mergeCell ref="F102:I102"/>
    <mergeCell ref="J102:J103"/>
    <mergeCell ref="O102:O110"/>
    <mergeCell ref="R102:R103"/>
    <mergeCell ref="S102:S103"/>
    <mergeCell ref="T102:W102"/>
    <mergeCell ref="X102:X103"/>
    <mergeCell ref="O80:O88"/>
    <mergeCell ref="R80:R81"/>
    <mergeCell ref="S80:S81"/>
    <mergeCell ref="T80:W80"/>
    <mergeCell ref="S58:S59"/>
    <mergeCell ref="T58:W58"/>
    <mergeCell ref="D34:H34"/>
    <mergeCell ref="R34:V34"/>
    <mergeCell ref="D45:H45"/>
    <mergeCell ref="R45:V45"/>
    <mergeCell ref="R67:V67"/>
    <mergeCell ref="D78:H78"/>
    <mergeCell ref="R78:V78"/>
    <mergeCell ref="D58:D59"/>
    <mergeCell ref="E58:E59"/>
    <mergeCell ref="X3:X4"/>
    <mergeCell ref="F14:I14"/>
    <mergeCell ref="J14:J15"/>
    <mergeCell ref="O14:O22"/>
    <mergeCell ref="R14:R15"/>
    <mergeCell ref="S14:S15"/>
    <mergeCell ref="T14:W14"/>
    <mergeCell ref="X14:X15"/>
    <mergeCell ref="D12:H12"/>
    <mergeCell ref="R12:V12"/>
    <mergeCell ref="X69:X70"/>
    <mergeCell ref="S25:S26"/>
    <mergeCell ref="T25:W25"/>
    <mergeCell ref="X25:X26"/>
    <mergeCell ref="F36:I36"/>
    <mergeCell ref="J36:J37"/>
    <mergeCell ref="O36:O44"/>
    <mergeCell ref="R36:R37"/>
    <mergeCell ref="S36:S37"/>
    <mergeCell ref="T36:W36"/>
    <mergeCell ref="X36:X37"/>
    <mergeCell ref="S47:S48"/>
    <mergeCell ref="T47:W47"/>
    <mergeCell ref="X47:X48"/>
    <mergeCell ref="O58:O66"/>
    <mergeCell ref="X58:X59"/>
    <mergeCell ref="F58:I58"/>
    <mergeCell ref="J58:J59"/>
    <mergeCell ref="D89:H89"/>
    <mergeCell ref="R89:V89"/>
    <mergeCell ref="D100:H100"/>
    <mergeCell ref="R100:V100"/>
    <mergeCell ref="D111:H111"/>
    <mergeCell ref="R111:V111"/>
    <mergeCell ref="S91:S92"/>
    <mergeCell ref="T91:W91"/>
    <mergeCell ref="B116:M117"/>
    <mergeCell ref="P116:AA117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J119"/>
    <mergeCell ref="W118:W119"/>
    <mergeCell ref="X118:X119"/>
    <mergeCell ref="Y118:Y119"/>
    <mergeCell ref="Z118:Z119"/>
    <mergeCell ref="K118:K119"/>
    <mergeCell ref="L118:L119"/>
    <mergeCell ref="P118:P119"/>
    <mergeCell ref="Q118:Q119"/>
    <mergeCell ref="R118:R119"/>
    <mergeCell ref="S118:S119"/>
    <mergeCell ref="T118:T119"/>
    <mergeCell ref="U118:U119"/>
    <mergeCell ref="V118:V119"/>
    <mergeCell ref="B128:M129"/>
    <mergeCell ref="P128:AA129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J131"/>
    <mergeCell ref="K130:K131"/>
    <mergeCell ref="L130:L131"/>
    <mergeCell ref="P130:P131"/>
    <mergeCell ref="Q130:Q131"/>
    <mergeCell ref="R130:R131"/>
    <mergeCell ref="S130:S131"/>
    <mergeCell ref="T130:T131"/>
    <mergeCell ref="U130:U131"/>
    <mergeCell ref="V130:V131"/>
    <mergeCell ref="W130:W131"/>
    <mergeCell ref="X130:X131"/>
    <mergeCell ref="Y130:Y131"/>
    <mergeCell ref="Z130:Z131"/>
    <mergeCell ref="B140:M141"/>
    <mergeCell ref="P140:AA141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L142:L143"/>
    <mergeCell ref="P142:P143"/>
    <mergeCell ref="Q142:Q143"/>
    <mergeCell ref="R142:R143"/>
    <mergeCell ref="S142:S143"/>
    <mergeCell ref="T142:T143"/>
    <mergeCell ref="U142:U143"/>
    <mergeCell ref="V142:V143"/>
    <mergeCell ref="W142:W143"/>
    <mergeCell ref="X142:X143"/>
    <mergeCell ref="Y142:Y143"/>
    <mergeCell ref="Z142:Z143"/>
  </mergeCells>
  <phoneticPr fontId="9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4EC3-7553-4D6D-BE90-72A4E4D6505A}">
  <sheetPr>
    <tabColor rgb="FFFFFF00"/>
  </sheetPr>
  <dimension ref="A1:AI146"/>
  <sheetViews>
    <sheetView showGridLines="0" topLeftCell="A114" zoomScale="94" zoomScaleNormal="70" workbookViewId="0">
      <selection activeCell="M123" sqref="A123:XFD123"/>
    </sheetView>
  </sheetViews>
  <sheetFormatPr defaultColWidth="8.7265625" defaultRowHeight="14.5" x14ac:dyDescent="0.35"/>
  <cols>
    <col min="1" max="1" width="8.7265625" style="194"/>
    <col min="2" max="2" width="17" style="194" customWidth="1"/>
    <col min="3" max="3" width="14.81640625" style="186" bestFit="1" customWidth="1"/>
    <col min="4" max="4" width="8.1796875" style="187" customWidth="1"/>
    <col min="5" max="5" width="8" style="188" customWidth="1"/>
    <col min="6" max="6" width="16.1796875" style="189" customWidth="1"/>
    <col min="7" max="7" width="16.1796875" style="190" customWidth="1"/>
    <col min="8" max="9" width="16.1796875" style="186" customWidth="1"/>
    <col min="10" max="10" width="15.1796875" style="191" customWidth="1"/>
    <col min="11" max="11" width="16.1796875" style="187" customWidth="1"/>
    <col min="12" max="12" width="15.1796875" style="192" customWidth="1"/>
    <col min="13" max="13" width="18.7265625" style="186" bestFit="1" customWidth="1"/>
    <col min="14" max="14" width="18.54296875" style="194" customWidth="1"/>
    <col min="15" max="15" width="11.81640625" style="194" bestFit="1" customWidth="1"/>
    <col min="16" max="16" width="17.1796875" style="194" customWidth="1"/>
    <col min="17" max="17" width="15.1796875" style="187" customWidth="1"/>
    <col min="18" max="18" width="8.1796875" style="195" customWidth="1"/>
    <col min="19" max="19" width="8.1796875" style="187" customWidth="1"/>
    <col min="20" max="20" width="15.1796875" style="189" customWidth="1"/>
    <col min="21" max="21" width="15.1796875" style="190" customWidth="1"/>
    <col min="22" max="24" width="15.1796875" style="186" customWidth="1"/>
    <col min="25" max="25" width="16.1796875" style="187" customWidth="1"/>
    <col min="26" max="26" width="15.1796875" style="186" customWidth="1"/>
    <col min="27" max="27" width="18.54296875" style="196" customWidth="1"/>
    <col min="28" max="28" width="14" style="194" bestFit="1" customWidth="1"/>
    <col min="29" max="29" width="12.54296875" style="194" customWidth="1"/>
    <col min="30" max="30" width="13" style="194" bestFit="1" customWidth="1"/>
    <col min="31" max="33" width="9.1796875" style="194" hidden="1" customWidth="1"/>
    <col min="34" max="34" width="7.7265625" style="194" hidden="1" customWidth="1"/>
    <col min="35" max="35" width="22.1796875" style="194" hidden="1" customWidth="1"/>
    <col min="36" max="36" width="24.1796875" style="194" customWidth="1"/>
    <col min="37" max="37" width="16" style="194" customWidth="1"/>
    <col min="38" max="38" width="12.54296875" style="194" bestFit="1" customWidth="1"/>
    <col min="39" max="40" width="18.26953125" style="194" customWidth="1"/>
    <col min="41" max="41" width="12.54296875" style="194" bestFit="1" customWidth="1"/>
    <col min="42" max="42" width="13.81640625" style="194" bestFit="1" customWidth="1"/>
    <col min="43" max="43" width="14.54296875" style="194" customWidth="1"/>
    <col min="44" max="16384" width="8.7265625" style="194"/>
  </cols>
  <sheetData>
    <row r="1" spans="1:28" ht="15" thickBot="1" x14ac:dyDescent="0.4">
      <c r="A1" s="184" t="s">
        <v>88</v>
      </c>
      <c r="B1" s="185">
        <v>46173</v>
      </c>
      <c r="C1" s="186">
        <v>19</v>
      </c>
      <c r="D1" s="187">
        <v>26</v>
      </c>
    </row>
    <row r="2" spans="1:28" ht="15" thickBot="1" x14ac:dyDescent="0.4">
      <c r="G2" s="190" t="s">
        <v>89</v>
      </c>
      <c r="W2" s="194"/>
    </row>
    <row r="3" spans="1:28" ht="19.5" customHeight="1" x14ac:dyDescent="0.35">
      <c r="A3" s="627">
        <v>1</v>
      </c>
      <c r="B3" s="352" t="s">
        <v>57</v>
      </c>
      <c r="C3" s="353" t="s">
        <v>90</v>
      </c>
      <c r="D3" s="616" t="s">
        <v>91</v>
      </c>
      <c r="E3" s="616" t="s">
        <v>62</v>
      </c>
      <c r="F3" s="604" t="s">
        <v>92</v>
      </c>
      <c r="G3" s="605"/>
      <c r="H3" s="605"/>
      <c r="I3" s="606"/>
      <c r="J3" s="587" t="s">
        <v>65</v>
      </c>
      <c r="K3" s="352" t="s">
        <v>66</v>
      </c>
      <c r="O3" s="613">
        <v>1</v>
      </c>
      <c r="P3" s="354" t="s">
        <v>57</v>
      </c>
      <c r="Q3" s="355" t="s">
        <v>159</v>
      </c>
      <c r="R3" s="591" t="s">
        <v>91</v>
      </c>
      <c r="S3" s="591" t="s">
        <v>62</v>
      </c>
      <c r="T3" s="610" t="s">
        <v>92</v>
      </c>
      <c r="U3" s="611"/>
      <c r="V3" s="611"/>
      <c r="W3" s="612"/>
      <c r="X3" s="595" t="s">
        <v>65</v>
      </c>
      <c r="Y3" s="354" t="s">
        <v>66</v>
      </c>
    </row>
    <row r="4" spans="1:28" s="199" customFormat="1" ht="36" customHeight="1" x14ac:dyDescent="0.35">
      <c r="A4" s="628"/>
      <c r="B4" s="352" t="s">
        <v>93</v>
      </c>
      <c r="C4" s="353" t="s">
        <v>94</v>
      </c>
      <c r="D4" s="617"/>
      <c r="E4" s="617"/>
      <c r="F4" s="163" t="str">
        <f>"OMSET "&amp;UPPER(TEXT($B$1,"MMM"))&amp;CHAR(10)&amp;" (1-"&amp;DAY($B$1)&amp;")"</f>
        <v>OMSET MEI
 (1-31)</v>
      </c>
      <c r="G4" s="163" t="s">
        <v>95</v>
      </c>
      <c r="H4" s="353" t="s">
        <v>63</v>
      </c>
      <c r="I4" s="353" t="s">
        <v>64</v>
      </c>
      <c r="J4" s="587"/>
      <c r="K4" s="164">
        <f>100/DAY(EOMONTH($B$1,0))*DAY($B$1)/100</f>
        <v>1</v>
      </c>
      <c r="L4" s="197"/>
      <c r="M4" s="202"/>
      <c r="O4" s="614"/>
      <c r="P4" s="354" t="s">
        <v>93</v>
      </c>
      <c r="Q4" s="355" t="s">
        <v>94</v>
      </c>
      <c r="R4" s="592"/>
      <c r="S4" s="592"/>
      <c r="T4" s="200" t="str">
        <f>F4</f>
        <v>OMSET MEI
 (1-31)</v>
      </c>
      <c r="U4" s="200" t="str">
        <f>G4</f>
        <v>OMSET PRODUK</v>
      </c>
      <c r="V4" s="355" t="s">
        <v>63</v>
      </c>
      <c r="W4" s="355" t="s">
        <v>64</v>
      </c>
      <c r="X4" s="596"/>
      <c r="Y4" s="201">
        <f>K4</f>
        <v>1</v>
      </c>
      <c r="Z4" s="202"/>
      <c r="AA4" s="203"/>
    </row>
    <row r="5" spans="1:28" x14ac:dyDescent="0.35">
      <c r="A5" s="628"/>
      <c r="B5" s="325" t="s">
        <v>96</v>
      </c>
      <c r="C5" s="326">
        <v>164436480</v>
      </c>
      <c r="D5" s="222">
        <v>16</v>
      </c>
      <c r="E5" s="308">
        <v>13</v>
      </c>
      <c r="F5" s="169">
        <v>69447572.072700009</v>
      </c>
      <c r="G5" s="169">
        <v>1590090.0902</v>
      </c>
      <c r="H5" s="326"/>
      <c r="I5" s="326">
        <f t="shared" ref="I5:I11" si="0">F5-G5</f>
        <v>67857481.982500002</v>
      </c>
      <c r="J5" s="226">
        <f t="shared" ref="J5:J10" si="1">I5-C5</f>
        <v>-96578998.017499998</v>
      </c>
      <c r="K5" s="172">
        <f t="shared" ref="K5:K12" si="2">I5/C5</f>
        <v>0.41266683635224982</v>
      </c>
      <c r="L5" s="369">
        <f>IF(K5&gt;120%,"0,55%",IF(K5&gt;100%,"0,45%",IF(K5&gt;80%,"0,35%",IF(K5&gt;60%,"0,2%",0))))</f>
        <v>0</v>
      </c>
      <c r="M5" s="186">
        <f>L5*I5</f>
        <v>0</v>
      </c>
      <c r="O5" s="614"/>
      <c r="P5" s="165" t="s">
        <v>96</v>
      </c>
      <c r="Q5" s="326">
        <v>202176000</v>
      </c>
      <c r="R5" s="222">
        <v>13</v>
      </c>
      <c r="S5" s="308">
        <v>9</v>
      </c>
      <c r="T5" s="169">
        <v>62272439.189200014</v>
      </c>
      <c r="U5" s="169"/>
      <c r="V5" s="326"/>
      <c r="W5" s="166">
        <f t="shared" ref="W5:W11" si="3">T5-U5</f>
        <v>62272439.189200014</v>
      </c>
      <c r="X5" s="171">
        <f>W5-Q5</f>
        <v>-139903560.81079999</v>
      </c>
      <c r="Y5" s="172">
        <f>W5/Q5</f>
        <v>0.30801103587567275</v>
      </c>
      <c r="Z5" s="369">
        <f>IF(Y5&gt;120%,"0,55%",IF(Y5&gt;100%,"0,45%",IF(Y5&gt;80%,"0,35%",IF(Y5&gt;60%,"0,2%",0))))</f>
        <v>0</v>
      </c>
      <c r="AA5" s="186">
        <f>Z5*W5</f>
        <v>0</v>
      </c>
    </row>
    <row r="6" spans="1:28" x14ac:dyDescent="0.35">
      <c r="A6" s="628"/>
      <c r="B6" s="325" t="s">
        <v>97</v>
      </c>
      <c r="C6" s="327">
        <v>274060800</v>
      </c>
      <c r="D6" s="222">
        <v>18</v>
      </c>
      <c r="E6" s="308">
        <v>13</v>
      </c>
      <c r="F6" s="169">
        <v>194893545.9465</v>
      </c>
      <c r="G6" s="328">
        <v>1360000</v>
      </c>
      <c r="H6" s="327"/>
      <c r="I6" s="326">
        <f t="shared" si="0"/>
        <v>193533545.9465</v>
      </c>
      <c r="J6" s="226">
        <f t="shared" si="1"/>
        <v>-80527254.053499997</v>
      </c>
      <c r="K6" s="172">
        <f t="shared" si="2"/>
        <v>0.70617011242213412</v>
      </c>
      <c r="L6" s="369" t="str">
        <f t="shared" ref="L6:L10" si="4">IF(K6&gt;120%,"0,55%",IF(K6&gt;100%,"0,45%",IF(K6&gt;80%,"0,35%",IF(K6&gt;60%,"0,2%",0))))</f>
        <v>0,2%</v>
      </c>
      <c r="M6" s="186">
        <f t="shared" ref="M6:M10" si="5">L6*I6</f>
        <v>387067.091893</v>
      </c>
      <c r="O6" s="614"/>
      <c r="P6" s="165" t="s">
        <v>97</v>
      </c>
      <c r="Q6" s="327">
        <v>157248000.00000003</v>
      </c>
      <c r="R6" s="222">
        <v>10</v>
      </c>
      <c r="S6" s="308">
        <v>7</v>
      </c>
      <c r="T6" s="169">
        <v>60790157.657499999</v>
      </c>
      <c r="U6" s="328"/>
      <c r="V6" s="327"/>
      <c r="W6" s="166">
        <f t="shared" si="3"/>
        <v>60790157.657499999</v>
      </c>
      <c r="X6" s="171">
        <f>W6-Q6</f>
        <v>-96457842.342500031</v>
      </c>
      <c r="Y6" s="172">
        <f>W6/Q6</f>
        <v>0.38658779544095945</v>
      </c>
      <c r="Z6" s="369">
        <f t="shared" ref="Z6:Z10" si="6">IF(Y6&gt;120%,"0,55%",IF(Y6&gt;100%,"0,45%",IF(Y6&gt;80%,"0,35%",IF(Y6&gt;60%,"0,2%",0))))</f>
        <v>0</v>
      </c>
      <c r="AA6" s="186">
        <f t="shared" ref="AA6:AA10" si="7">Z6*W6</f>
        <v>0</v>
      </c>
    </row>
    <row r="7" spans="1:28" x14ac:dyDescent="0.35">
      <c r="A7" s="628"/>
      <c r="B7" s="325" t="s">
        <v>98</v>
      </c>
      <c r="C7" s="327">
        <v>109624320</v>
      </c>
      <c r="D7" s="222">
        <v>15</v>
      </c>
      <c r="E7" s="308">
        <v>10</v>
      </c>
      <c r="F7" s="169">
        <v>102462298.81069995</v>
      </c>
      <c r="G7" s="169">
        <v>1195765.7657999999</v>
      </c>
      <c r="H7" s="327"/>
      <c r="I7" s="326">
        <f t="shared" si="0"/>
        <v>101266533.04489996</v>
      </c>
      <c r="J7" s="226">
        <f t="shared" si="1"/>
        <v>-8357786.9551000446</v>
      </c>
      <c r="K7" s="172">
        <f t="shared" si="2"/>
        <v>0.92375973730008043</v>
      </c>
      <c r="L7" s="369" t="str">
        <f t="shared" si="4"/>
        <v>0,35%</v>
      </c>
      <c r="M7" s="186">
        <f t="shared" si="5"/>
        <v>354432.86565714987</v>
      </c>
      <c r="O7" s="614"/>
      <c r="P7" s="165" t="s">
        <v>98</v>
      </c>
      <c r="Q7" s="327">
        <v>179712000</v>
      </c>
      <c r="R7" s="222">
        <v>12</v>
      </c>
      <c r="S7" s="308">
        <v>10</v>
      </c>
      <c r="T7" s="169">
        <v>80402442.342999995</v>
      </c>
      <c r="U7" s="169">
        <v>643200</v>
      </c>
      <c r="V7" s="327"/>
      <c r="W7" s="166">
        <f t="shared" si="3"/>
        <v>79759242.342999995</v>
      </c>
      <c r="X7" s="171">
        <f t="shared" ref="X7:X11" si="8">W7-Q7</f>
        <v>-99952757.657000005</v>
      </c>
      <c r="Y7" s="172">
        <f t="shared" ref="Y7:Y11" si="9">W7/Q7</f>
        <v>0.44381700912014777</v>
      </c>
      <c r="Z7" s="369">
        <f t="shared" si="6"/>
        <v>0</v>
      </c>
      <c r="AA7" s="186">
        <f t="shared" si="7"/>
        <v>0</v>
      </c>
    </row>
    <row r="8" spans="1:28" x14ac:dyDescent="0.35">
      <c r="A8" s="628"/>
      <c r="B8" s="325" t="s">
        <v>99</v>
      </c>
      <c r="C8" s="327">
        <v>150733440</v>
      </c>
      <c r="D8" s="222">
        <v>15</v>
      </c>
      <c r="E8" s="308">
        <v>10</v>
      </c>
      <c r="F8" s="169">
        <v>144647195.49590001</v>
      </c>
      <c r="G8" s="169"/>
      <c r="H8" s="327"/>
      <c r="I8" s="326">
        <f>F8-G8</f>
        <v>144647195.49590001</v>
      </c>
      <c r="J8" s="226">
        <f t="shared" si="1"/>
        <v>-6086244.5040999949</v>
      </c>
      <c r="K8" s="172">
        <f t="shared" si="2"/>
        <v>0.9596224666265164</v>
      </c>
      <c r="L8" s="369" t="str">
        <f t="shared" si="4"/>
        <v>0,35%</v>
      </c>
      <c r="M8" s="186">
        <f t="shared" si="5"/>
        <v>506265.18423565006</v>
      </c>
      <c r="O8" s="614"/>
      <c r="P8" s="165" t="s">
        <v>99</v>
      </c>
      <c r="Q8" s="327">
        <v>348192000</v>
      </c>
      <c r="R8" s="222">
        <v>20</v>
      </c>
      <c r="S8" s="308">
        <v>17</v>
      </c>
      <c r="T8" s="169">
        <v>213332351.35169983</v>
      </c>
      <c r="U8" s="169">
        <v>3329729.7297</v>
      </c>
      <c r="V8" s="327"/>
      <c r="W8" s="166">
        <f t="shared" si="3"/>
        <v>210002621.62199983</v>
      </c>
      <c r="X8" s="171">
        <f t="shared" si="8"/>
        <v>-138189378.37800017</v>
      </c>
      <c r="Y8" s="172">
        <f t="shared" si="9"/>
        <v>0.60312305171284764</v>
      </c>
      <c r="Z8" s="369" t="str">
        <f t="shared" si="6"/>
        <v>0,2%</v>
      </c>
      <c r="AA8" s="186">
        <f t="shared" si="7"/>
        <v>420005.24324399966</v>
      </c>
    </row>
    <row r="9" spans="1:28" x14ac:dyDescent="0.35">
      <c r="A9" s="628"/>
      <c r="B9" s="325" t="s">
        <v>100</v>
      </c>
      <c r="C9" s="327">
        <v>205545600</v>
      </c>
      <c r="D9" s="222">
        <v>11</v>
      </c>
      <c r="E9" s="308">
        <v>9</v>
      </c>
      <c r="F9" s="169">
        <v>153281805.0451</v>
      </c>
      <c r="G9" s="169"/>
      <c r="H9" s="327"/>
      <c r="I9" s="326">
        <f>F9-G9</f>
        <v>153281805.0451</v>
      </c>
      <c r="J9" s="226">
        <f t="shared" si="1"/>
        <v>-52263794.954899997</v>
      </c>
      <c r="K9" s="172">
        <f t="shared" si="2"/>
        <v>0.74573138537190775</v>
      </c>
      <c r="L9" s="369" t="str">
        <f t="shared" si="4"/>
        <v>0,2%</v>
      </c>
      <c r="M9" s="186">
        <f t="shared" si="5"/>
        <v>306563.61009020003</v>
      </c>
      <c r="O9" s="614"/>
      <c r="P9" s="165" t="s">
        <v>100</v>
      </c>
      <c r="Q9" s="327">
        <v>123552000</v>
      </c>
      <c r="R9" s="222">
        <v>11</v>
      </c>
      <c r="S9" s="308">
        <v>9</v>
      </c>
      <c r="T9" s="169">
        <v>44366107.206900001</v>
      </c>
      <c r="U9" s="169">
        <v>556800</v>
      </c>
      <c r="V9" s="327"/>
      <c r="W9" s="166">
        <f t="shared" si="3"/>
        <v>43809307.206900001</v>
      </c>
      <c r="X9" s="171">
        <f t="shared" si="8"/>
        <v>-79742692.793099999</v>
      </c>
      <c r="Y9" s="172">
        <f t="shared" si="9"/>
        <v>0.35458193478778166</v>
      </c>
      <c r="Z9" s="369">
        <f t="shared" si="6"/>
        <v>0</v>
      </c>
      <c r="AA9" s="186">
        <f t="shared" si="7"/>
        <v>0</v>
      </c>
    </row>
    <row r="10" spans="1:28" x14ac:dyDescent="0.35">
      <c r="A10" s="628"/>
      <c r="B10" s="325" t="s">
        <v>101</v>
      </c>
      <c r="C10" s="327">
        <v>465903360.00000006</v>
      </c>
      <c r="D10" s="222">
        <v>20</v>
      </c>
      <c r="E10" s="308">
        <v>19</v>
      </c>
      <c r="F10" s="169">
        <v>411014979.31489992</v>
      </c>
      <c r="G10" s="169">
        <v>1675675.6757</v>
      </c>
      <c r="H10" s="327"/>
      <c r="I10" s="326">
        <f t="shared" si="0"/>
        <v>409339303.63919991</v>
      </c>
      <c r="J10" s="226">
        <f t="shared" si="1"/>
        <v>-56564056.360800147</v>
      </c>
      <c r="K10" s="172">
        <f t="shared" si="2"/>
        <v>0.87859272712521297</v>
      </c>
      <c r="L10" s="369" t="str">
        <f t="shared" si="4"/>
        <v>0,35%</v>
      </c>
      <c r="M10" s="186">
        <f t="shared" si="5"/>
        <v>1432687.5627371997</v>
      </c>
      <c r="O10" s="614"/>
      <c r="P10" s="165" t="s">
        <v>101</v>
      </c>
      <c r="Q10" s="327">
        <v>112320000</v>
      </c>
      <c r="R10" s="222">
        <v>10</v>
      </c>
      <c r="S10" s="308">
        <v>5</v>
      </c>
      <c r="T10" s="169">
        <v>20321621.6215</v>
      </c>
      <c r="U10" s="169"/>
      <c r="V10" s="327"/>
      <c r="W10" s="166">
        <f t="shared" si="3"/>
        <v>20321621.6215</v>
      </c>
      <c r="X10" s="171">
        <f t="shared" si="8"/>
        <v>-91998378.3785</v>
      </c>
      <c r="Y10" s="172">
        <f t="shared" si="9"/>
        <v>0.18092611842503561</v>
      </c>
      <c r="Z10" s="369">
        <f t="shared" si="6"/>
        <v>0</v>
      </c>
      <c r="AA10" s="186">
        <f t="shared" si="7"/>
        <v>0</v>
      </c>
    </row>
    <row r="11" spans="1:28" s="199" customFormat="1" ht="14.5" customHeight="1" thickBot="1" x14ac:dyDescent="0.4">
      <c r="A11" s="628"/>
      <c r="B11" s="352" t="s">
        <v>77</v>
      </c>
      <c r="C11" s="329">
        <f t="shared" ref="C11:H11" si="10">SUM(C5:C10)</f>
        <v>1370304000</v>
      </c>
      <c r="D11" s="178">
        <f>SUM(D5:D10)</f>
        <v>95</v>
      </c>
      <c r="E11" s="178">
        <f t="shared" si="10"/>
        <v>74</v>
      </c>
      <c r="F11" s="329">
        <f>SUM(F5:F10)</f>
        <v>1075747396.6857998</v>
      </c>
      <c r="G11" s="330">
        <f t="shared" si="10"/>
        <v>5821531.5317000002</v>
      </c>
      <c r="H11" s="329">
        <f t="shared" si="10"/>
        <v>0</v>
      </c>
      <c r="I11" s="329">
        <f t="shared" si="0"/>
        <v>1069925865.1540998</v>
      </c>
      <c r="J11" s="329">
        <f>I11-C11</f>
        <v>-300378134.84590018</v>
      </c>
      <c r="K11" s="305">
        <f>I11/C11</f>
        <v>0.78079452818797856</v>
      </c>
      <c r="L11" s="369" t="str">
        <f>IF(K11&gt;100%,"CAPAI 100%",IF(K11&gt;90%,"CAPAI 90%","BELUM CAPAI"))</f>
        <v>BELUM CAPAI</v>
      </c>
      <c r="M11" s="202">
        <f>SUM(M5:M10)</f>
        <v>2987016.3146131998</v>
      </c>
      <c r="O11" s="615"/>
      <c r="P11" s="204" t="s">
        <v>77</v>
      </c>
      <c r="Q11" s="205">
        <f>SUM(Q5:Q10)</f>
        <v>1123200000</v>
      </c>
      <c r="R11" s="206">
        <f t="shared" ref="R11:V11" si="11">SUM(R5:R10)</f>
        <v>76</v>
      </c>
      <c r="S11" s="207">
        <f t="shared" si="11"/>
        <v>57</v>
      </c>
      <c r="T11" s="205">
        <f t="shared" si="11"/>
        <v>481485119.36979985</v>
      </c>
      <c r="U11" s="208">
        <f t="shared" si="11"/>
        <v>4529729.7297</v>
      </c>
      <c r="V11" s="205">
        <f t="shared" si="11"/>
        <v>0</v>
      </c>
      <c r="W11" s="205">
        <f t="shared" si="3"/>
        <v>476955389.64009982</v>
      </c>
      <c r="X11" s="205">
        <f t="shared" si="8"/>
        <v>-646244610.35990024</v>
      </c>
      <c r="Y11" s="209">
        <f t="shared" si="9"/>
        <v>0.42463976997872133</v>
      </c>
      <c r="Z11" s="369" t="str">
        <f>IF(Y11&gt;100%,"CAPAI 100%",IF(Y11&gt;90%,"CAPAI 90%","BELUM CAPAI"))</f>
        <v>BELUM CAPAI</v>
      </c>
      <c r="AA11" s="202">
        <f>SUM(AA5:AA10)</f>
        <v>420005.24324399966</v>
      </c>
      <c r="AB11" s="194"/>
    </row>
    <row r="12" spans="1:28" ht="14.5" customHeight="1" x14ac:dyDescent="0.55000000000000004">
      <c r="B12" s="324" t="s">
        <v>86</v>
      </c>
      <c r="C12" s="243">
        <f>C13*C11</f>
        <v>1233273600</v>
      </c>
      <c r="D12" s="597"/>
      <c r="E12" s="598"/>
      <c r="F12" s="598"/>
      <c r="G12" s="598"/>
      <c r="H12" s="599"/>
      <c r="I12" s="243">
        <f>I11</f>
        <v>1069925865.1540998</v>
      </c>
      <c r="J12" s="243">
        <f>I12-C12</f>
        <v>-163347734.84590018</v>
      </c>
      <c r="K12" s="183">
        <f t="shared" si="2"/>
        <v>0.86754947576442065</v>
      </c>
      <c r="O12" s="309"/>
      <c r="P12" s="324" t="str">
        <f>$B$12</f>
        <v>TARGET Q2</v>
      </c>
      <c r="Q12" s="243">
        <f>Q13*Q11</f>
        <v>1010880000</v>
      </c>
      <c r="R12" s="597"/>
      <c r="S12" s="598"/>
      <c r="T12" s="598"/>
      <c r="U12" s="598"/>
      <c r="V12" s="599"/>
      <c r="W12" s="243">
        <f>W11</f>
        <v>476955389.64009982</v>
      </c>
      <c r="X12" s="243">
        <f>W12-Q12</f>
        <v>-533924610.35990018</v>
      </c>
      <c r="Y12" s="183">
        <f>W12/Q12</f>
        <v>0.47182196664302373</v>
      </c>
      <c r="Z12" s="192"/>
    </row>
    <row r="13" spans="1:28" ht="24" thickBot="1" x14ac:dyDescent="0.6">
      <c r="C13" s="210">
        <v>0.9</v>
      </c>
      <c r="O13" s="309"/>
      <c r="Q13" s="210">
        <v>0.9</v>
      </c>
    </row>
    <row r="14" spans="1:28" ht="19.5" customHeight="1" x14ac:dyDescent="0.35">
      <c r="A14" s="623">
        <v>2</v>
      </c>
      <c r="B14" s="352" t="s">
        <v>57</v>
      </c>
      <c r="C14" s="353" t="s">
        <v>102</v>
      </c>
      <c r="D14" s="616" t="s">
        <v>91</v>
      </c>
      <c r="E14" s="616" t="s">
        <v>62</v>
      </c>
      <c r="F14" s="604" t="s">
        <v>103</v>
      </c>
      <c r="G14" s="605"/>
      <c r="H14" s="605"/>
      <c r="I14" s="606"/>
      <c r="J14" s="587" t="s">
        <v>65</v>
      </c>
      <c r="K14" s="352" t="s">
        <v>66</v>
      </c>
      <c r="O14" s="607">
        <v>2</v>
      </c>
      <c r="P14" s="354" t="s">
        <v>57</v>
      </c>
      <c r="Q14" s="355" t="s">
        <v>104</v>
      </c>
      <c r="R14" s="591" t="s">
        <v>91</v>
      </c>
      <c r="S14" s="591" t="s">
        <v>62</v>
      </c>
      <c r="T14" s="610" t="s">
        <v>103</v>
      </c>
      <c r="U14" s="611"/>
      <c r="V14" s="611"/>
      <c r="W14" s="612"/>
      <c r="X14" s="595" t="s">
        <v>65</v>
      </c>
      <c r="Y14" s="354" t="s">
        <v>66</v>
      </c>
    </row>
    <row r="15" spans="1:28" ht="36" customHeight="1" x14ac:dyDescent="0.35">
      <c r="A15" s="623"/>
      <c r="B15" s="352" t="s">
        <v>93</v>
      </c>
      <c r="C15" s="353" t="str">
        <f>C4</f>
        <v>TARGET 100%</v>
      </c>
      <c r="D15" s="617"/>
      <c r="E15" s="617"/>
      <c r="F15" s="163" t="str">
        <f>F4</f>
        <v>OMSET MEI
 (1-31)</v>
      </c>
      <c r="G15" s="163" t="str">
        <f>G4</f>
        <v>OMSET PRODUK</v>
      </c>
      <c r="H15" s="353" t="s">
        <v>63</v>
      </c>
      <c r="I15" s="353" t="s">
        <v>64</v>
      </c>
      <c r="J15" s="587"/>
      <c r="K15" s="164">
        <f>K4</f>
        <v>1</v>
      </c>
      <c r="L15" s="211"/>
      <c r="M15" s="214"/>
      <c r="O15" s="608"/>
      <c r="P15" s="354" t="s">
        <v>93</v>
      </c>
      <c r="Q15" s="355" t="str">
        <f>Q4</f>
        <v>TARGET 100%</v>
      </c>
      <c r="R15" s="592"/>
      <c r="S15" s="592"/>
      <c r="T15" s="200" t="str">
        <f>T4</f>
        <v>OMSET MEI
 (1-31)</v>
      </c>
      <c r="U15" s="200" t="str">
        <f>G4</f>
        <v>OMSET PRODUK</v>
      </c>
      <c r="V15" s="355" t="s">
        <v>63</v>
      </c>
      <c r="W15" s="355" t="s">
        <v>64</v>
      </c>
      <c r="X15" s="596"/>
      <c r="Y15" s="201">
        <f>K15</f>
        <v>1</v>
      </c>
    </row>
    <row r="16" spans="1:28" ht="14.5" customHeight="1" x14ac:dyDescent="0.35">
      <c r="A16" s="623"/>
      <c r="B16" s="325" t="s">
        <v>96</v>
      </c>
      <c r="C16" s="326">
        <v>395865600</v>
      </c>
      <c r="D16" s="222">
        <v>19</v>
      </c>
      <c r="E16" s="308">
        <v>15</v>
      </c>
      <c r="F16" s="169">
        <v>161878885.58569998</v>
      </c>
      <c r="G16" s="169">
        <v>1555045.0451</v>
      </c>
      <c r="H16" s="326"/>
      <c r="I16" s="326">
        <f t="shared" ref="I16:I22" si="12">F16-G16</f>
        <v>160323840.54059997</v>
      </c>
      <c r="J16" s="226">
        <f t="shared" ref="J16:J22" si="13">I16-C16</f>
        <v>-235541759.45940003</v>
      </c>
      <c r="K16" s="172">
        <f t="shared" ref="K16:K23" si="14">I16/C16</f>
        <v>0.40499563624775675</v>
      </c>
      <c r="L16" s="369">
        <f>IF(K16&gt;120%,"0,55%",IF(K16&gt;100%,"0,45%",IF(K16&gt;80%,"0,35%",IF(K16&gt;60%,"0,2%",0))))</f>
        <v>0</v>
      </c>
      <c r="M16" s="186">
        <f>L16*I16</f>
        <v>0</v>
      </c>
      <c r="O16" s="608"/>
      <c r="P16" s="325" t="s">
        <v>96</v>
      </c>
      <c r="Q16" s="326">
        <v>227635200</v>
      </c>
      <c r="R16" s="222">
        <v>8</v>
      </c>
      <c r="S16" s="308">
        <v>10</v>
      </c>
      <c r="T16" s="169">
        <v>95116934.684999928</v>
      </c>
      <c r="U16" s="169">
        <v>1392000</v>
      </c>
      <c r="V16" s="326"/>
      <c r="W16" s="326">
        <f t="shared" ref="W16:W22" si="15">T16-U16</f>
        <v>93724934.684999928</v>
      </c>
      <c r="X16" s="226">
        <f t="shared" ref="X16:X22" si="16">W16-Q16</f>
        <v>-133910265.31500007</v>
      </c>
      <c r="Y16" s="172">
        <f t="shared" ref="Y16:Y21" si="17">W16/Q16</f>
        <v>0.41173304781070735</v>
      </c>
      <c r="Z16" s="369">
        <f>IF(Y16&gt;120%,"0,55%",IF(Y16&gt;100%,"0,45%",IF(Y16&gt;80%,"0,35%",IF(Y16&gt;60%,"0,2%",0))))</f>
        <v>0</v>
      </c>
      <c r="AA16" s="186">
        <f>Z16*W16</f>
        <v>0</v>
      </c>
    </row>
    <row r="17" spans="1:27" ht="14.5" customHeight="1" x14ac:dyDescent="0.35">
      <c r="A17" s="623"/>
      <c r="B17" s="325" t="s">
        <v>97</v>
      </c>
      <c r="C17" s="327">
        <v>258835200.00000003</v>
      </c>
      <c r="D17" s="222">
        <v>12</v>
      </c>
      <c r="E17" s="308">
        <v>6</v>
      </c>
      <c r="F17" s="169">
        <v>72613476.56719999</v>
      </c>
      <c r="G17" s="328"/>
      <c r="H17" s="327"/>
      <c r="I17" s="326">
        <f t="shared" si="12"/>
        <v>72613476.56719999</v>
      </c>
      <c r="J17" s="226">
        <f t="shared" si="13"/>
        <v>-186221723.43280005</v>
      </c>
      <c r="K17" s="172">
        <f t="shared" si="14"/>
        <v>0.28053941877766231</v>
      </c>
      <c r="L17" s="369">
        <f t="shared" ref="L17:L21" si="18">IF(K17&gt;120%,"0,55%",IF(K17&gt;100%,"0,45%",IF(K17&gt;80%,"0,35%",IF(K17&gt;60%,"0,2%",0))))</f>
        <v>0</v>
      </c>
      <c r="M17" s="186">
        <f t="shared" ref="M17:M21" si="19">L17*I17</f>
        <v>0</v>
      </c>
      <c r="O17" s="608"/>
      <c r="P17" s="325" t="s">
        <v>97</v>
      </c>
      <c r="Q17" s="327">
        <v>199180800.00000003</v>
      </c>
      <c r="R17" s="222">
        <v>15</v>
      </c>
      <c r="S17" s="308">
        <v>13</v>
      </c>
      <c r="T17" s="169">
        <v>109270126.12649995</v>
      </c>
      <c r="U17" s="328"/>
      <c r="V17" s="327"/>
      <c r="W17" s="326">
        <f t="shared" si="15"/>
        <v>109270126.12649995</v>
      </c>
      <c r="X17" s="226">
        <f t="shared" si="16"/>
        <v>-89910673.873500079</v>
      </c>
      <c r="Y17" s="172">
        <f t="shared" si="17"/>
        <v>0.54859768675745824</v>
      </c>
      <c r="Z17" s="369">
        <f t="shared" ref="Z17:Z21" si="20">IF(Y17&gt;120%,"0,55%",IF(Y17&gt;100%,"0,45%",IF(Y17&gt;80%,"0,35%",IF(Y17&gt;60%,"0,2%",0))))</f>
        <v>0</v>
      </c>
      <c r="AA17" s="186">
        <f t="shared" ref="AA17:AA21" si="21">Z17*W17</f>
        <v>0</v>
      </c>
    </row>
    <row r="18" spans="1:27" ht="14.5" customHeight="1" x14ac:dyDescent="0.35">
      <c r="A18" s="623"/>
      <c r="B18" s="325" t="s">
        <v>98</v>
      </c>
      <c r="C18" s="327">
        <v>228384000</v>
      </c>
      <c r="D18" s="222">
        <v>18</v>
      </c>
      <c r="E18" s="308">
        <v>18</v>
      </c>
      <c r="F18" s="169">
        <v>82248610.811800003</v>
      </c>
      <c r="G18" s="169">
        <v>1502072.0721</v>
      </c>
      <c r="H18" s="327"/>
      <c r="I18" s="326">
        <f t="shared" si="12"/>
        <v>80746538.739700004</v>
      </c>
      <c r="J18" s="226">
        <f t="shared" si="13"/>
        <v>-147637461.26029998</v>
      </c>
      <c r="K18" s="172">
        <f t="shared" si="14"/>
        <v>0.353556022924986</v>
      </c>
      <c r="L18" s="369">
        <f t="shared" si="18"/>
        <v>0</v>
      </c>
      <c r="M18" s="186">
        <f t="shared" si="19"/>
        <v>0</v>
      </c>
      <c r="O18" s="608"/>
      <c r="P18" s="325" t="s">
        <v>98</v>
      </c>
      <c r="Q18" s="327">
        <v>327225600</v>
      </c>
      <c r="R18" s="222">
        <v>16</v>
      </c>
      <c r="S18" s="308">
        <v>12</v>
      </c>
      <c r="T18" s="169">
        <v>122752619.82000001</v>
      </c>
      <c r="U18" s="169"/>
      <c r="V18" s="327"/>
      <c r="W18" s="326">
        <f t="shared" si="15"/>
        <v>122752619.82000001</v>
      </c>
      <c r="X18" s="226">
        <f t="shared" si="16"/>
        <v>-204472980.18000001</v>
      </c>
      <c r="Y18" s="172">
        <f t="shared" si="17"/>
        <v>0.37513146838144695</v>
      </c>
      <c r="Z18" s="369">
        <f t="shared" si="20"/>
        <v>0</v>
      </c>
      <c r="AA18" s="186">
        <f t="shared" si="21"/>
        <v>0</v>
      </c>
    </row>
    <row r="19" spans="1:27" ht="14.5" customHeight="1" x14ac:dyDescent="0.35">
      <c r="A19" s="623"/>
      <c r="B19" s="325" t="s">
        <v>99</v>
      </c>
      <c r="C19" s="327">
        <v>243609600</v>
      </c>
      <c r="D19" s="222">
        <v>10</v>
      </c>
      <c r="E19" s="308">
        <v>9</v>
      </c>
      <c r="F19" s="169">
        <v>86204286.03580001</v>
      </c>
      <c r="G19" s="169"/>
      <c r="H19" s="327"/>
      <c r="I19" s="326">
        <f t="shared" si="12"/>
        <v>86204286.03580001</v>
      </c>
      <c r="J19" s="226">
        <f t="shared" si="13"/>
        <v>-157405313.96419999</v>
      </c>
      <c r="K19" s="172">
        <f t="shared" si="14"/>
        <v>0.35386243413970553</v>
      </c>
      <c r="L19" s="369">
        <f t="shared" si="18"/>
        <v>0</v>
      </c>
      <c r="M19" s="186">
        <f t="shared" si="19"/>
        <v>0</v>
      </c>
      <c r="O19" s="608"/>
      <c r="P19" s="325" t="s">
        <v>99</v>
      </c>
      <c r="Q19" s="327">
        <v>227635200</v>
      </c>
      <c r="R19" s="222">
        <v>16</v>
      </c>
      <c r="S19" s="308">
        <v>12</v>
      </c>
      <c r="T19" s="169">
        <v>83436031.351000011</v>
      </c>
      <c r="U19" s="169">
        <v>836280</v>
      </c>
      <c r="V19" s="327"/>
      <c r="W19" s="326">
        <f t="shared" si="15"/>
        <v>82599751.351000011</v>
      </c>
      <c r="X19" s="226">
        <f t="shared" si="16"/>
        <v>-145035448.64899999</v>
      </c>
      <c r="Y19" s="172">
        <f t="shared" si="17"/>
        <v>0.36286018748857829</v>
      </c>
      <c r="Z19" s="369">
        <f t="shared" si="20"/>
        <v>0</v>
      </c>
      <c r="AA19" s="186">
        <f t="shared" si="21"/>
        <v>0</v>
      </c>
    </row>
    <row r="20" spans="1:27" ht="14.5" customHeight="1" x14ac:dyDescent="0.35">
      <c r="A20" s="623"/>
      <c r="B20" s="325" t="s">
        <v>100</v>
      </c>
      <c r="C20" s="327">
        <v>182707200</v>
      </c>
      <c r="D20" s="222">
        <v>15</v>
      </c>
      <c r="E20" s="308">
        <v>10</v>
      </c>
      <c r="F20" s="169">
        <v>149078722.52269998</v>
      </c>
      <c r="G20" s="169"/>
      <c r="H20" s="327"/>
      <c r="I20" s="326">
        <f t="shared" si="12"/>
        <v>149078722.52269998</v>
      </c>
      <c r="J20" s="226">
        <f t="shared" si="13"/>
        <v>-33628477.477300018</v>
      </c>
      <c r="K20" s="172">
        <f t="shared" si="14"/>
        <v>0.81594333733262825</v>
      </c>
      <c r="L20" s="369" t="str">
        <f t="shared" si="18"/>
        <v>0,35%</v>
      </c>
      <c r="M20" s="186">
        <f t="shared" si="19"/>
        <v>521775.52882944996</v>
      </c>
      <c r="O20" s="608"/>
      <c r="P20" s="325" t="s">
        <v>100</v>
      </c>
      <c r="Q20" s="327">
        <v>213408000</v>
      </c>
      <c r="R20" s="222">
        <v>10</v>
      </c>
      <c r="S20" s="308">
        <v>6</v>
      </c>
      <c r="T20" s="169">
        <v>57556207.657500014</v>
      </c>
      <c r="U20" s="169">
        <v>2913145.9459000002</v>
      </c>
      <c r="V20" s="327"/>
      <c r="W20" s="326">
        <f>T20-U20</f>
        <v>54643061.711600013</v>
      </c>
      <c r="X20" s="226">
        <f t="shared" si="16"/>
        <v>-158764938.28839999</v>
      </c>
      <c r="Y20" s="172">
        <f t="shared" si="17"/>
        <v>0.2560497343660969</v>
      </c>
      <c r="Z20" s="369">
        <f t="shared" si="20"/>
        <v>0</v>
      </c>
      <c r="AA20" s="186">
        <f t="shared" si="21"/>
        <v>0</v>
      </c>
    </row>
    <row r="21" spans="1:27" ht="14.5" customHeight="1" x14ac:dyDescent="0.35">
      <c r="A21" s="623"/>
      <c r="B21" s="325" t="s">
        <v>101</v>
      </c>
      <c r="C21" s="327">
        <v>213158400.00000003</v>
      </c>
      <c r="D21" s="222">
        <v>15</v>
      </c>
      <c r="E21" s="308">
        <v>12</v>
      </c>
      <c r="F21" s="169">
        <v>131099298.19830002</v>
      </c>
      <c r="G21" s="169">
        <v>5670090.0900999997</v>
      </c>
      <c r="H21" s="327"/>
      <c r="I21" s="326">
        <f t="shared" si="12"/>
        <v>125429208.10820001</v>
      </c>
      <c r="J21" s="226">
        <f t="shared" si="13"/>
        <v>-87729191.891800016</v>
      </c>
      <c r="K21" s="172">
        <f t="shared" si="14"/>
        <v>0.58843192718748116</v>
      </c>
      <c r="L21" s="369">
        <f t="shared" si="18"/>
        <v>0</v>
      </c>
      <c r="M21" s="186">
        <f t="shared" si="19"/>
        <v>0</v>
      </c>
      <c r="O21" s="608"/>
      <c r="P21" s="325" t="s">
        <v>101</v>
      </c>
      <c r="Q21" s="327">
        <v>227635200</v>
      </c>
      <c r="R21" s="222">
        <v>14</v>
      </c>
      <c r="S21" s="308">
        <v>8</v>
      </c>
      <c r="T21" s="169">
        <v>79171173.874200001</v>
      </c>
      <c r="U21" s="169">
        <v>16060800</v>
      </c>
      <c r="V21" s="327"/>
      <c r="W21" s="326">
        <f t="shared" si="15"/>
        <v>63110373.874200001</v>
      </c>
      <c r="X21" s="226">
        <f t="shared" si="16"/>
        <v>-164524826.12580001</v>
      </c>
      <c r="Y21" s="172">
        <f t="shared" si="17"/>
        <v>0.27724347497311491</v>
      </c>
      <c r="Z21" s="369">
        <f t="shared" si="20"/>
        <v>0</v>
      </c>
      <c r="AA21" s="186">
        <f t="shared" si="21"/>
        <v>0</v>
      </c>
    </row>
    <row r="22" spans="1:27" ht="14.5" customHeight="1" thickBot="1" x14ac:dyDescent="0.4">
      <c r="A22" s="623"/>
      <c r="B22" s="352" t="s">
        <v>77</v>
      </c>
      <c r="C22" s="329">
        <f t="shared" ref="C22:H22" si="22">SUM(C16:C21)</f>
        <v>1522560000</v>
      </c>
      <c r="D22" s="178">
        <f>SUM(D16:D21)</f>
        <v>89</v>
      </c>
      <c r="E22" s="178">
        <f t="shared" si="22"/>
        <v>70</v>
      </c>
      <c r="F22" s="329">
        <f>SUM(F16:F21)</f>
        <v>683123279.72149992</v>
      </c>
      <c r="G22" s="330">
        <f t="shared" si="22"/>
        <v>8727207.2072999999</v>
      </c>
      <c r="H22" s="329">
        <f t="shared" si="22"/>
        <v>0</v>
      </c>
      <c r="I22" s="329">
        <f t="shared" si="12"/>
        <v>674396072.51419997</v>
      </c>
      <c r="J22" s="329">
        <f t="shared" si="13"/>
        <v>-848163927.48580003</v>
      </c>
      <c r="K22" s="305">
        <f t="shared" si="14"/>
        <v>0.4429356298038829</v>
      </c>
      <c r="L22" s="369" t="str">
        <f>IF(K22&gt;100%,"CAPAI 100%",IF(K22&gt;90%,"CAPAI 90%","BELUM CAPAI"))</f>
        <v>BELUM CAPAI</v>
      </c>
      <c r="M22" s="202">
        <f>SUM(M16:M21)</f>
        <v>521775.52882944996</v>
      </c>
      <c r="O22" s="609"/>
      <c r="P22" s="354" t="s">
        <v>77</v>
      </c>
      <c r="Q22" s="336">
        <f t="shared" ref="Q22:V22" si="23">SUM(Q16:Q21)</f>
        <v>1422720000</v>
      </c>
      <c r="R22" s="207">
        <f>SUM(R16:R21)</f>
        <v>79</v>
      </c>
      <c r="S22" s="207">
        <f t="shared" si="23"/>
        <v>61</v>
      </c>
      <c r="T22" s="336">
        <f t="shared" si="23"/>
        <v>547303093.51419997</v>
      </c>
      <c r="U22" s="337">
        <f t="shared" si="23"/>
        <v>21202225.945900001</v>
      </c>
      <c r="V22" s="336">
        <f t="shared" si="23"/>
        <v>0</v>
      </c>
      <c r="W22" s="336">
        <f t="shared" si="15"/>
        <v>526100867.56829995</v>
      </c>
      <c r="X22" s="336">
        <f t="shared" si="16"/>
        <v>-896619132.43169999</v>
      </c>
      <c r="Y22" s="313">
        <f>W22/Q22</f>
        <v>0.36978524767227561</v>
      </c>
      <c r="Z22" s="369" t="str">
        <f>IF(Y22&gt;100%,"CAPAI 100%",IF(Y22&gt;90%,"CAPAI 90%","BELUM CAPAI"))</f>
        <v>BELUM CAPAI</v>
      </c>
      <c r="AA22" s="202">
        <f>SUM(AA16:AA21)</f>
        <v>0</v>
      </c>
    </row>
    <row r="23" spans="1:27" ht="14.5" customHeight="1" x14ac:dyDescent="0.55000000000000004">
      <c r="B23" s="324" t="str">
        <f>$B$12</f>
        <v>TARGET Q2</v>
      </c>
      <c r="C23" s="243">
        <f>C24*C22</f>
        <v>1370304000</v>
      </c>
      <c r="D23" s="597"/>
      <c r="E23" s="598"/>
      <c r="F23" s="598"/>
      <c r="G23" s="598"/>
      <c r="H23" s="599"/>
      <c r="I23" s="243">
        <f>I22</f>
        <v>674396072.51419997</v>
      </c>
      <c r="J23" s="243">
        <f>I23-C23</f>
        <v>-695907927.48580003</v>
      </c>
      <c r="K23" s="183">
        <f t="shared" si="14"/>
        <v>0.49215069978209214</v>
      </c>
      <c r="O23" s="309"/>
      <c r="P23" s="324" t="str">
        <f>$B$12</f>
        <v>TARGET Q2</v>
      </c>
      <c r="Q23" s="243">
        <f>Q24*Q22</f>
        <v>1280448000</v>
      </c>
      <c r="R23" s="597"/>
      <c r="S23" s="598"/>
      <c r="T23" s="598"/>
      <c r="U23" s="598"/>
      <c r="V23" s="599"/>
      <c r="W23" s="243">
        <f>W22</f>
        <v>526100867.56829995</v>
      </c>
      <c r="X23" s="243">
        <f>W23-Q23</f>
        <v>-754347132.43169999</v>
      </c>
      <c r="Y23" s="183">
        <f>W23/Q23</f>
        <v>0.41087249741363957</v>
      </c>
      <c r="Z23" s="192"/>
    </row>
    <row r="24" spans="1:27" ht="24" thickBot="1" x14ac:dyDescent="0.6">
      <c r="C24" s="210">
        <v>0.9</v>
      </c>
      <c r="O24" s="309"/>
      <c r="Q24" s="210">
        <v>0.9</v>
      </c>
    </row>
    <row r="25" spans="1:27" ht="19.5" customHeight="1" x14ac:dyDescent="0.35">
      <c r="A25" s="623">
        <v>3</v>
      </c>
      <c r="B25" s="352" t="s">
        <v>57</v>
      </c>
      <c r="C25" s="353" t="s">
        <v>105</v>
      </c>
      <c r="D25" s="616" t="s">
        <v>91</v>
      </c>
      <c r="E25" s="616" t="s">
        <v>62</v>
      </c>
      <c r="F25" s="604" t="s">
        <v>106</v>
      </c>
      <c r="G25" s="605"/>
      <c r="H25" s="605"/>
      <c r="I25" s="606"/>
      <c r="J25" s="587" t="s">
        <v>65</v>
      </c>
      <c r="K25" s="352" t="s">
        <v>66</v>
      </c>
      <c r="O25" s="613">
        <v>3</v>
      </c>
      <c r="P25" s="354" t="s">
        <v>57</v>
      </c>
      <c r="Q25" s="355" t="s">
        <v>156</v>
      </c>
      <c r="R25" s="591" t="s">
        <v>91</v>
      </c>
      <c r="S25" s="591" t="s">
        <v>62</v>
      </c>
      <c r="T25" s="610" t="s">
        <v>107</v>
      </c>
      <c r="U25" s="611"/>
      <c r="V25" s="611"/>
      <c r="W25" s="612"/>
      <c r="X25" s="595" t="s">
        <v>65</v>
      </c>
      <c r="Y25" s="354" t="s">
        <v>66</v>
      </c>
    </row>
    <row r="26" spans="1:27" ht="36" customHeight="1" x14ac:dyDescent="0.35">
      <c r="A26" s="623"/>
      <c r="B26" s="352" t="s">
        <v>93</v>
      </c>
      <c r="C26" s="353" t="str">
        <f>C15</f>
        <v>TARGET 100%</v>
      </c>
      <c r="D26" s="617"/>
      <c r="E26" s="617"/>
      <c r="F26" s="163" t="str">
        <f>F4</f>
        <v>OMSET MEI
 (1-31)</v>
      </c>
      <c r="G26" s="163" t="str">
        <f>G4</f>
        <v>OMSET PRODUK</v>
      </c>
      <c r="H26" s="353" t="s">
        <v>63</v>
      </c>
      <c r="I26" s="353" t="s">
        <v>64</v>
      </c>
      <c r="J26" s="587"/>
      <c r="K26" s="164">
        <f>K15</f>
        <v>1</v>
      </c>
      <c r="O26" s="614"/>
      <c r="P26" s="354" t="s">
        <v>93</v>
      </c>
      <c r="Q26" s="355" t="str">
        <f>Q15</f>
        <v>TARGET 100%</v>
      </c>
      <c r="R26" s="592"/>
      <c r="S26" s="592"/>
      <c r="T26" s="200" t="str">
        <f>T4</f>
        <v>OMSET MEI
 (1-31)</v>
      </c>
      <c r="U26" s="200" t="str">
        <f>G4</f>
        <v>OMSET PRODUK</v>
      </c>
      <c r="V26" s="355" t="s">
        <v>63</v>
      </c>
      <c r="W26" s="355" t="s">
        <v>64</v>
      </c>
      <c r="X26" s="596"/>
      <c r="Y26" s="201">
        <f>K26</f>
        <v>1</v>
      </c>
    </row>
    <row r="27" spans="1:27" ht="14.5" customHeight="1" x14ac:dyDescent="0.35">
      <c r="A27" s="623"/>
      <c r="B27" s="325" t="s">
        <v>96</v>
      </c>
      <c r="C27" s="326">
        <v>361608000</v>
      </c>
      <c r="D27" s="222">
        <v>13</v>
      </c>
      <c r="E27" s="308">
        <v>11</v>
      </c>
      <c r="F27" s="169">
        <v>382725825.20349979</v>
      </c>
      <c r="G27" s="169">
        <v>1239999.9840000002</v>
      </c>
      <c r="H27" s="326"/>
      <c r="I27" s="326">
        <f t="shared" ref="I27:I33" si="24">F27-G27</f>
        <v>381485825.21949977</v>
      </c>
      <c r="J27" s="226">
        <f t="shared" ref="J27:J33" si="25">I27-C27</f>
        <v>19877825.219499767</v>
      </c>
      <c r="K27" s="172">
        <f t="shared" ref="K27:K34" si="26">I27/C27</f>
        <v>1.054970645614864</v>
      </c>
      <c r="L27" s="369" t="str">
        <f>IF(K27&gt;120%,"0,55%",IF(K27&gt;100%,"0,45%",IF(K27&gt;80%,"0,35%",IF(K27&gt;60%,"0,2%",0))))</f>
        <v>0,45%</v>
      </c>
      <c r="M27" s="186">
        <f>L27*I27</f>
        <v>1716686.2134877488</v>
      </c>
      <c r="O27" s="614"/>
      <c r="P27" s="325" t="s">
        <v>96</v>
      </c>
      <c r="Q27" s="326">
        <v>229132800.00000003</v>
      </c>
      <c r="R27" s="222">
        <v>12</v>
      </c>
      <c r="S27" s="308">
        <v>8</v>
      </c>
      <c r="T27" s="169">
        <v>106380734.23449998</v>
      </c>
      <c r="U27" s="169">
        <v>3942657.6577000003</v>
      </c>
      <c r="V27" s="326"/>
      <c r="W27" s="326">
        <f t="shared" ref="W27:W33" si="27">T27-U27</f>
        <v>102438076.57679997</v>
      </c>
      <c r="X27" s="226">
        <f t="shared" ref="X27:X33" si="28">W27-Q27</f>
        <v>-126694723.42320006</v>
      </c>
      <c r="Y27" s="172">
        <f t="shared" ref="Y27:Y33" si="29">W27/Q27</f>
        <v>0.44706858457977189</v>
      </c>
      <c r="Z27" s="369">
        <f>IF(Y27&gt;120%,"0,55%",IF(Y27&gt;100%,"0,45%",IF(Y27&gt;80%,"0,35%",IF(Y27&gt;60%,"0,2%",0))))</f>
        <v>0</v>
      </c>
      <c r="AA27" s="186">
        <f>Z27*W27</f>
        <v>0</v>
      </c>
    </row>
    <row r="28" spans="1:27" ht="14.5" customHeight="1" x14ac:dyDescent="0.35">
      <c r="A28" s="623"/>
      <c r="B28" s="325" t="s">
        <v>97</v>
      </c>
      <c r="C28" s="327">
        <v>245893440.00000003</v>
      </c>
      <c r="D28" s="222">
        <v>19</v>
      </c>
      <c r="E28" s="308">
        <v>17</v>
      </c>
      <c r="F28" s="169">
        <v>284135053.06249994</v>
      </c>
      <c r="G28" s="328">
        <v>27772162.1622</v>
      </c>
      <c r="H28" s="327"/>
      <c r="I28" s="326">
        <f t="shared" si="24"/>
        <v>256362890.90029994</v>
      </c>
      <c r="J28" s="226">
        <f t="shared" si="25"/>
        <v>10469450.900299907</v>
      </c>
      <c r="K28" s="172">
        <f t="shared" si="26"/>
        <v>1.0425771866882658</v>
      </c>
      <c r="L28" s="369" t="str">
        <f t="shared" ref="L28:L32" si="30">IF(K28&gt;120%,"0,55%",IF(K28&gt;100%,"0,45%",IF(K28&gt;80%,"0,35%",IF(K28&gt;60%,"0,2%",0))))</f>
        <v>0,45%</v>
      </c>
      <c r="M28" s="186">
        <f t="shared" ref="M28:M32" si="31">L28*I28</f>
        <v>1153633.0090513497</v>
      </c>
      <c r="O28" s="614"/>
      <c r="P28" s="325" t="s">
        <v>97</v>
      </c>
      <c r="Q28" s="327">
        <v>404352000</v>
      </c>
      <c r="R28" s="222">
        <v>14</v>
      </c>
      <c r="S28" s="308">
        <v>13</v>
      </c>
      <c r="T28" s="169">
        <v>248517666.667</v>
      </c>
      <c r="U28" s="328">
        <v>2054590.0901000001</v>
      </c>
      <c r="V28" s="327"/>
      <c r="W28" s="326">
        <f t="shared" si="27"/>
        <v>246463076.57690001</v>
      </c>
      <c r="X28" s="226">
        <f t="shared" si="28"/>
        <v>-157888923.42309999</v>
      </c>
      <c r="Y28" s="172">
        <f t="shared" si="29"/>
        <v>0.60952604803957944</v>
      </c>
      <c r="Z28" s="369" t="str">
        <f t="shared" ref="Z28:Z32" si="32">IF(Y28&gt;120%,"0,55%",IF(Y28&gt;100%,"0,45%",IF(Y28&gt;80%,"0,35%",IF(Y28&gt;60%,"0,2%",0))))</f>
        <v>0,2%</v>
      </c>
      <c r="AA28" s="186">
        <f t="shared" ref="AA28:AA32" si="33">Z28*W28</f>
        <v>492926.1531538</v>
      </c>
    </row>
    <row r="29" spans="1:27" ht="14.5" customHeight="1" x14ac:dyDescent="0.35">
      <c r="A29" s="623"/>
      <c r="B29" s="325" t="s">
        <v>98</v>
      </c>
      <c r="C29" s="327">
        <v>173571840</v>
      </c>
      <c r="D29" s="222">
        <v>22</v>
      </c>
      <c r="E29" s="308">
        <v>20</v>
      </c>
      <c r="F29" s="169">
        <v>217857685.58489996</v>
      </c>
      <c r="G29" s="169">
        <v>2923063.0630999999</v>
      </c>
      <c r="H29" s="327"/>
      <c r="I29" s="326">
        <f t="shared" si="24"/>
        <v>214934622.52179995</v>
      </c>
      <c r="J29" s="226">
        <f t="shared" si="25"/>
        <v>41362782.521799952</v>
      </c>
      <c r="K29" s="172">
        <f t="shared" si="26"/>
        <v>1.238303531965784</v>
      </c>
      <c r="L29" s="369" t="str">
        <f t="shared" si="30"/>
        <v>0,55%</v>
      </c>
      <c r="M29" s="186">
        <f t="shared" si="31"/>
        <v>1182140.4238698997</v>
      </c>
      <c r="O29" s="614"/>
      <c r="P29" s="325" t="s">
        <v>98</v>
      </c>
      <c r="Q29" s="327">
        <v>202176000</v>
      </c>
      <c r="R29" s="222">
        <v>10</v>
      </c>
      <c r="S29" s="308">
        <v>7</v>
      </c>
      <c r="T29" s="169">
        <v>73504225.224900022</v>
      </c>
      <c r="U29" s="169">
        <v>905427.027</v>
      </c>
      <c r="V29" s="327"/>
      <c r="W29" s="326">
        <f t="shared" si="27"/>
        <v>72598798.197900027</v>
      </c>
      <c r="X29" s="226">
        <f t="shared" si="28"/>
        <v>-129577201.80209997</v>
      </c>
      <c r="Y29" s="172">
        <f t="shared" si="29"/>
        <v>0.3590871230902779</v>
      </c>
      <c r="Z29" s="369">
        <f t="shared" si="32"/>
        <v>0</v>
      </c>
      <c r="AA29" s="186">
        <f t="shared" si="33"/>
        <v>0</v>
      </c>
    </row>
    <row r="30" spans="1:27" ht="14.5" customHeight="1" x14ac:dyDescent="0.35">
      <c r="A30" s="623"/>
      <c r="B30" s="325" t="s">
        <v>99</v>
      </c>
      <c r="C30" s="327">
        <v>188036160</v>
      </c>
      <c r="D30" s="222">
        <v>8</v>
      </c>
      <c r="E30" s="308">
        <v>7</v>
      </c>
      <c r="F30" s="169">
        <v>149990745.94659999</v>
      </c>
      <c r="G30" s="169">
        <v>1069819.8197999999</v>
      </c>
      <c r="H30" s="327"/>
      <c r="I30" s="326">
        <f t="shared" si="24"/>
        <v>148920926.1268</v>
      </c>
      <c r="J30" s="226">
        <f t="shared" si="25"/>
        <v>-39115233.873199999</v>
      </c>
      <c r="K30" s="172">
        <f t="shared" si="26"/>
        <v>0.79198025596140653</v>
      </c>
      <c r="L30" s="369" t="str">
        <f t="shared" si="30"/>
        <v>0,2%</v>
      </c>
      <c r="M30" s="186">
        <f t="shared" si="31"/>
        <v>297841.85225360002</v>
      </c>
      <c r="O30" s="614"/>
      <c r="P30" s="325" t="s">
        <v>99</v>
      </c>
      <c r="Q30" s="327">
        <v>148262400</v>
      </c>
      <c r="R30" s="222">
        <v>17</v>
      </c>
      <c r="S30" s="308">
        <v>8</v>
      </c>
      <c r="T30" s="169">
        <v>29356040.540399998</v>
      </c>
      <c r="U30" s="169"/>
      <c r="V30" s="327"/>
      <c r="W30" s="326">
        <f t="shared" si="27"/>
        <v>29356040.540399998</v>
      </c>
      <c r="X30" s="226">
        <f t="shared" si="28"/>
        <v>-118906359.4596</v>
      </c>
      <c r="Y30" s="172">
        <f t="shared" si="29"/>
        <v>0.19800057560379433</v>
      </c>
      <c r="Z30" s="369">
        <f t="shared" si="32"/>
        <v>0</v>
      </c>
      <c r="AA30" s="186">
        <f t="shared" si="33"/>
        <v>0</v>
      </c>
    </row>
    <row r="31" spans="1:27" ht="14.5" customHeight="1" x14ac:dyDescent="0.35">
      <c r="A31" s="623"/>
      <c r="B31" s="325" t="s">
        <v>100</v>
      </c>
      <c r="C31" s="327">
        <v>159107520</v>
      </c>
      <c r="D31" s="222">
        <v>12</v>
      </c>
      <c r="E31" s="308">
        <v>12</v>
      </c>
      <c r="F31" s="169">
        <v>115457984.72939999</v>
      </c>
      <c r="G31" s="169"/>
      <c r="H31" s="327"/>
      <c r="I31" s="326">
        <f t="shared" si="24"/>
        <v>115457984.72939999</v>
      </c>
      <c r="J31" s="226">
        <f t="shared" si="25"/>
        <v>-43649535.270600006</v>
      </c>
      <c r="K31" s="172">
        <f t="shared" si="26"/>
        <v>0.72566013680183061</v>
      </c>
      <c r="L31" s="369" t="str">
        <f t="shared" si="30"/>
        <v>0,2%</v>
      </c>
      <c r="M31" s="186">
        <f t="shared" si="31"/>
        <v>230915.96945879998</v>
      </c>
      <c r="O31" s="614"/>
      <c r="P31" s="325" t="s">
        <v>100</v>
      </c>
      <c r="Q31" s="327">
        <v>202176000</v>
      </c>
      <c r="R31" s="222">
        <v>14</v>
      </c>
      <c r="S31" s="308">
        <v>9</v>
      </c>
      <c r="T31" s="169">
        <v>37778621.6215</v>
      </c>
      <c r="U31" s="169"/>
      <c r="V31" s="327"/>
      <c r="W31" s="326">
        <f t="shared" si="27"/>
        <v>37778621.6215</v>
      </c>
      <c r="X31" s="226">
        <f t="shared" si="28"/>
        <v>-164397378.37849998</v>
      </c>
      <c r="Y31" s="172">
        <f>W31/Q31</f>
        <v>0.18686007054002454</v>
      </c>
      <c r="Z31" s="369">
        <f t="shared" si="32"/>
        <v>0</v>
      </c>
      <c r="AA31" s="186">
        <f t="shared" si="33"/>
        <v>0</v>
      </c>
    </row>
    <row r="32" spans="1:27" ht="14.5" customHeight="1" x14ac:dyDescent="0.35">
      <c r="A32" s="623"/>
      <c r="B32" s="325" t="s">
        <v>101</v>
      </c>
      <c r="C32" s="327">
        <v>318215040</v>
      </c>
      <c r="D32" s="222">
        <v>19</v>
      </c>
      <c r="E32" s="308">
        <v>14</v>
      </c>
      <c r="F32" s="169">
        <v>307410018.37929994</v>
      </c>
      <c r="G32" s="169">
        <v>1337837.8379000002</v>
      </c>
      <c r="H32" s="327"/>
      <c r="I32" s="326">
        <f t="shared" si="24"/>
        <v>306072180.54139996</v>
      </c>
      <c r="J32" s="226">
        <f t="shared" si="25"/>
        <v>-12142859.458600044</v>
      </c>
      <c r="K32" s="172">
        <f t="shared" si="26"/>
        <v>0.96184071168163499</v>
      </c>
      <c r="L32" s="369" t="str">
        <f t="shared" si="30"/>
        <v>0,35%</v>
      </c>
      <c r="M32" s="186">
        <f t="shared" si="31"/>
        <v>1071252.6318948998</v>
      </c>
      <c r="O32" s="614"/>
      <c r="P32" s="325" t="s">
        <v>101</v>
      </c>
      <c r="Q32" s="327">
        <v>161740800</v>
      </c>
      <c r="R32" s="222">
        <v>12</v>
      </c>
      <c r="S32" s="308">
        <v>10</v>
      </c>
      <c r="T32" s="169">
        <v>48654099.09929999</v>
      </c>
      <c r="U32" s="169">
        <v>1932135.1352000001</v>
      </c>
      <c r="V32" s="327"/>
      <c r="W32" s="326">
        <f t="shared" si="27"/>
        <v>46721963.964099988</v>
      </c>
      <c r="X32" s="226">
        <f t="shared" si="28"/>
        <v>-115018836.03590001</v>
      </c>
      <c r="Y32" s="172">
        <f t="shared" si="29"/>
        <v>0.28886937596512435</v>
      </c>
      <c r="Z32" s="369">
        <f t="shared" si="32"/>
        <v>0</v>
      </c>
      <c r="AA32" s="186">
        <f t="shared" si="33"/>
        <v>0</v>
      </c>
    </row>
    <row r="33" spans="1:27" ht="14.5" customHeight="1" thickBot="1" x14ac:dyDescent="0.4">
      <c r="A33" s="623"/>
      <c r="B33" s="352" t="s">
        <v>77</v>
      </c>
      <c r="C33" s="329">
        <f t="shared" ref="C33:H33" si="34">SUM(C27:C32)</f>
        <v>1446432000</v>
      </c>
      <c r="D33" s="178">
        <f>SUM(D27:D32)</f>
        <v>93</v>
      </c>
      <c r="E33" s="178">
        <f>SUM(E27:E32)</f>
        <v>81</v>
      </c>
      <c r="F33" s="329">
        <f t="shared" si="34"/>
        <v>1457577312.9061995</v>
      </c>
      <c r="G33" s="330">
        <f t="shared" si="34"/>
        <v>34342882.866999999</v>
      </c>
      <c r="H33" s="329">
        <f t="shared" si="34"/>
        <v>0</v>
      </c>
      <c r="I33" s="329">
        <f t="shared" si="24"/>
        <v>1423234430.0391994</v>
      </c>
      <c r="J33" s="329">
        <f t="shared" si="25"/>
        <v>-23197569.960800648</v>
      </c>
      <c r="K33" s="305">
        <f t="shared" si="26"/>
        <v>0.98396221186975907</v>
      </c>
      <c r="L33" s="369" t="str">
        <f>IF(K33&gt;100%,"CAPAI 100%",IF(K33&gt;90%,"CAPAI 90%","BELUM CAPAI"))</f>
        <v>CAPAI 90%</v>
      </c>
      <c r="M33" s="202">
        <f>SUM(M27:M32)</f>
        <v>5652470.1000162978</v>
      </c>
      <c r="O33" s="615"/>
      <c r="P33" s="354" t="s">
        <v>77</v>
      </c>
      <c r="Q33" s="336">
        <f t="shared" ref="Q33:V33" si="35">SUM(Q27:Q32)</f>
        <v>1347840000</v>
      </c>
      <c r="R33" s="207">
        <f>SUM(R27:R32)</f>
        <v>79</v>
      </c>
      <c r="S33" s="207">
        <f t="shared" si="35"/>
        <v>55</v>
      </c>
      <c r="T33" s="336">
        <f>SUM(T27:T32)</f>
        <v>544191387.38760006</v>
      </c>
      <c r="U33" s="337">
        <f t="shared" si="35"/>
        <v>8834809.9100000001</v>
      </c>
      <c r="V33" s="336">
        <f t="shared" si="35"/>
        <v>0</v>
      </c>
      <c r="W33" s="336">
        <f t="shared" si="27"/>
        <v>535356577.47760004</v>
      </c>
      <c r="X33" s="336">
        <f t="shared" si="28"/>
        <v>-812483422.5223999</v>
      </c>
      <c r="Y33" s="313">
        <f t="shared" si="29"/>
        <v>0.39719594126721275</v>
      </c>
      <c r="Z33" s="369" t="str">
        <f>IF(Y33&gt;100%,"CAPAI 100%",IF(Y33&gt;90%,"CAPAI 90%","BELUM CAPAI"))</f>
        <v>BELUM CAPAI</v>
      </c>
      <c r="AA33" s="202">
        <f>SUM(AA27:AA32)</f>
        <v>492926.1531538</v>
      </c>
    </row>
    <row r="34" spans="1:27" ht="14.5" customHeight="1" x14ac:dyDescent="0.55000000000000004">
      <c r="B34" s="324" t="str">
        <f>$B$12</f>
        <v>TARGET Q2</v>
      </c>
      <c r="C34" s="243">
        <f>C35*C33</f>
        <v>1301788800</v>
      </c>
      <c r="D34" s="597"/>
      <c r="E34" s="598"/>
      <c r="F34" s="598"/>
      <c r="G34" s="598"/>
      <c r="H34" s="599"/>
      <c r="I34" s="243">
        <f>I33</f>
        <v>1423234430.0391994</v>
      </c>
      <c r="J34" s="243">
        <f>I34-C34</f>
        <v>121445630.03919935</v>
      </c>
      <c r="K34" s="183">
        <f t="shared" si="26"/>
        <v>1.0932913465219545</v>
      </c>
      <c r="O34" s="309"/>
      <c r="P34" s="324" t="str">
        <f>$B$12</f>
        <v>TARGET Q2</v>
      </c>
      <c r="Q34" s="243">
        <f>Q35*Q33</f>
        <v>1213056000</v>
      </c>
      <c r="R34" s="597"/>
      <c r="S34" s="598"/>
      <c r="T34" s="598"/>
      <c r="U34" s="598"/>
      <c r="V34" s="599"/>
      <c r="W34" s="243">
        <f>W33</f>
        <v>535356577.47760004</v>
      </c>
      <c r="X34" s="243">
        <f>W34-Q34</f>
        <v>-677699422.5223999</v>
      </c>
      <c r="Y34" s="183">
        <f>W34/Q34</f>
        <v>0.4413288236302364</v>
      </c>
      <c r="Z34" s="192"/>
    </row>
    <row r="35" spans="1:27" ht="24" thickBot="1" x14ac:dyDescent="0.6">
      <c r="C35" s="210">
        <v>0.9</v>
      </c>
      <c r="O35" s="309"/>
      <c r="Q35" s="210">
        <v>0.9</v>
      </c>
    </row>
    <row r="36" spans="1:27" ht="19.5" customHeight="1" x14ac:dyDescent="0.35">
      <c r="A36" s="623">
        <v>4</v>
      </c>
      <c r="B36" s="352" t="s">
        <v>57</v>
      </c>
      <c r="C36" s="353" t="s">
        <v>164</v>
      </c>
      <c r="D36" s="616" t="s">
        <v>91</v>
      </c>
      <c r="E36" s="616" t="s">
        <v>62</v>
      </c>
      <c r="F36" s="604" t="s">
        <v>109</v>
      </c>
      <c r="G36" s="605"/>
      <c r="H36" s="605"/>
      <c r="I36" s="606"/>
      <c r="J36" s="621" t="s">
        <v>65</v>
      </c>
      <c r="K36" s="352" t="s">
        <v>66</v>
      </c>
      <c r="O36" s="607">
        <v>4</v>
      </c>
      <c r="P36" s="354" t="s">
        <v>57</v>
      </c>
      <c r="Q36" s="355" t="s">
        <v>53</v>
      </c>
      <c r="R36" s="591" t="s">
        <v>91</v>
      </c>
      <c r="S36" s="591" t="s">
        <v>62</v>
      </c>
      <c r="T36" s="610" t="s">
        <v>109</v>
      </c>
      <c r="U36" s="611"/>
      <c r="V36" s="611"/>
      <c r="W36" s="612"/>
      <c r="X36" s="603" t="s">
        <v>65</v>
      </c>
      <c r="Y36" s="354" t="s">
        <v>66</v>
      </c>
    </row>
    <row r="37" spans="1:27" ht="36" customHeight="1" x14ac:dyDescent="0.35">
      <c r="A37" s="623"/>
      <c r="B37" s="352" t="s">
        <v>93</v>
      </c>
      <c r="C37" s="353" t="str">
        <f>C26</f>
        <v>TARGET 100%</v>
      </c>
      <c r="D37" s="617"/>
      <c r="E37" s="617"/>
      <c r="F37" s="163" t="str">
        <f>F4</f>
        <v>OMSET MEI
 (1-31)</v>
      </c>
      <c r="G37" s="163" t="str">
        <f>G4</f>
        <v>OMSET PRODUK</v>
      </c>
      <c r="H37" s="353" t="s">
        <v>63</v>
      </c>
      <c r="I37" s="353" t="s">
        <v>64</v>
      </c>
      <c r="J37" s="622"/>
      <c r="K37" s="164">
        <f>K26</f>
        <v>1</v>
      </c>
      <c r="L37" s="214"/>
      <c r="M37" s="214"/>
      <c r="O37" s="608"/>
      <c r="P37" s="354" t="s">
        <v>93</v>
      </c>
      <c r="Q37" s="355" t="str">
        <f>Q26</f>
        <v>TARGET 100%</v>
      </c>
      <c r="R37" s="592"/>
      <c r="S37" s="592"/>
      <c r="T37" s="200" t="str">
        <f>T4</f>
        <v>OMSET MEI
 (1-31)</v>
      </c>
      <c r="U37" s="200" t="str">
        <f>G4</f>
        <v>OMSET PRODUK</v>
      </c>
      <c r="V37" s="355" t="s">
        <v>63</v>
      </c>
      <c r="W37" s="355" t="s">
        <v>64</v>
      </c>
      <c r="X37" s="603"/>
      <c r="Y37" s="201">
        <f>K37</f>
        <v>1</v>
      </c>
    </row>
    <row r="38" spans="1:27" x14ac:dyDescent="0.35">
      <c r="A38" s="623"/>
      <c r="B38" s="325" t="s">
        <v>96</v>
      </c>
      <c r="C38" s="326">
        <v>117237120.00000001</v>
      </c>
      <c r="D38" s="222">
        <v>18</v>
      </c>
      <c r="E38" s="308">
        <v>16</v>
      </c>
      <c r="F38" s="169">
        <v>129383205.42759998</v>
      </c>
      <c r="G38" s="169">
        <v>18251599.099100001</v>
      </c>
      <c r="H38" s="326"/>
      <c r="I38" s="326">
        <f t="shared" ref="I38:I44" si="36">F38-G38</f>
        <v>111131606.32849997</v>
      </c>
      <c r="J38" s="226">
        <f t="shared" ref="J38:J44" si="37">I38-C38</f>
        <v>-6105513.6715000421</v>
      </c>
      <c r="K38" s="172">
        <f t="shared" ref="K38:K45" si="38">I38/C38</f>
        <v>0.94792166788556353</v>
      </c>
      <c r="L38" s="369" t="str">
        <f>IF(K38&gt;120%,"0,55%",IF(K38&gt;100%,"0,45%",IF(K38&gt;80%,"0,35%",IF(K38&gt;60%,"0,2%",0))))</f>
        <v>0,35%</v>
      </c>
      <c r="M38" s="186">
        <f>L38*I38</f>
        <v>388960.62214974989</v>
      </c>
      <c r="N38" s="216"/>
      <c r="O38" s="608"/>
      <c r="P38" s="325" t="s">
        <v>96</v>
      </c>
      <c r="Q38" s="326">
        <v>318240000</v>
      </c>
      <c r="R38" s="222">
        <v>9</v>
      </c>
      <c r="S38" s="308">
        <v>9</v>
      </c>
      <c r="T38" s="169">
        <v>238962199.99979997</v>
      </c>
      <c r="U38" s="169">
        <v>1614472.0721</v>
      </c>
      <c r="V38" s="326"/>
      <c r="W38" s="326">
        <f>T38-U38</f>
        <v>237347727.92769995</v>
      </c>
      <c r="X38" s="226">
        <f t="shared" ref="X38:X44" si="39">W38-Q38</f>
        <v>-80892272.072300047</v>
      </c>
      <c r="Y38" s="172">
        <f t="shared" ref="Y38:Y44" si="40">W38/Q38</f>
        <v>0.74581362470996715</v>
      </c>
      <c r="Z38" s="369" t="str">
        <f>IF(Y38&gt;120%,"0,55%",IF(Y38&gt;100%,"0,45%",IF(Y38&gt;80%,"0,35%",IF(Y38&gt;60%,"0,2%",0))))</f>
        <v>0,2%</v>
      </c>
      <c r="AA38" s="186">
        <f>Z38*W38</f>
        <v>474695.45585539989</v>
      </c>
    </row>
    <row r="39" spans="1:27" x14ac:dyDescent="0.35">
      <c r="A39" s="623"/>
      <c r="B39" s="325" t="s">
        <v>97</v>
      </c>
      <c r="C39" s="327">
        <v>502444800</v>
      </c>
      <c r="D39" s="222">
        <v>13</v>
      </c>
      <c r="E39" s="308">
        <v>13</v>
      </c>
      <c r="F39" s="169">
        <v>543979985.5854001</v>
      </c>
      <c r="G39" s="328">
        <v>795045.04509999999</v>
      </c>
      <c r="H39" s="327"/>
      <c r="I39" s="326">
        <f t="shared" si="36"/>
        <v>543184940.54030013</v>
      </c>
      <c r="J39" s="226">
        <f t="shared" si="37"/>
        <v>40740140.540300131</v>
      </c>
      <c r="K39" s="172">
        <f t="shared" si="38"/>
        <v>1.0810838136653025</v>
      </c>
      <c r="L39" s="369" t="str">
        <f t="shared" ref="L39:L43" si="41">IF(K39&gt;120%,"0,55%",IF(K39&gt;100%,"0,45%",IF(K39&gt;80%,"0,35%",IF(K39&gt;60%,"0,2%",0))))</f>
        <v>0,45%</v>
      </c>
      <c r="M39" s="186">
        <f t="shared" ref="M39:M43" si="42">L39*I39</f>
        <v>2444332.2324313503</v>
      </c>
      <c r="N39" s="216"/>
      <c r="O39" s="608"/>
      <c r="P39" s="325" t="s">
        <v>97</v>
      </c>
      <c r="Q39" s="327">
        <v>187200000</v>
      </c>
      <c r="R39" s="222">
        <v>8</v>
      </c>
      <c r="S39" s="308">
        <v>5</v>
      </c>
      <c r="T39" s="169">
        <v>26722864.864799995</v>
      </c>
      <c r="U39" s="328"/>
      <c r="V39" s="327"/>
      <c r="W39" s="326">
        <f>T39-U39</f>
        <v>26722864.864799995</v>
      </c>
      <c r="X39" s="226">
        <f t="shared" si="39"/>
        <v>-160477135.13519999</v>
      </c>
      <c r="Y39" s="172">
        <f t="shared" si="40"/>
        <v>0.14275034649999999</v>
      </c>
      <c r="Z39" s="369">
        <f t="shared" ref="Z39:Z43" si="43">IF(Y39&gt;120%,"0,55%",IF(Y39&gt;100%,"0,45%",IF(Y39&gt;80%,"0,35%",IF(Y39&gt;60%,"0,2%",0))))</f>
        <v>0</v>
      </c>
      <c r="AA39" s="186">
        <f t="shared" ref="AA39:AA43" si="44">Z39*W39</f>
        <v>0</v>
      </c>
    </row>
    <row r="40" spans="1:27" x14ac:dyDescent="0.35">
      <c r="A40" s="623"/>
      <c r="B40" s="325" t="s">
        <v>98</v>
      </c>
      <c r="C40" s="327">
        <v>485696639.99999994</v>
      </c>
      <c r="D40" s="222">
        <v>15</v>
      </c>
      <c r="E40" s="308">
        <v>13</v>
      </c>
      <c r="F40" s="169">
        <v>455862489.11729968</v>
      </c>
      <c r="G40" s="169">
        <v>8305225.2252000002</v>
      </c>
      <c r="H40" s="327"/>
      <c r="I40" s="326">
        <f t="shared" si="36"/>
        <v>447557263.89209968</v>
      </c>
      <c r="J40" s="226">
        <f t="shared" si="37"/>
        <v>-38139376.107900262</v>
      </c>
      <c r="K40" s="172">
        <f t="shared" si="38"/>
        <v>0.92147490230136186</v>
      </c>
      <c r="L40" s="369" t="str">
        <f t="shared" si="41"/>
        <v>0,35%</v>
      </c>
      <c r="M40" s="186">
        <f t="shared" si="42"/>
        <v>1566450.4236223488</v>
      </c>
      <c r="N40" s="216" t="s">
        <v>193</v>
      </c>
      <c r="O40" s="608"/>
      <c r="P40" s="325" t="s">
        <v>98</v>
      </c>
      <c r="Q40" s="327">
        <v>299520000</v>
      </c>
      <c r="R40" s="222">
        <v>13</v>
      </c>
      <c r="S40" s="308">
        <v>14</v>
      </c>
      <c r="T40" s="169">
        <v>211653295.04510003</v>
      </c>
      <c r="U40" s="169"/>
      <c r="V40" s="327"/>
      <c r="W40" s="326">
        <f t="shared" ref="W40:W44" si="45">T40-U40</f>
        <v>211653295.04510003</v>
      </c>
      <c r="X40" s="226">
        <f t="shared" si="39"/>
        <v>-87866704.954899967</v>
      </c>
      <c r="Y40" s="172">
        <f t="shared" si="40"/>
        <v>0.70664161005976245</v>
      </c>
      <c r="Z40" s="369" t="str">
        <f t="shared" si="43"/>
        <v>0,2%</v>
      </c>
      <c r="AA40" s="186">
        <f t="shared" si="44"/>
        <v>423306.59009020007</v>
      </c>
    </row>
    <row r="41" spans="1:27" x14ac:dyDescent="0.35">
      <c r="A41" s="623"/>
      <c r="B41" s="325" t="s">
        <v>99</v>
      </c>
      <c r="C41" s="327">
        <v>217726080</v>
      </c>
      <c r="D41" s="222">
        <v>12</v>
      </c>
      <c r="E41" s="308">
        <v>12</v>
      </c>
      <c r="F41" s="169">
        <v>210541776.12619999</v>
      </c>
      <c r="G41" s="169"/>
      <c r="H41" s="327"/>
      <c r="I41" s="326">
        <f t="shared" si="36"/>
        <v>210541776.12619999</v>
      </c>
      <c r="J41" s="226">
        <f t="shared" si="37"/>
        <v>-7184303.8738000095</v>
      </c>
      <c r="K41" s="172">
        <f t="shared" si="38"/>
        <v>0.96700301647923848</v>
      </c>
      <c r="L41" s="369" t="str">
        <f t="shared" si="41"/>
        <v>0,35%</v>
      </c>
      <c r="M41" s="186">
        <f t="shared" si="42"/>
        <v>736896.2164417</v>
      </c>
      <c r="N41" s="216">
        <v>160500</v>
      </c>
      <c r="O41" s="608"/>
      <c r="P41" s="325" t="s">
        <v>99</v>
      </c>
      <c r="Q41" s="327">
        <v>655200000</v>
      </c>
      <c r="R41" s="222">
        <v>15</v>
      </c>
      <c r="S41" s="308">
        <v>12</v>
      </c>
      <c r="T41" s="169">
        <v>461210394.14460027</v>
      </c>
      <c r="U41" s="169"/>
      <c r="V41" s="327"/>
      <c r="W41" s="326">
        <f t="shared" si="45"/>
        <v>461210394.14460027</v>
      </c>
      <c r="X41" s="226">
        <f t="shared" si="39"/>
        <v>-193989605.85539973</v>
      </c>
      <c r="Y41" s="172">
        <f t="shared" si="40"/>
        <v>0.70392306798626414</v>
      </c>
      <c r="Z41" s="369" t="str">
        <f t="shared" si="43"/>
        <v>0,2%</v>
      </c>
      <c r="AA41" s="186">
        <f t="shared" si="44"/>
        <v>922420.78828920051</v>
      </c>
    </row>
    <row r="42" spans="1:27" x14ac:dyDescent="0.35">
      <c r="A42" s="623"/>
      <c r="B42" s="325" t="s">
        <v>100</v>
      </c>
      <c r="C42" s="327">
        <v>167481600</v>
      </c>
      <c r="D42" s="222">
        <v>10</v>
      </c>
      <c r="E42" s="308">
        <v>9</v>
      </c>
      <c r="F42" s="169">
        <v>78692358.558499992</v>
      </c>
      <c r="G42" s="169">
        <v>3125585.5855999999</v>
      </c>
      <c r="H42" s="327"/>
      <c r="I42" s="326">
        <f t="shared" si="36"/>
        <v>75566772.972899988</v>
      </c>
      <c r="J42" s="226">
        <f t="shared" si="37"/>
        <v>-91914827.027100012</v>
      </c>
      <c r="K42" s="172">
        <f t="shared" si="38"/>
        <v>0.45119447732109075</v>
      </c>
      <c r="L42" s="369">
        <f t="shared" si="41"/>
        <v>0</v>
      </c>
      <c r="M42" s="186">
        <f t="shared" si="42"/>
        <v>0</v>
      </c>
      <c r="N42" s="216"/>
      <c r="O42" s="608"/>
      <c r="P42" s="325" t="s">
        <v>100</v>
      </c>
      <c r="Q42" s="327">
        <v>224640000</v>
      </c>
      <c r="R42" s="222">
        <v>10</v>
      </c>
      <c r="S42" s="308">
        <v>8</v>
      </c>
      <c r="T42" s="169">
        <v>112030360.35980004</v>
      </c>
      <c r="U42" s="169">
        <v>288000</v>
      </c>
      <c r="V42" s="327"/>
      <c r="W42" s="326">
        <f t="shared" si="45"/>
        <v>111742360.35980004</v>
      </c>
      <c r="X42" s="226">
        <f t="shared" si="39"/>
        <v>-112897639.64019996</v>
      </c>
      <c r="Y42" s="172">
        <f t="shared" si="40"/>
        <v>0.49742859846777082</v>
      </c>
      <c r="Z42" s="369">
        <f t="shared" si="43"/>
        <v>0</v>
      </c>
      <c r="AA42" s="186">
        <f t="shared" si="44"/>
        <v>0</v>
      </c>
    </row>
    <row r="43" spans="1:27" x14ac:dyDescent="0.35">
      <c r="A43" s="623"/>
      <c r="B43" s="325" t="s">
        <v>101</v>
      </c>
      <c r="C43" s="327">
        <v>184229760</v>
      </c>
      <c r="D43" s="222">
        <v>14</v>
      </c>
      <c r="E43" s="308">
        <v>12</v>
      </c>
      <c r="F43" s="169">
        <v>193001902.7256</v>
      </c>
      <c r="G43" s="169">
        <v>6344594.5946999993</v>
      </c>
      <c r="H43" s="327"/>
      <c r="I43" s="326">
        <f t="shared" si="36"/>
        <v>186657308.1309</v>
      </c>
      <c r="J43" s="226">
        <f t="shared" si="37"/>
        <v>2427548.1308999956</v>
      </c>
      <c r="K43" s="172">
        <f t="shared" si="38"/>
        <v>1.0131767426223646</v>
      </c>
      <c r="L43" s="369" t="str">
        <f t="shared" si="41"/>
        <v>0,45%</v>
      </c>
      <c r="M43" s="186">
        <f t="shared" si="42"/>
        <v>839957.88658904994</v>
      </c>
      <c r="N43" s="216"/>
      <c r="O43" s="608"/>
      <c r="P43" s="325" t="s">
        <v>101</v>
      </c>
      <c r="Q43" s="327">
        <v>187200000</v>
      </c>
      <c r="R43" s="222">
        <v>6</v>
      </c>
      <c r="S43" s="308">
        <v>4</v>
      </c>
      <c r="T43" s="169">
        <v>94476846.847000003</v>
      </c>
      <c r="U43" s="169"/>
      <c r="V43" s="327"/>
      <c r="W43" s="326">
        <f t="shared" si="45"/>
        <v>94476846.847000003</v>
      </c>
      <c r="X43" s="226">
        <f t="shared" si="39"/>
        <v>-92723153.152999997</v>
      </c>
      <c r="Y43" s="172">
        <f t="shared" si="40"/>
        <v>0.50468401093482906</v>
      </c>
      <c r="Z43" s="369">
        <f t="shared" si="43"/>
        <v>0</v>
      </c>
      <c r="AA43" s="186">
        <f t="shared" si="44"/>
        <v>0</v>
      </c>
    </row>
    <row r="44" spans="1:27" ht="14.5" customHeight="1" thickBot="1" x14ac:dyDescent="0.4">
      <c r="A44" s="623"/>
      <c r="B44" s="352" t="s">
        <v>77</v>
      </c>
      <c r="C44" s="329">
        <f>SUM(C38:C43)</f>
        <v>1674816000</v>
      </c>
      <c r="D44" s="178">
        <f>SUM(D38:D43)</f>
        <v>82</v>
      </c>
      <c r="E44" s="178">
        <f t="shared" ref="E44:H44" si="46">SUM(E38:E43)</f>
        <v>75</v>
      </c>
      <c r="F44" s="329">
        <f>SUM(F38:F43)</f>
        <v>1611461717.5405998</v>
      </c>
      <c r="G44" s="330">
        <f>SUM(G38:G43)</f>
        <v>36822049.549699999</v>
      </c>
      <c r="H44" s="329">
        <f t="shared" si="46"/>
        <v>0</v>
      </c>
      <c r="I44" s="329">
        <f t="shared" si="36"/>
        <v>1574639667.9908998</v>
      </c>
      <c r="J44" s="329">
        <f t="shared" si="37"/>
        <v>-100176332.0091002</v>
      </c>
      <c r="K44" s="305">
        <f t="shared" si="38"/>
        <v>0.94018666408184526</v>
      </c>
      <c r="L44" s="369" t="str">
        <f>IF(K44&gt;100%,"CAPAI 100%",IF(K44&gt;90%,"CAPAI 90%","BELUM CAPAI"))</f>
        <v>CAPAI 90%</v>
      </c>
      <c r="M44" s="202">
        <f>SUM(M38:M43)</f>
        <v>5976597.3812341988</v>
      </c>
      <c r="O44" s="609"/>
      <c r="P44" s="354" t="s">
        <v>77</v>
      </c>
      <c r="Q44" s="336">
        <f t="shared" ref="Q44:V44" si="47">SUM(Q38:Q43)</f>
        <v>1872000000</v>
      </c>
      <c r="R44" s="207">
        <f>SUM(R38:R43)</f>
        <v>61</v>
      </c>
      <c r="S44" s="207">
        <f t="shared" si="47"/>
        <v>52</v>
      </c>
      <c r="T44" s="336">
        <f t="shared" si="47"/>
        <v>1145055961.2611003</v>
      </c>
      <c r="U44" s="337">
        <f>SUM(U38:U43)</f>
        <v>1902472.0721</v>
      </c>
      <c r="V44" s="336">
        <f t="shared" si="47"/>
        <v>0</v>
      </c>
      <c r="W44" s="336">
        <f t="shared" si="45"/>
        <v>1143153489.1890004</v>
      </c>
      <c r="X44" s="336">
        <f t="shared" si="39"/>
        <v>-728846510.81099963</v>
      </c>
      <c r="Y44" s="313">
        <f t="shared" si="40"/>
        <v>0.61065891516506432</v>
      </c>
      <c r="Z44" s="369" t="str">
        <f>IF(Y44&gt;100%,"CAPAI 100%",IF(Y44&gt;90%,"CAPAI 90%","BELUM CAPAI"))</f>
        <v>BELUM CAPAI</v>
      </c>
      <c r="AA44" s="202">
        <f>SUM(AA38:AA43)</f>
        <v>1820422.8342348004</v>
      </c>
    </row>
    <row r="45" spans="1:27" ht="14.5" customHeight="1" x14ac:dyDescent="0.55000000000000004">
      <c r="B45" s="324" t="str">
        <f>$B$12</f>
        <v>TARGET Q2</v>
      </c>
      <c r="C45" s="243">
        <f>C46*C44</f>
        <v>1507334400</v>
      </c>
      <c r="D45" s="597"/>
      <c r="E45" s="598"/>
      <c r="F45" s="598"/>
      <c r="G45" s="598"/>
      <c r="H45" s="599"/>
      <c r="I45" s="243">
        <f>I44</f>
        <v>1574639667.9908998</v>
      </c>
      <c r="J45" s="243">
        <f>I45-C45</f>
        <v>67305267.990899801</v>
      </c>
      <c r="K45" s="183">
        <f t="shared" si="38"/>
        <v>1.044651848979828</v>
      </c>
      <c r="O45" s="309"/>
      <c r="P45" s="324" t="str">
        <f>$B$12</f>
        <v>TARGET Q2</v>
      </c>
      <c r="Q45" s="243">
        <f>Q46*Q44</f>
        <v>1684800000</v>
      </c>
      <c r="R45" s="597"/>
      <c r="S45" s="598"/>
      <c r="T45" s="598"/>
      <c r="U45" s="598"/>
      <c r="V45" s="599"/>
      <c r="W45" s="243">
        <f>W44</f>
        <v>1143153489.1890004</v>
      </c>
      <c r="X45" s="243">
        <f>W45-Q45</f>
        <v>-541646510.81099963</v>
      </c>
      <c r="Y45" s="183">
        <f>W45/Q45</f>
        <v>0.67850990573896031</v>
      </c>
      <c r="Z45" s="192"/>
    </row>
    <row r="46" spans="1:27" ht="24" thickBot="1" x14ac:dyDescent="0.6">
      <c r="C46" s="210">
        <v>0.9</v>
      </c>
      <c r="O46" s="309"/>
      <c r="Q46" s="210">
        <v>0.9</v>
      </c>
    </row>
    <row r="47" spans="1:27" ht="19.5" customHeight="1" x14ac:dyDescent="0.35">
      <c r="A47" s="627">
        <v>5</v>
      </c>
      <c r="B47" s="352" t="s">
        <v>57</v>
      </c>
      <c r="C47" s="353" t="s">
        <v>35</v>
      </c>
      <c r="D47" s="616" t="s">
        <v>91</v>
      </c>
      <c r="E47" s="616" t="s">
        <v>62</v>
      </c>
      <c r="F47" s="604" t="s">
        <v>110</v>
      </c>
      <c r="G47" s="605"/>
      <c r="H47" s="605"/>
      <c r="I47" s="606"/>
      <c r="J47" s="621" t="s">
        <v>65</v>
      </c>
      <c r="K47" s="352" t="s">
        <v>66</v>
      </c>
      <c r="O47" s="613">
        <v>5</v>
      </c>
      <c r="P47" s="354" t="s">
        <v>57</v>
      </c>
      <c r="Q47" s="355" t="s">
        <v>54</v>
      </c>
      <c r="R47" s="591" t="s">
        <v>91</v>
      </c>
      <c r="S47" s="591" t="s">
        <v>62</v>
      </c>
      <c r="T47" s="610" t="s">
        <v>110</v>
      </c>
      <c r="U47" s="611"/>
      <c r="V47" s="611"/>
      <c r="W47" s="612"/>
      <c r="X47" s="603" t="s">
        <v>65</v>
      </c>
      <c r="Y47" s="354" t="s">
        <v>66</v>
      </c>
    </row>
    <row r="48" spans="1:27" ht="36" customHeight="1" x14ac:dyDescent="0.35">
      <c r="A48" s="628"/>
      <c r="B48" s="352" t="s">
        <v>93</v>
      </c>
      <c r="C48" s="353" t="str">
        <f>C37</f>
        <v>TARGET 100%</v>
      </c>
      <c r="D48" s="617"/>
      <c r="E48" s="617"/>
      <c r="F48" s="163" t="str">
        <f>F4</f>
        <v>OMSET MEI
 (1-31)</v>
      </c>
      <c r="G48" s="163" t="str">
        <f>G4</f>
        <v>OMSET PRODUK</v>
      </c>
      <c r="H48" s="353" t="s">
        <v>63</v>
      </c>
      <c r="I48" s="353" t="s">
        <v>64</v>
      </c>
      <c r="J48" s="622"/>
      <c r="K48" s="164">
        <f>K37</f>
        <v>1</v>
      </c>
      <c r="L48" s="211"/>
      <c r="M48" s="214"/>
      <c r="O48" s="614"/>
      <c r="P48" s="354" t="s">
        <v>93</v>
      </c>
      <c r="Q48" s="355" t="str">
        <f>Q37</f>
        <v>TARGET 100%</v>
      </c>
      <c r="R48" s="592"/>
      <c r="S48" s="592"/>
      <c r="T48" s="200" t="str">
        <f>T4</f>
        <v>OMSET MEI
 (1-31)</v>
      </c>
      <c r="U48" s="200" t="str">
        <f>G4</f>
        <v>OMSET PRODUK</v>
      </c>
      <c r="V48" s="355" t="s">
        <v>63</v>
      </c>
      <c r="W48" s="355" t="s">
        <v>64</v>
      </c>
      <c r="X48" s="603"/>
      <c r="Y48" s="201">
        <f>K48</f>
        <v>1</v>
      </c>
    </row>
    <row r="49" spans="1:27" x14ac:dyDescent="0.35">
      <c r="A49" s="628"/>
      <c r="B49" s="325" t="s">
        <v>96</v>
      </c>
      <c r="C49" s="326">
        <v>159868800</v>
      </c>
      <c r="D49" s="222">
        <v>21</v>
      </c>
      <c r="E49" s="308">
        <v>16</v>
      </c>
      <c r="F49" s="169">
        <v>144017079.73009998</v>
      </c>
      <c r="G49" s="169">
        <v>2270090.0902000004</v>
      </c>
      <c r="H49" s="326"/>
      <c r="I49" s="326">
        <f t="shared" ref="I49:I55" si="48">F49-G49</f>
        <v>141746989.63989997</v>
      </c>
      <c r="J49" s="226">
        <f t="shared" ref="J49:J55" si="49">I49-C49</f>
        <v>-18121810.360100031</v>
      </c>
      <c r="K49" s="172">
        <f t="shared" ref="K49:K56" si="50">I49/C49</f>
        <v>0.88664573475187136</v>
      </c>
      <c r="L49" s="369" t="str">
        <f>IF(K49&gt;120%,"0,55%",IF(K49&gt;100%,"0,45%",IF(K49&gt;80%,"0,35%",IF(K49&gt;60%,"0,2%",0))))</f>
        <v>0,35%</v>
      </c>
      <c r="M49" s="186">
        <f>L49*I49</f>
        <v>496114.46373964992</v>
      </c>
      <c r="O49" s="614"/>
      <c r="P49" s="325" t="s">
        <v>96</v>
      </c>
      <c r="Q49" s="326">
        <v>688896000</v>
      </c>
      <c r="R49" s="222">
        <v>21</v>
      </c>
      <c r="S49" s="308">
        <v>21</v>
      </c>
      <c r="T49" s="169">
        <v>526919500.00030005</v>
      </c>
      <c r="U49" s="169"/>
      <c r="V49" s="326"/>
      <c r="W49" s="326">
        <f t="shared" ref="W49:W55" si="51">T49-U49</f>
        <v>526919500.00030005</v>
      </c>
      <c r="X49" s="226">
        <f t="shared" ref="X49:X55" si="52">W49-Q49</f>
        <v>-161976499.99969995</v>
      </c>
      <c r="Y49" s="172">
        <f t="shared" ref="Y49:Y55" si="53">W49/Q49</f>
        <v>0.76487524967527765</v>
      </c>
      <c r="Z49" s="369" t="str">
        <f>IF(Y49&gt;120%,"0,55%",IF(Y49&gt;100%,"0,45%",IF(Y49&gt;80%,"0,35%",IF(Y49&gt;60%,"0,2%",0))))</f>
        <v>0,2%</v>
      </c>
      <c r="AA49" s="186">
        <f>Z49*W49</f>
        <v>1053839.0000006002</v>
      </c>
    </row>
    <row r="50" spans="1:27" x14ac:dyDescent="0.35">
      <c r="A50" s="628"/>
      <c r="B50" s="325" t="s">
        <v>97</v>
      </c>
      <c r="C50" s="327">
        <v>623488320</v>
      </c>
      <c r="D50" s="222">
        <v>27</v>
      </c>
      <c r="E50" s="308">
        <v>29</v>
      </c>
      <c r="F50" s="169">
        <v>803420662.08119988</v>
      </c>
      <c r="G50" s="328">
        <v>4622792.7927999999</v>
      </c>
      <c r="H50" s="327"/>
      <c r="I50" s="326">
        <f t="shared" si="48"/>
        <v>798797869.28839993</v>
      </c>
      <c r="J50" s="226">
        <f t="shared" si="49"/>
        <v>175309549.28839993</v>
      </c>
      <c r="K50" s="172">
        <f t="shared" si="50"/>
        <v>1.2811753543168218</v>
      </c>
      <c r="L50" s="369" t="str">
        <f t="shared" ref="L50:L54" si="54">IF(K50&gt;120%,"0,55%",IF(K50&gt;100%,"0,45%",IF(K50&gt;80%,"0,35%",IF(K50&gt;60%,"0,2%",0))))</f>
        <v>0,55%</v>
      </c>
      <c r="M50" s="186">
        <f t="shared" ref="M50:M54" si="55">L50*I50</f>
        <v>4393388.281086199</v>
      </c>
      <c r="N50" s="216"/>
      <c r="O50" s="614"/>
      <c r="P50" s="325" t="s">
        <v>97</v>
      </c>
      <c r="Q50" s="327">
        <v>310003200</v>
      </c>
      <c r="R50" s="222">
        <v>14</v>
      </c>
      <c r="S50" s="308">
        <v>11</v>
      </c>
      <c r="T50" s="169">
        <v>127865054.95470001</v>
      </c>
      <c r="U50" s="328">
        <v>278400</v>
      </c>
      <c r="V50" s="327"/>
      <c r="W50" s="326">
        <f t="shared" si="51"/>
        <v>127586654.95470001</v>
      </c>
      <c r="X50" s="226">
        <f t="shared" si="52"/>
        <v>-182416545.04530001</v>
      </c>
      <c r="Y50" s="172">
        <f t="shared" si="53"/>
        <v>0.41156560627341915</v>
      </c>
      <c r="Z50" s="369">
        <f t="shared" ref="Z50:Z54" si="56">IF(Y50&gt;120%,"0,55%",IF(Y50&gt;100%,"0,45%",IF(Y50&gt;80%,"0,35%",IF(Y50&gt;60%,"0,2%",0))))</f>
        <v>0</v>
      </c>
      <c r="AA50" s="186">
        <f t="shared" ref="AA50:AA54" si="57">Z50*W50</f>
        <v>0</v>
      </c>
    </row>
    <row r="51" spans="1:27" x14ac:dyDescent="0.35">
      <c r="A51" s="628"/>
      <c r="B51" s="325" t="s">
        <v>98</v>
      </c>
      <c r="C51" s="327">
        <v>335724480</v>
      </c>
      <c r="D51" s="222">
        <v>20</v>
      </c>
      <c r="E51" s="308">
        <v>18</v>
      </c>
      <c r="F51" s="169">
        <v>236438713.95429996</v>
      </c>
      <c r="G51" s="169">
        <v>10809729.729799999</v>
      </c>
      <c r="H51" s="327"/>
      <c r="I51" s="326">
        <f t="shared" si="48"/>
        <v>225628984.22449997</v>
      </c>
      <c r="J51" s="226">
        <f t="shared" si="49"/>
        <v>-110095495.77550003</v>
      </c>
      <c r="K51" s="172">
        <f t="shared" si="50"/>
        <v>0.67206592806249921</v>
      </c>
      <c r="L51" s="369" t="str">
        <f t="shared" si="54"/>
        <v>0,2%</v>
      </c>
      <c r="M51" s="186">
        <f t="shared" si="55"/>
        <v>451257.96844899998</v>
      </c>
      <c r="N51" s="216"/>
      <c r="O51" s="614"/>
      <c r="P51" s="325" t="s">
        <v>98</v>
      </c>
      <c r="Q51" s="327">
        <v>172224000</v>
      </c>
      <c r="R51" s="222">
        <v>11</v>
      </c>
      <c r="S51" s="308">
        <v>10</v>
      </c>
      <c r="T51" s="169">
        <v>58280780.445200019</v>
      </c>
      <c r="U51" s="169">
        <v>556800</v>
      </c>
      <c r="V51" s="327"/>
      <c r="W51" s="326">
        <f t="shared" si="51"/>
        <v>57723980.445200019</v>
      </c>
      <c r="X51" s="226">
        <f t="shared" si="52"/>
        <v>-114500019.55479997</v>
      </c>
      <c r="Y51" s="172">
        <f t="shared" si="53"/>
        <v>0.33516803956010788</v>
      </c>
      <c r="Z51" s="369">
        <f t="shared" si="56"/>
        <v>0</v>
      </c>
      <c r="AA51" s="186">
        <f t="shared" si="57"/>
        <v>0</v>
      </c>
    </row>
    <row r="52" spans="1:27" x14ac:dyDescent="0.35">
      <c r="A52" s="628"/>
      <c r="B52" s="325" t="s">
        <v>99</v>
      </c>
      <c r="C52" s="327">
        <v>207829440</v>
      </c>
      <c r="D52" s="222">
        <v>11</v>
      </c>
      <c r="E52" s="308">
        <v>13</v>
      </c>
      <c r="F52" s="169">
        <v>231304936.82979998</v>
      </c>
      <c r="G52" s="169">
        <v>3562702.6868000003</v>
      </c>
      <c r="H52" s="327"/>
      <c r="I52" s="326">
        <f t="shared" si="48"/>
        <v>227742234.14299998</v>
      </c>
      <c r="J52" s="226">
        <f t="shared" si="49"/>
        <v>19912794.142999977</v>
      </c>
      <c r="K52" s="172">
        <f t="shared" si="50"/>
        <v>1.0958131540122515</v>
      </c>
      <c r="L52" s="369" t="str">
        <f t="shared" si="54"/>
        <v>0,45%</v>
      </c>
      <c r="M52" s="186">
        <f t="shared" si="55"/>
        <v>1024840.0536434999</v>
      </c>
      <c r="N52" s="216"/>
      <c r="O52" s="614"/>
      <c r="P52" s="325" t="s">
        <v>99</v>
      </c>
      <c r="Q52" s="327">
        <v>172224000</v>
      </c>
      <c r="R52" s="222">
        <v>13</v>
      </c>
      <c r="S52" s="308">
        <v>12</v>
      </c>
      <c r="T52" s="169">
        <v>85417751.351300016</v>
      </c>
      <c r="U52" s="169">
        <v>959249.54949999996</v>
      </c>
      <c r="V52" s="327"/>
      <c r="W52" s="326">
        <f t="shared" si="51"/>
        <v>84458501.801800013</v>
      </c>
      <c r="X52" s="226">
        <f t="shared" si="52"/>
        <v>-87765498.198199987</v>
      </c>
      <c r="Y52" s="172">
        <f t="shared" si="53"/>
        <v>0.49039914182576189</v>
      </c>
      <c r="Z52" s="369">
        <f t="shared" si="56"/>
        <v>0</v>
      </c>
      <c r="AA52" s="186">
        <f t="shared" si="57"/>
        <v>0</v>
      </c>
    </row>
    <row r="53" spans="1:27" x14ac:dyDescent="0.35">
      <c r="A53" s="628"/>
      <c r="B53" s="325" t="s">
        <v>100</v>
      </c>
      <c r="C53" s="327">
        <v>111908160.00000001</v>
      </c>
      <c r="D53" s="222">
        <v>16</v>
      </c>
      <c r="E53" s="308">
        <v>10</v>
      </c>
      <c r="F53" s="169">
        <v>49922300.000100002</v>
      </c>
      <c r="G53" s="169">
        <v>1585585.5855999999</v>
      </c>
      <c r="H53" s="327"/>
      <c r="I53" s="326">
        <f t="shared" si="48"/>
        <v>48336714.414499998</v>
      </c>
      <c r="J53" s="226">
        <f t="shared" si="49"/>
        <v>-63571445.585500017</v>
      </c>
      <c r="K53" s="172">
        <f t="shared" si="50"/>
        <v>0.43193199150535577</v>
      </c>
      <c r="L53" s="369">
        <f t="shared" si="54"/>
        <v>0</v>
      </c>
      <c r="M53" s="186">
        <f t="shared" si="55"/>
        <v>0</v>
      </c>
      <c r="N53" s="216"/>
      <c r="O53" s="614"/>
      <c r="P53" s="325" t="s">
        <v>100</v>
      </c>
      <c r="Q53" s="327">
        <v>189446400</v>
      </c>
      <c r="R53" s="222">
        <v>13</v>
      </c>
      <c r="S53" s="308">
        <v>6</v>
      </c>
      <c r="T53" s="169">
        <v>41615292.117299996</v>
      </c>
      <c r="U53" s="169">
        <v>556800</v>
      </c>
      <c r="V53" s="327"/>
      <c r="W53" s="326">
        <f t="shared" si="51"/>
        <v>41058492.117299996</v>
      </c>
      <c r="X53" s="226">
        <f t="shared" si="52"/>
        <v>-148387907.8827</v>
      </c>
      <c r="Y53" s="172">
        <f t="shared" si="53"/>
        <v>0.21672880623384766</v>
      </c>
      <c r="Z53" s="369">
        <f t="shared" si="56"/>
        <v>0</v>
      </c>
      <c r="AA53" s="186">
        <f t="shared" si="57"/>
        <v>0</v>
      </c>
    </row>
    <row r="54" spans="1:27" x14ac:dyDescent="0.35">
      <c r="A54" s="628"/>
      <c r="B54" s="325" t="s">
        <v>101</v>
      </c>
      <c r="C54" s="327">
        <v>159868800</v>
      </c>
      <c r="D54" s="222">
        <v>12</v>
      </c>
      <c r="E54" s="308">
        <v>8</v>
      </c>
      <c r="F54" s="169">
        <v>86505926.414399981</v>
      </c>
      <c r="G54" s="169">
        <v>5132522.4905999992</v>
      </c>
      <c r="H54" s="327"/>
      <c r="I54" s="326">
        <f t="shared" si="48"/>
        <v>81373403.923799977</v>
      </c>
      <c r="J54" s="226">
        <f t="shared" si="49"/>
        <v>-78495396.076200023</v>
      </c>
      <c r="K54" s="172">
        <f t="shared" si="50"/>
        <v>0.50900115547123626</v>
      </c>
      <c r="L54" s="369">
        <f t="shared" si="54"/>
        <v>0</v>
      </c>
      <c r="M54" s="186">
        <f t="shared" si="55"/>
        <v>0</v>
      </c>
      <c r="N54" s="216"/>
      <c r="O54" s="614"/>
      <c r="P54" s="325" t="s">
        <v>101</v>
      </c>
      <c r="Q54" s="327">
        <v>189446400</v>
      </c>
      <c r="R54" s="222">
        <v>11</v>
      </c>
      <c r="S54" s="308">
        <v>8</v>
      </c>
      <c r="T54" s="169">
        <v>54386322.071899995</v>
      </c>
      <c r="U54" s="169"/>
      <c r="V54" s="327"/>
      <c r="W54" s="326">
        <f t="shared" si="51"/>
        <v>54386322.071899995</v>
      </c>
      <c r="X54" s="226">
        <f t="shared" si="52"/>
        <v>-135060077.92809999</v>
      </c>
      <c r="Y54" s="172">
        <f t="shared" si="53"/>
        <v>0.28708026160380984</v>
      </c>
      <c r="Z54" s="369">
        <f t="shared" si="56"/>
        <v>0</v>
      </c>
      <c r="AA54" s="186">
        <f t="shared" si="57"/>
        <v>0</v>
      </c>
    </row>
    <row r="55" spans="1:27" ht="14.5" customHeight="1" thickBot="1" x14ac:dyDescent="0.4">
      <c r="A55" s="628"/>
      <c r="B55" s="352" t="s">
        <v>77</v>
      </c>
      <c r="C55" s="329">
        <f t="shared" ref="C55:H55" si="58">SUM(C49:C54)</f>
        <v>1598688000</v>
      </c>
      <c r="D55" s="178">
        <f t="shared" si="58"/>
        <v>107</v>
      </c>
      <c r="E55" s="178">
        <f t="shared" si="58"/>
        <v>94</v>
      </c>
      <c r="F55" s="329">
        <f t="shared" si="58"/>
        <v>1551609619.0098996</v>
      </c>
      <c r="G55" s="330">
        <f t="shared" si="58"/>
        <v>27983423.375799999</v>
      </c>
      <c r="H55" s="329">
        <f t="shared" si="58"/>
        <v>0</v>
      </c>
      <c r="I55" s="329">
        <f t="shared" si="48"/>
        <v>1523626195.6340997</v>
      </c>
      <c r="J55" s="329">
        <f t="shared" si="49"/>
        <v>-75061804.365900278</v>
      </c>
      <c r="K55" s="305">
        <f t="shared" si="50"/>
        <v>0.9530478715259636</v>
      </c>
      <c r="L55" s="369" t="str">
        <f>IF(K55&gt;100%,"CAPAI 100%",IF(K55&gt;90%,"CAPAI 90%","BELUM CAPAI"))</f>
        <v>CAPAI 90%</v>
      </c>
      <c r="M55" s="202">
        <f>SUM(M49:M54)</f>
        <v>6365600.7669183491</v>
      </c>
      <c r="O55" s="615"/>
      <c r="P55" s="354" t="s">
        <v>77</v>
      </c>
      <c r="Q55" s="336">
        <f t="shared" ref="Q55:V55" si="59">SUM(Q49:Q54)</f>
        <v>1722240000</v>
      </c>
      <c r="R55" s="207">
        <f>SUM(R49:R54)</f>
        <v>83</v>
      </c>
      <c r="S55" s="207">
        <f t="shared" si="59"/>
        <v>68</v>
      </c>
      <c r="T55" s="336">
        <f>SUM(T49:T54)</f>
        <v>894484700.94070005</v>
      </c>
      <c r="U55" s="337">
        <f t="shared" si="59"/>
        <v>2351249.5494999997</v>
      </c>
      <c r="V55" s="336">
        <f t="shared" si="59"/>
        <v>0</v>
      </c>
      <c r="W55" s="336">
        <f t="shared" si="51"/>
        <v>892133451.39120007</v>
      </c>
      <c r="X55" s="336">
        <f t="shared" si="52"/>
        <v>-830106548.60879993</v>
      </c>
      <c r="Y55" s="313">
        <f t="shared" si="53"/>
        <v>0.51800762460005578</v>
      </c>
      <c r="Z55" s="369" t="str">
        <f>IF(Y55&gt;100%,"CAPAI 100%",IF(Y55&gt;90%,"CAPAI 90%","BELUM CAPAI"))</f>
        <v>BELUM CAPAI</v>
      </c>
      <c r="AA55" s="202">
        <f>SUM(AA49:AA54)</f>
        <v>1053839.0000006002</v>
      </c>
    </row>
    <row r="56" spans="1:27" ht="14.5" customHeight="1" x14ac:dyDescent="0.55000000000000004">
      <c r="B56" s="324" t="str">
        <f>$B$12</f>
        <v>TARGET Q2</v>
      </c>
      <c r="C56" s="243">
        <f>C57*C55</f>
        <v>1438819200</v>
      </c>
      <c r="D56" s="597"/>
      <c r="E56" s="598"/>
      <c r="F56" s="598"/>
      <c r="G56" s="598"/>
      <c r="H56" s="599"/>
      <c r="I56" s="243">
        <f>I55</f>
        <v>1523626195.6340997</v>
      </c>
      <c r="J56" s="243">
        <f>I56-C56</f>
        <v>84806995.634099722</v>
      </c>
      <c r="K56" s="183">
        <f t="shared" si="50"/>
        <v>1.0589420794732929</v>
      </c>
      <c r="O56" s="309"/>
      <c r="P56" s="324" t="str">
        <f>$B$12</f>
        <v>TARGET Q2</v>
      </c>
      <c r="Q56" s="243">
        <f>Q57*Q55</f>
        <v>1550016000</v>
      </c>
      <c r="R56" s="597"/>
      <c r="S56" s="598"/>
      <c r="T56" s="598"/>
      <c r="U56" s="598"/>
      <c r="V56" s="599"/>
      <c r="W56" s="243">
        <f>W55</f>
        <v>892133451.39120007</v>
      </c>
      <c r="X56" s="243">
        <f>W56-Q56</f>
        <v>-657882548.60879993</v>
      </c>
      <c r="Y56" s="183">
        <f>W56/Q56</f>
        <v>0.57556402733339529</v>
      </c>
      <c r="Z56" s="192"/>
    </row>
    <row r="57" spans="1:27" ht="24" thickBot="1" x14ac:dyDescent="0.6">
      <c r="C57" s="210">
        <v>0.9</v>
      </c>
      <c r="O57" s="309"/>
      <c r="Q57" s="210">
        <v>0.9</v>
      </c>
    </row>
    <row r="58" spans="1:27" ht="19.5" customHeight="1" x14ac:dyDescent="0.35">
      <c r="A58" s="626">
        <v>6</v>
      </c>
      <c r="B58" s="352" t="s">
        <v>57</v>
      </c>
      <c r="C58" s="353" t="s">
        <v>34</v>
      </c>
      <c r="D58" s="616" t="s">
        <v>91</v>
      </c>
      <c r="E58" s="616" t="s">
        <v>62</v>
      </c>
      <c r="F58" s="604" t="s">
        <v>112</v>
      </c>
      <c r="G58" s="605"/>
      <c r="H58" s="605"/>
      <c r="I58" s="606"/>
      <c r="J58" s="376" t="s">
        <v>65</v>
      </c>
      <c r="K58" s="352" t="s">
        <v>66</v>
      </c>
      <c r="O58" s="618">
        <v>6</v>
      </c>
      <c r="P58" s="354" t="s">
        <v>57</v>
      </c>
      <c r="Q58" s="355" t="s">
        <v>51</v>
      </c>
      <c r="R58" s="591" t="s">
        <v>91</v>
      </c>
      <c r="S58" s="591" t="s">
        <v>62</v>
      </c>
      <c r="T58" s="610" t="s">
        <v>112</v>
      </c>
      <c r="U58" s="611"/>
      <c r="V58" s="611"/>
      <c r="W58" s="612"/>
      <c r="X58" s="603" t="s">
        <v>65</v>
      </c>
      <c r="Y58" s="354" t="s">
        <v>66</v>
      </c>
    </row>
    <row r="59" spans="1:27" ht="36" customHeight="1" x14ac:dyDescent="0.35">
      <c r="A59" s="626"/>
      <c r="B59" s="352" t="s">
        <v>93</v>
      </c>
      <c r="C59" s="353" t="str">
        <f>C48</f>
        <v>TARGET 100%</v>
      </c>
      <c r="D59" s="617"/>
      <c r="E59" s="617"/>
      <c r="F59" s="163" t="str">
        <f>F4</f>
        <v>OMSET MEI
 (1-31)</v>
      </c>
      <c r="G59" s="163" t="str">
        <f>G4</f>
        <v>OMSET PRODUK</v>
      </c>
      <c r="H59" s="353" t="s">
        <v>63</v>
      </c>
      <c r="I59" s="353" t="s">
        <v>64</v>
      </c>
      <c r="J59" s="377"/>
      <c r="K59" s="164">
        <f>K48</f>
        <v>1</v>
      </c>
      <c r="O59" s="619"/>
      <c r="P59" s="354" t="s">
        <v>93</v>
      </c>
      <c r="Q59" s="355" t="str">
        <f>Q48</f>
        <v>TARGET 100%</v>
      </c>
      <c r="R59" s="592"/>
      <c r="S59" s="592"/>
      <c r="T59" s="200" t="str">
        <f>T4</f>
        <v>OMSET MEI
 (1-31)</v>
      </c>
      <c r="U59" s="200" t="str">
        <f>G4</f>
        <v>OMSET PRODUK</v>
      </c>
      <c r="V59" s="355" t="s">
        <v>63</v>
      </c>
      <c r="W59" s="355" t="s">
        <v>64</v>
      </c>
      <c r="X59" s="603"/>
      <c r="Y59" s="201">
        <f>K59</f>
        <v>1</v>
      </c>
    </row>
    <row r="60" spans="1:27" ht="14.5" customHeight="1" x14ac:dyDescent="0.35">
      <c r="A60" s="626"/>
      <c r="B60" s="325" t="s">
        <v>96</v>
      </c>
      <c r="C60" s="326">
        <v>120219840</v>
      </c>
      <c r="D60" s="222">
        <v>13</v>
      </c>
      <c r="E60" s="308">
        <v>14</v>
      </c>
      <c r="F60" s="169">
        <v>84963221.622300044</v>
      </c>
      <c r="G60" s="169">
        <v>279279.27929999999</v>
      </c>
      <c r="H60" s="326"/>
      <c r="I60" s="326">
        <f t="shared" ref="I60:I66" si="60">F60-G60</f>
        <v>84683942.343000039</v>
      </c>
      <c r="J60" s="226">
        <f t="shared" ref="J60:J66" si="61">I60-C60</f>
        <v>-35535897.656999961</v>
      </c>
      <c r="K60" s="172">
        <f t="shared" ref="K60:K67" si="62">I60/C60</f>
        <v>0.70440904215976363</v>
      </c>
      <c r="L60" s="369" t="str">
        <f>IF(K60&gt;120%,"0,55%",IF(K60&gt;100%,"0,45%",IF(K60&gt;80%,"0,35%",IF(K60&gt;60%,"0,2%",0))))</f>
        <v>0,2%</v>
      </c>
      <c r="M60" s="186">
        <f>L60*I60</f>
        <v>169367.88468600009</v>
      </c>
      <c r="O60" s="619"/>
      <c r="P60" s="325" t="s">
        <v>96</v>
      </c>
      <c r="Q60" s="326">
        <v>206668800</v>
      </c>
      <c r="R60" s="222">
        <v>15</v>
      </c>
      <c r="S60" s="308">
        <v>10</v>
      </c>
      <c r="T60" s="169">
        <v>79625218.018300012</v>
      </c>
      <c r="U60" s="169"/>
      <c r="V60" s="326"/>
      <c r="W60" s="326">
        <f t="shared" ref="W60:W66" si="63">T60-U60</f>
        <v>79625218.018300012</v>
      </c>
      <c r="X60" s="226">
        <f t="shared" ref="X60:X66" si="64">W60-Q60</f>
        <v>-127043581.98169999</v>
      </c>
      <c r="Y60" s="172">
        <f t="shared" ref="Y60:Y66" si="65">W60/Q60</f>
        <v>0.38527933591475838</v>
      </c>
      <c r="Z60" s="369">
        <f>IF(Y60&gt;120%,"0,55%",IF(Y60&gt;100%,"0,45%",IF(Y60&gt;80%,"0,35%",IF(Y60&gt;60%,"0,2%",0))))</f>
        <v>0</v>
      </c>
      <c r="AA60" s="186">
        <f>Z60*W60</f>
        <v>0</v>
      </c>
    </row>
    <row r="61" spans="1:27" ht="14.5" customHeight="1" x14ac:dyDescent="0.35">
      <c r="A61" s="626"/>
      <c r="B61" s="325" t="s">
        <v>97</v>
      </c>
      <c r="C61" s="327">
        <v>138715200</v>
      </c>
      <c r="D61" s="222">
        <v>10</v>
      </c>
      <c r="E61" s="308">
        <v>8</v>
      </c>
      <c r="F61" s="169">
        <v>102379992.25219998</v>
      </c>
      <c r="G61" s="328"/>
      <c r="H61" s="327"/>
      <c r="I61" s="326">
        <f t="shared" si="60"/>
        <v>102379992.25219998</v>
      </c>
      <c r="J61" s="226">
        <f t="shared" si="61"/>
        <v>-36335207.747800022</v>
      </c>
      <c r="K61" s="172">
        <f t="shared" si="62"/>
        <v>0.73805893119283239</v>
      </c>
      <c r="L61" s="369" t="str">
        <f t="shared" ref="L61:L65" si="66">IF(K61&gt;120%,"0,55%",IF(K61&gt;100%,"0,45%",IF(K61&gt;80%,"0,35%",IF(K61&gt;60%,"0,2%",0))))</f>
        <v>0,2%</v>
      </c>
      <c r="M61" s="186">
        <f t="shared" ref="M61:M65" si="67">L61*I61</f>
        <v>204759.98450439997</v>
      </c>
      <c r="O61" s="619"/>
      <c r="P61" s="325" t="s">
        <v>97</v>
      </c>
      <c r="Q61" s="327">
        <v>195187200</v>
      </c>
      <c r="R61" s="222">
        <v>19</v>
      </c>
      <c r="S61" s="308">
        <v>16</v>
      </c>
      <c r="T61" s="169">
        <v>106036121.6217</v>
      </c>
      <c r="U61" s="328"/>
      <c r="V61" s="327"/>
      <c r="W61" s="326">
        <f t="shared" si="63"/>
        <v>106036121.6217</v>
      </c>
      <c r="X61" s="226">
        <f t="shared" si="64"/>
        <v>-89151078.378299996</v>
      </c>
      <c r="Y61" s="172">
        <f>W61/Q61</f>
        <v>0.54325345935440439</v>
      </c>
      <c r="Z61" s="369">
        <f t="shared" ref="Z61:Z65" si="68">IF(Y61&gt;120%,"0,55%",IF(Y61&gt;100%,"0,45%",IF(Y61&gt;80%,"0,35%",IF(Y61&gt;60%,"0,2%",0))))</f>
        <v>0</v>
      </c>
      <c r="AA61" s="186">
        <f t="shared" ref="AA61:AA65" si="69">Z61*W61</f>
        <v>0</v>
      </c>
    </row>
    <row r="62" spans="1:27" ht="14.5" customHeight="1" x14ac:dyDescent="0.35">
      <c r="A62" s="626"/>
      <c r="B62" s="325" t="s">
        <v>98</v>
      </c>
      <c r="C62" s="327">
        <v>212696640</v>
      </c>
      <c r="D62" s="222">
        <v>22</v>
      </c>
      <c r="E62" s="308">
        <v>20</v>
      </c>
      <c r="F62" s="169">
        <v>107787764.86460008</v>
      </c>
      <c r="G62" s="169">
        <v>2747747.7478</v>
      </c>
      <c r="H62" s="327"/>
      <c r="I62" s="326">
        <f t="shared" si="60"/>
        <v>105040017.11680007</v>
      </c>
      <c r="J62" s="226">
        <f t="shared" si="61"/>
        <v>-107656622.88319993</v>
      </c>
      <c r="K62" s="172">
        <f t="shared" si="62"/>
        <v>0.49384897249340692</v>
      </c>
      <c r="L62" s="369">
        <f t="shared" si="66"/>
        <v>0</v>
      </c>
      <c r="M62" s="186">
        <f t="shared" si="67"/>
        <v>0</v>
      </c>
      <c r="O62" s="619"/>
      <c r="P62" s="325" t="s">
        <v>98</v>
      </c>
      <c r="Q62" s="327">
        <v>252595200</v>
      </c>
      <c r="R62" s="222">
        <v>15</v>
      </c>
      <c r="S62" s="308">
        <v>10</v>
      </c>
      <c r="T62" s="169">
        <v>210855910.81060013</v>
      </c>
      <c r="U62" s="169"/>
      <c r="V62" s="327"/>
      <c r="W62" s="326">
        <f t="shared" si="63"/>
        <v>210855910.81060013</v>
      </c>
      <c r="X62" s="226">
        <f t="shared" si="64"/>
        <v>-41739289.189399868</v>
      </c>
      <c r="Y62" s="172">
        <f t="shared" si="65"/>
        <v>0.8347581854706666</v>
      </c>
      <c r="Z62" s="369" t="str">
        <f t="shared" si="68"/>
        <v>0,35%</v>
      </c>
      <c r="AA62" s="186">
        <f t="shared" si="69"/>
        <v>737995.68783710047</v>
      </c>
    </row>
    <row r="63" spans="1:27" ht="14.5" customHeight="1" x14ac:dyDescent="0.35">
      <c r="A63" s="626"/>
      <c r="B63" s="325" t="s">
        <v>99</v>
      </c>
      <c r="C63" s="327">
        <v>194201280</v>
      </c>
      <c r="D63" s="222">
        <v>13</v>
      </c>
      <c r="E63" s="308">
        <v>14</v>
      </c>
      <c r="F63" s="169">
        <v>151748890.09009993</v>
      </c>
      <c r="G63" s="169">
        <v>5060810.8108999999</v>
      </c>
      <c r="H63" s="327"/>
      <c r="I63" s="326">
        <f t="shared" si="60"/>
        <v>146688079.27919993</v>
      </c>
      <c r="J63" s="226">
        <f t="shared" si="61"/>
        <v>-47513200.720800072</v>
      </c>
      <c r="K63" s="172">
        <f t="shared" si="62"/>
        <v>0.7553404348272057</v>
      </c>
      <c r="L63" s="369" t="str">
        <f t="shared" si="66"/>
        <v>0,2%</v>
      </c>
      <c r="M63" s="186">
        <f t="shared" si="67"/>
        <v>293376.15855839988</v>
      </c>
      <c r="O63" s="619"/>
      <c r="P63" s="325" t="s">
        <v>99</v>
      </c>
      <c r="Q63" s="327">
        <v>229632000</v>
      </c>
      <c r="R63" s="222">
        <v>14</v>
      </c>
      <c r="S63" s="308">
        <v>11</v>
      </c>
      <c r="T63" s="169">
        <v>140137068.91920003</v>
      </c>
      <c r="U63" s="169">
        <v>470400</v>
      </c>
      <c r="V63" s="327"/>
      <c r="W63" s="326">
        <f t="shared" si="63"/>
        <v>139666668.91920003</v>
      </c>
      <c r="X63" s="226">
        <f t="shared" si="64"/>
        <v>-89965331.080799967</v>
      </c>
      <c r="Y63" s="172">
        <f t="shared" si="65"/>
        <v>0.60821953786580285</v>
      </c>
      <c r="Z63" s="369" t="str">
        <f t="shared" si="68"/>
        <v>0,2%</v>
      </c>
      <c r="AA63" s="186">
        <f t="shared" si="69"/>
        <v>279333.3378384001</v>
      </c>
    </row>
    <row r="64" spans="1:27" ht="14.5" customHeight="1" x14ac:dyDescent="0.35">
      <c r="A64" s="626"/>
      <c r="B64" s="325" t="s">
        <v>100</v>
      </c>
      <c r="C64" s="327">
        <v>120219840</v>
      </c>
      <c r="D64" s="222">
        <v>10</v>
      </c>
      <c r="E64" s="308">
        <v>13</v>
      </c>
      <c r="F64" s="169">
        <v>105554349.54880002</v>
      </c>
      <c r="G64" s="169">
        <v>6871351.3514</v>
      </c>
      <c r="H64" s="327"/>
      <c r="I64" s="326">
        <f t="shared" si="60"/>
        <v>98682998.197400019</v>
      </c>
      <c r="J64" s="226">
        <f t="shared" si="61"/>
        <v>-21536841.802599981</v>
      </c>
      <c r="K64" s="172">
        <f t="shared" si="62"/>
        <v>0.82085451284413635</v>
      </c>
      <c r="L64" s="369" t="str">
        <f t="shared" si="66"/>
        <v>0,35%</v>
      </c>
      <c r="M64" s="186">
        <f t="shared" si="67"/>
        <v>345390.4936909001</v>
      </c>
      <c r="O64" s="619"/>
      <c r="P64" s="325" t="s">
        <v>100</v>
      </c>
      <c r="Q64" s="327">
        <v>126297600</v>
      </c>
      <c r="R64" s="222">
        <v>8</v>
      </c>
      <c r="S64" s="308">
        <v>5</v>
      </c>
      <c r="T64" s="169">
        <v>39259252.252300002</v>
      </c>
      <c r="U64" s="169"/>
      <c r="V64" s="327"/>
      <c r="W64" s="326">
        <f t="shared" si="63"/>
        <v>39259252.252300002</v>
      </c>
      <c r="X64" s="226">
        <f t="shared" si="64"/>
        <v>-87038347.747700006</v>
      </c>
      <c r="Y64" s="172">
        <f t="shared" si="65"/>
        <v>0.31084717565733633</v>
      </c>
      <c r="Z64" s="369">
        <f t="shared" si="68"/>
        <v>0</v>
      </c>
      <c r="AA64" s="186">
        <f t="shared" si="69"/>
        <v>0</v>
      </c>
    </row>
    <row r="65" spans="1:27" ht="14.5" customHeight="1" x14ac:dyDescent="0.35">
      <c r="A65" s="626"/>
      <c r="B65" s="325" t="s">
        <v>101</v>
      </c>
      <c r="C65" s="327">
        <v>138715200</v>
      </c>
      <c r="D65" s="222">
        <v>9</v>
      </c>
      <c r="E65" s="308">
        <v>7</v>
      </c>
      <c r="F65" s="169">
        <v>48820627.026599988</v>
      </c>
      <c r="G65" s="169">
        <v>2132882.8829999999</v>
      </c>
      <c r="H65" s="327"/>
      <c r="I65" s="326">
        <f t="shared" si="60"/>
        <v>46687744.143599987</v>
      </c>
      <c r="J65" s="226">
        <f t="shared" si="61"/>
        <v>-92027455.856400013</v>
      </c>
      <c r="K65" s="172">
        <f t="shared" si="62"/>
        <v>0.33657266214228859</v>
      </c>
      <c r="L65" s="369">
        <f t="shared" si="66"/>
        <v>0</v>
      </c>
      <c r="M65" s="186">
        <f t="shared" si="67"/>
        <v>0</v>
      </c>
      <c r="O65" s="619"/>
      <c r="P65" s="325" t="s">
        <v>101</v>
      </c>
      <c r="Q65" s="327">
        <v>137779200</v>
      </c>
      <c r="R65" s="222">
        <v>14</v>
      </c>
      <c r="S65" s="308">
        <v>9</v>
      </c>
      <c r="T65" s="169">
        <v>58419954.684700035</v>
      </c>
      <c r="U65" s="169"/>
      <c r="V65" s="327"/>
      <c r="W65" s="326">
        <f t="shared" si="63"/>
        <v>58419954.684700035</v>
      </c>
      <c r="X65" s="226">
        <f t="shared" si="64"/>
        <v>-79359245.315299958</v>
      </c>
      <c r="Y65" s="172">
        <f t="shared" si="65"/>
        <v>0.4240114232387765</v>
      </c>
      <c r="Z65" s="369">
        <f t="shared" si="68"/>
        <v>0</v>
      </c>
      <c r="AA65" s="186">
        <f t="shared" si="69"/>
        <v>0</v>
      </c>
    </row>
    <row r="66" spans="1:27" ht="15" customHeight="1" thickBot="1" x14ac:dyDescent="0.4">
      <c r="A66" s="626"/>
      <c r="B66" s="352" t="s">
        <v>77</v>
      </c>
      <c r="C66" s="329">
        <f t="shared" ref="C66:H66" si="70">SUM(C60:C65)</f>
        <v>924768000</v>
      </c>
      <c r="D66" s="178">
        <f t="shared" si="70"/>
        <v>77</v>
      </c>
      <c r="E66" s="178">
        <f t="shared" si="70"/>
        <v>76</v>
      </c>
      <c r="F66" s="329">
        <f t="shared" si="70"/>
        <v>601254845.40460002</v>
      </c>
      <c r="G66" s="330">
        <f t="shared" si="70"/>
        <v>17092072.0724</v>
      </c>
      <c r="H66" s="329">
        <f t="shared" si="70"/>
        <v>0</v>
      </c>
      <c r="I66" s="329">
        <f t="shared" si="60"/>
        <v>584162773.33220005</v>
      </c>
      <c r="J66" s="329">
        <f t="shared" si="61"/>
        <v>-340605226.66779995</v>
      </c>
      <c r="K66" s="305">
        <f t="shared" si="62"/>
        <v>0.63168575613797195</v>
      </c>
      <c r="L66" s="369" t="str">
        <f>IF(K66&gt;100%,"CAPAI 100%",IF(K66&gt;90%,"CAPAI 90%","BELUM CAPAI"))</f>
        <v>BELUM CAPAI</v>
      </c>
      <c r="M66" s="202">
        <f>SUM(M60:M65)</f>
        <v>1012894.5214396999</v>
      </c>
      <c r="O66" s="620"/>
      <c r="P66" s="354" t="s">
        <v>77</v>
      </c>
      <c r="Q66" s="336">
        <f t="shared" ref="Q66:V66" si="71">SUM(Q60:Q65)</f>
        <v>1148160000</v>
      </c>
      <c r="R66" s="207">
        <f>SUM(R60:R65)</f>
        <v>85</v>
      </c>
      <c r="S66" s="207">
        <f t="shared" si="71"/>
        <v>61</v>
      </c>
      <c r="T66" s="336">
        <f t="shared" si="71"/>
        <v>634333526.30680025</v>
      </c>
      <c r="U66" s="337">
        <f t="shared" si="71"/>
        <v>470400</v>
      </c>
      <c r="V66" s="336">
        <f t="shared" si="71"/>
        <v>0</v>
      </c>
      <c r="W66" s="336">
        <f t="shared" si="63"/>
        <v>633863126.30680025</v>
      </c>
      <c r="X66" s="336">
        <f t="shared" si="64"/>
        <v>-514296873.69319975</v>
      </c>
      <c r="Y66" s="313">
        <f t="shared" si="65"/>
        <v>0.5520686370425727</v>
      </c>
      <c r="Z66" s="369" t="str">
        <f>IF(Y66&gt;100%,"CAPAI 100%",IF(Y66&gt;90%,"CAPAI 90%","BELUM CAPAI"))</f>
        <v>BELUM CAPAI</v>
      </c>
      <c r="AA66" s="202">
        <f>SUM(AA60:AA65)</f>
        <v>1017329.0256755005</v>
      </c>
    </row>
    <row r="67" spans="1:27" ht="14.5" customHeight="1" x14ac:dyDescent="0.55000000000000004">
      <c r="B67" s="324" t="str">
        <f>$B$12</f>
        <v>TARGET Q2</v>
      </c>
      <c r="C67" s="243">
        <f>C68*C66</f>
        <v>832291200</v>
      </c>
      <c r="D67" s="373"/>
      <c r="E67" s="374"/>
      <c r="F67" s="374"/>
      <c r="G67" s="374"/>
      <c r="H67" s="375"/>
      <c r="I67" s="243">
        <f>I66</f>
        <v>584162773.33220005</v>
      </c>
      <c r="J67" s="243">
        <f>I67-C67</f>
        <v>-248128426.66779995</v>
      </c>
      <c r="K67" s="183">
        <f t="shared" si="62"/>
        <v>0.70187306237552438</v>
      </c>
      <c r="O67" s="309"/>
      <c r="P67" s="324" t="str">
        <f>$B$12</f>
        <v>TARGET Q2</v>
      </c>
      <c r="Q67" s="243">
        <f>Q68*Q66</f>
        <v>1033344000</v>
      </c>
      <c r="R67" s="597"/>
      <c r="S67" s="598"/>
      <c r="T67" s="598"/>
      <c r="U67" s="598"/>
      <c r="V67" s="599"/>
      <c r="W67" s="243">
        <f>W66</f>
        <v>633863126.30680025</v>
      </c>
      <c r="X67" s="243">
        <f>W67-Q67</f>
        <v>-399480873.69319975</v>
      </c>
      <c r="Y67" s="183">
        <f>W67/Q67</f>
        <v>0.61340959671396966</v>
      </c>
      <c r="Z67" s="192"/>
    </row>
    <row r="68" spans="1:27" ht="24" thickBot="1" x14ac:dyDescent="0.6">
      <c r="C68" s="210">
        <v>0.9</v>
      </c>
      <c r="O68" s="309"/>
      <c r="Q68" s="210">
        <v>0.9</v>
      </c>
    </row>
    <row r="69" spans="1:27" ht="19.5" customHeight="1" x14ac:dyDescent="0.35">
      <c r="A69" s="623">
        <v>7</v>
      </c>
      <c r="B69" s="352" t="s">
        <v>57</v>
      </c>
      <c r="C69" s="353" t="s">
        <v>166</v>
      </c>
      <c r="D69" s="616" t="s">
        <v>91</v>
      </c>
      <c r="E69" s="616" t="s">
        <v>62</v>
      </c>
      <c r="F69" s="604" t="s">
        <v>114</v>
      </c>
      <c r="G69" s="605"/>
      <c r="H69" s="605"/>
      <c r="I69" s="606"/>
      <c r="J69" s="587" t="s">
        <v>65</v>
      </c>
      <c r="K69" s="352" t="s">
        <v>66</v>
      </c>
      <c r="O69" s="607">
        <v>7</v>
      </c>
      <c r="P69" s="354" t="s">
        <v>57</v>
      </c>
      <c r="Q69" s="355" t="s">
        <v>115</v>
      </c>
      <c r="R69" s="591" t="s">
        <v>91</v>
      </c>
      <c r="S69" s="591" t="s">
        <v>62</v>
      </c>
      <c r="T69" s="610" t="s">
        <v>114</v>
      </c>
      <c r="U69" s="611"/>
      <c r="V69" s="611"/>
      <c r="W69" s="612"/>
      <c r="X69" s="603" t="s">
        <v>65</v>
      </c>
      <c r="Y69" s="354" t="s">
        <v>66</v>
      </c>
    </row>
    <row r="70" spans="1:27" ht="36" customHeight="1" x14ac:dyDescent="0.35">
      <c r="A70" s="623"/>
      <c r="B70" s="352" t="s">
        <v>93</v>
      </c>
      <c r="C70" s="353" t="str">
        <f>C59</f>
        <v>TARGET 100%</v>
      </c>
      <c r="D70" s="617"/>
      <c r="E70" s="617"/>
      <c r="F70" s="163" t="str">
        <f>F4</f>
        <v>OMSET MEI
 (1-31)</v>
      </c>
      <c r="G70" s="163" t="str">
        <f>G4</f>
        <v>OMSET PRODUK</v>
      </c>
      <c r="H70" s="353" t="s">
        <v>63</v>
      </c>
      <c r="I70" s="353" t="s">
        <v>64</v>
      </c>
      <c r="J70" s="587"/>
      <c r="K70" s="164">
        <f>K59</f>
        <v>1</v>
      </c>
      <c r="O70" s="608"/>
      <c r="P70" s="354" t="s">
        <v>93</v>
      </c>
      <c r="Q70" s="355" t="str">
        <f>Q59</f>
        <v>TARGET 100%</v>
      </c>
      <c r="R70" s="592"/>
      <c r="S70" s="592"/>
      <c r="T70" s="200" t="str">
        <f>T4</f>
        <v>OMSET MEI
 (1-31)</v>
      </c>
      <c r="U70" s="200" t="str">
        <f>G4</f>
        <v>OMSET PRODUK</v>
      </c>
      <c r="V70" s="355" t="s">
        <v>63</v>
      </c>
      <c r="W70" s="355" t="s">
        <v>64</v>
      </c>
      <c r="X70" s="603"/>
      <c r="Y70" s="201">
        <f>K70</f>
        <v>1</v>
      </c>
    </row>
    <row r="71" spans="1:27" ht="14.5" customHeight="1" x14ac:dyDescent="0.35">
      <c r="A71" s="623"/>
      <c r="B71" s="325" t="s">
        <v>96</v>
      </c>
      <c r="C71" s="326">
        <v>121680000</v>
      </c>
      <c r="D71" s="222">
        <v>17</v>
      </c>
      <c r="E71" s="308">
        <v>15</v>
      </c>
      <c r="F71" s="169">
        <v>38737342.343000002</v>
      </c>
      <c r="G71" s="169">
        <v>304054.05410000001</v>
      </c>
      <c r="H71" s="326"/>
      <c r="I71" s="326">
        <f t="shared" ref="I71:I77" si="72">F71-G71</f>
        <v>38433288.288900003</v>
      </c>
      <c r="J71" s="226">
        <f t="shared" ref="J71:J77" si="73">I71-C71</f>
        <v>-83246711.711099997</v>
      </c>
      <c r="K71" s="172">
        <f t="shared" ref="K71:K78" si="74">I71/C71</f>
        <v>0.31585542643737674</v>
      </c>
      <c r="L71" s="369">
        <f>IF(K71&gt;120%,"0,55%",IF(K71&gt;100%,"0,45%",IF(K71&gt;80%,"0,35%",IF(K71&gt;60%,"0,2%",0))))</f>
        <v>0</v>
      </c>
      <c r="M71" s="186">
        <f>L71*I71</f>
        <v>0</v>
      </c>
      <c r="N71" s="191"/>
      <c r="O71" s="608"/>
      <c r="P71" s="325" t="s">
        <v>96</v>
      </c>
      <c r="Q71" s="326">
        <v>206668800</v>
      </c>
      <c r="R71" s="222">
        <v>22</v>
      </c>
      <c r="S71" s="308">
        <v>19</v>
      </c>
      <c r="T71" s="169">
        <v>149116220.72020003</v>
      </c>
      <c r="U71" s="169"/>
      <c r="V71" s="326"/>
      <c r="W71" s="326">
        <f>T71-U71</f>
        <v>149116220.72020003</v>
      </c>
      <c r="X71" s="226">
        <f t="shared" ref="X71:X77" si="75">W71-Q71</f>
        <v>-57552579.279799968</v>
      </c>
      <c r="Y71" s="172">
        <f t="shared" ref="Y71:Y77" si="76">W71/Q71</f>
        <v>0.72152265228326695</v>
      </c>
      <c r="Z71" s="369" t="str">
        <f>IF(Y71&gt;120%,"0,55%",IF(Y71&gt;100%,"0,45%",IF(Y71&gt;80%,"0,35%",IF(Y71&gt;60%,"0,2%",0))))</f>
        <v>0,2%</v>
      </c>
      <c r="AA71" s="186">
        <f>Z71*W71</f>
        <v>298232.44144040009</v>
      </c>
    </row>
    <row r="72" spans="1:27" ht="14.5" customHeight="1" x14ac:dyDescent="0.35">
      <c r="A72" s="623"/>
      <c r="B72" s="325" t="s">
        <v>97</v>
      </c>
      <c r="C72" s="327">
        <v>146016000</v>
      </c>
      <c r="D72" s="222">
        <v>15</v>
      </c>
      <c r="E72" s="308">
        <v>14</v>
      </c>
      <c r="F72" s="169">
        <v>126064259.77730004</v>
      </c>
      <c r="G72" s="328">
        <v>3040000</v>
      </c>
      <c r="H72" s="327"/>
      <c r="I72" s="326">
        <f t="shared" si="72"/>
        <v>123024259.77730004</v>
      </c>
      <c r="J72" s="226">
        <f t="shared" si="73"/>
        <v>-22991740.222699955</v>
      </c>
      <c r="K72" s="172">
        <f t="shared" si="74"/>
        <v>0.84253958317787125</v>
      </c>
      <c r="L72" s="369" t="str">
        <f t="shared" ref="L72:L76" si="77">IF(K72&gt;120%,"0,55%",IF(K72&gt;100%,"0,45%",IF(K72&gt;80%,"0,35%",IF(K72&gt;60%,"0,2%",0))))</f>
        <v>0,35%</v>
      </c>
      <c r="M72" s="186">
        <f t="shared" ref="M72:M76" si="78">L72*I72</f>
        <v>430584.90922055015</v>
      </c>
      <c r="N72" s="191"/>
      <c r="O72" s="608"/>
      <c r="P72" s="325" t="s">
        <v>97</v>
      </c>
      <c r="Q72" s="327">
        <v>149260800</v>
      </c>
      <c r="R72" s="222">
        <v>19</v>
      </c>
      <c r="S72" s="308">
        <v>11</v>
      </c>
      <c r="T72" s="169">
        <v>26189851.351199992</v>
      </c>
      <c r="U72" s="328">
        <v>1999504.5044</v>
      </c>
      <c r="V72" s="327"/>
      <c r="W72" s="326">
        <f t="shared" ref="W72:W77" si="79">T72-U72</f>
        <v>24190346.846799992</v>
      </c>
      <c r="X72" s="226">
        <f t="shared" si="75"/>
        <v>-125070453.1532</v>
      </c>
      <c r="Y72" s="172">
        <f t="shared" si="76"/>
        <v>0.16206764834973411</v>
      </c>
      <c r="Z72" s="369">
        <f t="shared" ref="Z72:Z76" si="80">IF(Y72&gt;120%,"0,55%",IF(Y72&gt;100%,"0,45%",IF(Y72&gt;80%,"0,35%",IF(Y72&gt;60%,"0,2%",0))))</f>
        <v>0</v>
      </c>
      <c r="AA72" s="186">
        <f t="shared" ref="AA72:AA76" si="81">Z72*W72</f>
        <v>0</v>
      </c>
    </row>
    <row r="73" spans="1:27" ht="14.5" customHeight="1" x14ac:dyDescent="0.35">
      <c r="A73" s="623"/>
      <c r="B73" s="325" t="s">
        <v>98</v>
      </c>
      <c r="C73" s="327">
        <v>206856000</v>
      </c>
      <c r="D73" s="222">
        <v>14</v>
      </c>
      <c r="E73" s="308">
        <v>18</v>
      </c>
      <c r="F73" s="169">
        <v>270586306.81639999</v>
      </c>
      <c r="G73" s="169">
        <v>4143873.8739</v>
      </c>
      <c r="H73" s="327"/>
      <c r="I73" s="326">
        <f t="shared" si="72"/>
        <v>266442432.9425</v>
      </c>
      <c r="J73" s="226">
        <f t="shared" si="73"/>
        <v>59586432.942499995</v>
      </c>
      <c r="K73" s="172">
        <f t="shared" si="74"/>
        <v>1.2880575518355764</v>
      </c>
      <c r="L73" s="369" t="str">
        <f t="shared" si="77"/>
        <v>0,55%</v>
      </c>
      <c r="M73" s="186">
        <f t="shared" si="78"/>
        <v>1465433.38118375</v>
      </c>
      <c r="N73" s="191"/>
      <c r="O73" s="608"/>
      <c r="P73" s="325" t="s">
        <v>98</v>
      </c>
      <c r="Q73" s="327">
        <v>229632000</v>
      </c>
      <c r="R73" s="222">
        <v>14</v>
      </c>
      <c r="S73" s="308">
        <v>14</v>
      </c>
      <c r="T73" s="169">
        <v>117176827.02669998</v>
      </c>
      <c r="U73" s="169">
        <v>2632927.9279</v>
      </c>
      <c r="V73" s="327"/>
      <c r="W73" s="326">
        <f t="shared" si="79"/>
        <v>114543899.09879997</v>
      </c>
      <c r="X73" s="226">
        <f t="shared" si="75"/>
        <v>-115088100.90120003</v>
      </c>
      <c r="Y73" s="172">
        <f t="shared" si="76"/>
        <v>0.49881505669418885</v>
      </c>
      <c r="Z73" s="369">
        <f t="shared" si="80"/>
        <v>0</v>
      </c>
      <c r="AA73" s="186">
        <f t="shared" si="81"/>
        <v>0</v>
      </c>
    </row>
    <row r="74" spans="1:27" ht="14.5" customHeight="1" x14ac:dyDescent="0.35">
      <c r="A74" s="623"/>
      <c r="B74" s="325" t="s">
        <v>99</v>
      </c>
      <c r="C74" s="327">
        <v>243360000</v>
      </c>
      <c r="D74" s="222">
        <v>16</v>
      </c>
      <c r="E74" s="308">
        <v>22</v>
      </c>
      <c r="F74" s="169">
        <v>261111432.43209982</v>
      </c>
      <c r="G74" s="169">
        <v>2040000</v>
      </c>
      <c r="H74" s="327"/>
      <c r="I74" s="326">
        <f t="shared" si="72"/>
        <v>259071432.43209982</v>
      </c>
      <c r="J74" s="226">
        <f t="shared" si="73"/>
        <v>15711432.432099819</v>
      </c>
      <c r="K74" s="172">
        <f t="shared" si="74"/>
        <v>1.0645604554244732</v>
      </c>
      <c r="L74" s="369" t="str">
        <f t="shared" si="77"/>
        <v>0,45%</v>
      </c>
      <c r="M74" s="186">
        <f t="shared" si="78"/>
        <v>1165821.4459444492</v>
      </c>
      <c r="N74" s="191"/>
      <c r="O74" s="608"/>
      <c r="P74" s="325" t="s">
        <v>99</v>
      </c>
      <c r="Q74" s="327">
        <v>114816000</v>
      </c>
      <c r="R74" s="222">
        <v>11</v>
      </c>
      <c r="S74" s="308">
        <v>9</v>
      </c>
      <c r="T74" s="169">
        <v>118977972.97319996</v>
      </c>
      <c r="U74" s="169"/>
      <c r="V74" s="327"/>
      <c r="W74" s="326">
        <f t="shared" si="79"/>
        <v>118977972.97319996</v>
      </c>
      <c r="X74" s="226">
        <f t="shared" si="75"/>
        <v>4161972.9731999636</v>
      </c>
      <c r="Y74" s="172">
        <f t="shared" si="76"/>
        <v>1.0362490678407188</v>
      </c>
      <c r="Z74" s="369" t="str">
        <f t="shared" si="80"/>
        <v>0,45%</v>
      </c>
      <c r="AA74" s="186">
        <f t="shared" si="81"/>
        <v>535400.87837939977</v>
      </c>
    </row>
    <row r="75" spans="1:27" ht="14.5" customHeight="1" x14ac:dyDescent="0.35">
      <c r="A75" s="623"/>
      <c r="B75" s="325" t="s">
        <v>100</v>
      </c>
      <c r="C75" s="327">
        <v>219024000</v>
      </c>
      <c r="D75" s="222">
        <v>17</v>
      </c>
      <c r="E75" s="308">
        <v>14</v>
      </c>
      <c r="F75" s="169">
        <v>161168993.87419993</v>
      </c>
      <c r="G75" s="169">
        <v>640000</v>
      </c>
      <c r="H75" s="327"/>
      <c r="I75" s="326">
        <f t="shared" si="72"/>
        <v>160528993.87419993</v>
      </c>
      <c r="J75" s="226">
        <f t="shared" si="73"/>
        <v>-58495006.125800073</v>
      </c>
      <c r="K75" s="172">
        <f t="shared" si="74"/>
        <v>0.73292878348582768</v>
      </c>
      <c r="L75" s="369" t="str">
        <f t="shared" si="77"/>
        <v>0,2%</v>
      </c>
      <c r="M75" s="186">
        <f t="shared" si="78"/>
        <v>321057.98774839984</v>
      </c>
      <c r="N75" s="191"/>
      <c r="O75" s="608"/>
      <c r="P75" s="325" t="s">
        <v>100</v>
      </c>
      <c r="Q75" s="327">
        <v>206668800</v>
      </c>
      <c r="R75" s="222">
        <v>17</v>
      </c>
      <c r="S75" s="308">
        <v>12</v>
      </c>
      <c r="T75" s="169">
        <v>64242492.792399973</v>
      </c>
      <c r="U75" s="169">
        <v>1382432.4324</v>
      </c>
      <c r="V75" s="327"/>
      <c r="W75" s="326">
        <f t="shared" si="79"/>
        <v>62860060.35999997</v>
      </c>
      <c r="X75" s="226">
        <f t="shared" si="75"/>
        <v>-143808739.64000005</v>
      </c>
      <c r="Y75" s="172">
        <f t="shared" si="76"/>
        <v>0.30415844268704306</v>
      </c>
      <c r="Z75" s="369">
        <f t="shared" si="80"/>
        <v>0</v>
      </c>
      <c r="AA75" s="186">
        <f t="shared" si="81"/>
        <v>0</v>
      </c>
    </row>
    <row r="76" spans="1:27" ht="14.5" customHeight="1" x14ac:dyDescent="0.35">
      <c r="A76" s="623"/>
      <c r="B76" s="325" t="s">
        <v>101</v>
      </c>
      <c r="C76" s="327">
        <v>279864000</v>
      </c>
      <c r="D76" s="222">
        <v>13</v>
      </c>
      <c r="E76" s="308">
        <v>13</v>
      </c>
      <c r="F76" s="169">
        <v>303274819.83800006</v>
      </c>
      <c r="G76" s="169">
        <v>1520000</v>
      </c>
      <c r="H76" s="327"/>
      <c r="I76" s="326">
        <f t="shared" si="72"/>
        <v>301754819.83800006</v>
      </c>
      <c r="J76" s="226">
        <f t="shared" si="73"/>
        <v>21890819.838000059</v>
      </c>
      <c r="K76" s="172">
        <f t="shared" si="74"/>
        <v>1.0782194917459911</v>
      </c>
      <c r="L76" s="369" t="str">
        <f t="shared" si="77"/>
        <v>0,45%</v>
      </c>
      <c r="M76" s="186">
        <f t="shared" si="78"/>
        <v>1357896.6892710002</v>
      </c>
      <c r="N76" s="191"/>
      <c r="O76" s="608"/>
      <c r="P76" s="325" t="s">
        <v>101</v>
      </c>
      <c r="Q76" s="327">
        <v>241113600</v>
      </c>
      <c r="R76" s="222">
        <v>11</v>
      </c>
      <c r="S76" s="308">
        <v>7</v>
      </c>
      <c r="T76" s="169">
        <v>168260926.12599999</v>
      </c>
      <c r="U76" s="169">
        <v>556800</v>
      </c>
      <c r="V76" s="327"/>
      <c r="W76" s="326">
        <f t="shared" si="79"/>
        <v>167704126.12599999</v>
      </c>
      <c r="X76" s="226">
        <f t="shared" si="75"/>
        <v>-73409473.874000013</v>
      </c>
      <c r="Y76" s="172">
        <f t="shared" si="76"/>
        <v>0.69553988711545089</v>
      </c>
      <c r="Z76" s="369" t="str">
        <f t="shared" si="80"/>
        <v>0,2%</v>
      </c>
      <c r="AA76" s="186">
        <f t="shared" si="81"/>
        <v>335408.25225199998</v>
      </c>
    </row>
    <row r="77" spans="1:27" ht="14.5" customHeight="1" thickBot="1" x14ac:dyDescent="0.4">
      <c r="A77" s="623"/>
      <c r="B77" s="352" t="s">
        <v>77</v>
      </c>
      <c r="C77" s="329">
        <f t="shared" ref="C77:H77" si="82">SUM(C71:C76)</f>
        <v>1216800000</v>
      </c>
      <c r="D77" s="178">
        <f t="shared" si="82"/>
        <v>92</v>
      </c>
      <c r="E77" s="178">
        <f t="shared" si="82"/>
        <v>96</v>
      </c>
      <c r="F77" s="329">
        <f t="shared" si="82"/>
        <v>1160943155.0809999</v>
      </c>
      <c r="G77" s="330">
        <f t="shared" si="82"/>
        <v>11687927.927999999</v>
      </c>
      <c r="H77" s="329">
        <f t="shared" si="82"/>
        <v>0</v>
      </c>
      <c r="I77" s="329">
        <f t="shared" si="72"/>
        <v>1149255227.1529999</v>
      </c>
      <c r="J77" s="329">
        <f t="shared" si="73"/>
        <v>-67544772.847000122</v>
      </c>
      <c r="K77" s="305">
        <f t="shared" si="74"/>
        <v>0.94448983165105183</v>
      </c>
      <c r="L77" s="369" t="str">
        <f>IF(K77&gt;100%,"CAPAI 100%",IF(K77&gt;90%,"CAPAI 90%","BELUM CAPAI"))</f>
        <v>CAPAI 90%</v>
      </c>
      <c r="M77" s="202">
        <f>SUM(M71:M76)</f>
        <v>4740794.4133681487</v>
      </c>
      <c r="N77" s="191"/>
      <c r="O77" s="609"/>
      <c r="P77" s="354" t="s">
        <v>77</v>
      </c>
      <c r="Q77" s="336">
        <f t="shared" ref="Q77:V77" si="83">SUM(Q71:Q76)</f>
        <v>1148160000</v>
      </c>
      <c r="R77" s="207">
        <f>SUM(R71:R76)</f>
        <v>94</v>
      </c>
      <c r="S77" s="207">
        <f t="shared" si="83"/>
        <v>72</v>
      </c>
      <c r="T77" s="336">
        <f t="shared" si="83"/>
        <v>643964290.98969984</v>
      </c>
      <c r="U77" s="337">
        <f t="shared" si="83"/>
        <v>6571664.8646999998</v>
      </c>
      <c r="V77" s="336">
        <f t="shared" si="83"/>
        <v>0</v>
      </c>
      <c r="W77" s="336">
        <f t="shared" si="79"/>
        <v>637392626.12499988</v>
      </c>
      <c r="X77" s="336">
        <f t="shared" si="75"/>
        <v>-510767373.87500012</v>
      </c>
      <c r="Y77" s="313">
        <f t="shared" si="76"/>
        <v>0.55514268579727555</v>
      </c>
      <c r="Z77" s="369" t="str">
        <f>IF(Y77&gt;100%,"CAPAI 100%",IF(Y77&gt;90%,"CAPAI 90%","BELUM CAPAI"))</f>
        <v>BELUM CAPAI</v>
      </c>
      <c r="AA77" s="202">
        <f>SUM(AA71:AA76)</f>
        <v>1169041.5720717998</v>
      </c>
    </row>
    <row r="78" spans="1:27" ht="14.5" customHeight="1" x14ac:dyDescent="0.55000000000000004">
      <c r="B78" s="324" t="str">
        <f>$B$12</f>
        <v>TARGET Q2</v>
      </c>
      <c r="C78" s="243">
        <f>C79*C77</f>
        <v>1095120000</v>
      </c>
      <c r="D78" s="597"/>
      <c r="E78" s="598"/>
      <c r="F78" s="598"/>
      <c r="G78" s="598"/>
      <c r="H78" s="599"/>
      <c r="I78" s="243">
        <f>I77</f>
        <v>1149255227.1529999</v>
      </c>
      <c r="J78" s="243">
        <f>I78-C78</f>
        <v>54135227.152999878</v>
      </c>
      <c r="K78" s="183">
        <f t="shared" si="74"/>
        <v>1.0494331462789466</v>
      </c>
      <c r="O78" s="309"/>
      <c r="P78" s="324" t="str">
        <f>$B$12</f>
        <v>TARGET Q2</v>
      </c>
      <c r="Q78" s="243">
        <f>Q79*Q77</f>
        <v>1033344000</v>
      </c>
      <c r="R78" s="597"/>
      <c r="S78" s="598"/>
      <c r="T78" s="598"/>
      <c r="U78" s="598"/>
      <c r="V78" s="599"/>
      <c r="W78" s="243">
        <f>W77</f>
        <v>637392626.12499988</v>
      </c>
      <c r="X78" s="243">
        <f>W78-Q78</f>
        <v>-395951373.87500012</v>
      </c>
      <c r="Y78" s="183">
        <f>W78/Q78</f>
        <v>0.61682520644141725</v>
      </c>
      <c r="Z78" s="192"/>
    </row>
    <row r="79" spans="1:27" ht="14.5" customHeight="1" thickBot="1" x14ac:dyDescent="0.6">
      <c r="C79" s="210">
        <v>0.9</v>
      </c>
      <c r="O79" s="309"/>
      <c r="Q79" s="210">
        <v>0.9</v>
      </c>
    </row>
    <row r="80" spans="1:27" ht="20.149999999999999" customHeight="1" x14ac:dyDescent="0.35">
      <c r="A80" s="623">
        <v>8</v>
      </c>
      <c r="B80" s="352" t="s">
        <v>57</v>
      </c>
      <c r="C80" s="353" t="s">
        <v>116</v>
      </c>
      <c r="D80" s="616" t="s">
        <v>91</v>
      </c>
      <c r="E80" s="616" t="s">
        <v>62</v>
      </c>
      <c r="F80" s="604" t="s">
        <v>117</v>
      </c>
      <c r="G80" s="605"/>
      <c r="H80" s="605"/>
      <c r="I80" s="606"/>
      <c r="J80" s="587" t="s">
        <v>65</v>
      </c>
      <c r="K80" s="352" t="s">
        <v>66</v>
      </c>
      <c r="O80" s="607">
        <v>8</v>
      </c>
      <c r="P80" s="354" t="s">
        <v>57</v>
      </c>
      <c r="Q80" s="355" t="s">
        <v>118</v>
      </c>
      <c r="R80" s="591" t="s">
        <v>91</v>
      </c>
      <c r="S80" s="591" t="s">
        <v>62</v>
      </c>
      <c r="T80" s="610" t="s">
        <v>117</v>
      </c>
      <c r="U80" s="611"/>
      <c r="V80" s="611"/>
      <c r="W80" s="612"/>
      <c r="X80" s="603" t="s">
        <v>65</v>
      </c>
      <c r="Y80" s="354" t="s">
        <v>66</v>
      </c>
    </row>
    <row r="81" spans="1:27" ht="33" customHeight="1" x14ac:dyDescent="0.35">
      <c r="A81" s="623"/>
      <c r="B81" s="352" t="s">
        <v>93</v>
      </c>
      <c r="C81" s="353" t="str">
        <f>C70</f>
        <v>TARGET 100%</v>
      </c>
      <c r="D81" s="617"/>
      <c r="E81" s="617"/>
      <c r="F81" s="163" t="str">
        <f>F4</f>
        <v>OMSET MEI
 (1-31)</v>
      </c>
      <c r="G81" s="163" t="str">
        <f>G4</f>
        <v>OMSET PRODUK</v>
      </c>
      <c r="H81" s="353" t="s">
        <v>63</v>
      </c>
      <c r="I81" s="353" t="s">
        <v>64</v>
      </c>
      <c r="J81" s="587"/>
      <c r="K81" s="164">
        <f>K70</f>
        <v>1</v>
      </c>
      <c r="O81" s="608"/>
      <c r="P81" s="354" t="s">
        <v>93</v>
      </c>
      <c r="Q81" s="355" t="str">
        <f>Q70</f>
        <v>TARGET 100%</v>
      </c>
      <c r="R81" s="592"/>
      <c r="S81" s="592"/>
      <c r="T81" s="200" t="str">
        <f>T4</f>
        <v>OMSET MEI
 (1-31)</v>
      </c>
      <c r="U81" s="200" t="str">
        <f>G4</f>
        <v>OMSET PRODUK</v>
      </c>
      <c r="V81" s="355" t="s">
        <v>63</v>
      </c>
      <c r="W81" s="355" t="s">
        <v>64</v>
      </c>
      <c r="X81" s="603"/>
      <c r="Y81" s="201">
        <f>K81</f>
        <v>1</v>
      </c>
    </row>
    <row r="82" spans="1:27" ht="14.5" customHeight="1" x14ac:dyDescent="0.35">
      <c r="A82" s="623"/>
      <c r="B82" s="325" t="s">
        <v>96</v>
      </c>
      <c r="C82" s="326">
        <v>113892480</v>
      </c>
      <c r="D82" s="222">
        <v>4</v>
      </c>
      <c r="E82" s="308">
        <v>3</v>
      </c>
      <c r="F82" s="169">
        <v>25223185.585599992</v>
      </c>
      <c r="G82" s="169">
        <v>1322072.0721</v>
      </c>
      <c r="H82" s="326"/>
      <c r="I82" s="326">
        <f>F82-G82</f>
        <v>23901113.513499994</v>
      </c>
      <c r="J82" s="226">
        <f t="shared" ref="J82:J88" si="84">I82-C82</f>
        <v>-89991366.48650001</v>
      </c>
      <c r="K82" s="172">
        <f t="shared" ref="K82:K89" si="85">I82/C82</f>
        <v>0.20985681858451052</v>
      </c>
      <c r="L82" s="369">
        <f>IF(K82&gt;120%,"0,55%",IF(K82&gt;100%,"0,45%",IF(K82&gt;80%,"0,35%",IF(K82&gt;60%,"0,2%",0))))</f>
        <v>0</v>
      </c>
      <c r="M82" s="186">
        <f>L82*I82</f>
        <v>0</v>
      </c>
      <c r="O82" s="608"/>
      <c r="P82" s="325" t="s">
        <v>96</v>
      </c>
      <c r="Q82" s="326">
        <v>101836800.00000001</v>
      </c>
      <c r="R82" s="222">
        <v>9</v>
      </c>
      <c r="S82" s="308">
        <v>8</v>
      </c>
      <c r="T82" s="169">
        <v>19286920.720500004</v>
      </c>
      <c r="U82" s="169">
        <v>-427800</v>
      </c>
      <c r="V82" s="326"/>
      <c r="W82" s="326">
        <f t="shared" ref="W82:W88" si="86">T82-U82</f>
        <v>19714720.720500004</v>
      </c>
      <c r="X82" s="226">
        <f t="shared" ref="X82:X87" si="87">T82-Q82</f>
        <v>-82549879.279500008</v>
      </c>
      <c r="Y82" s="172">
        <f t="shared" ref="Y82:Y88" si="88">W82/Q82</f>
        <v>0.1935913218060662</v>
      </c>
      <c r="Z82" s="369">
        <f>IF(Y82&gt;120%,"0,55%",IF(Y82&gt;100%,"0,45%",IF(Y82&gt;80%,"0,35%",IF(Y82&gt;60%,"0,2%",0))))</f>
        <v>0</v>
      </c>
      <c r="AA82" s="186">
        <f>Z82*W82</f>
        <v>0</v>
      </c>
    </row>
    <row r="83" spans="1:27" ht="16" customHeight="1" x14ac:dyDescent="0.35">
      <c r="A83" s="623"/>
      <c r="B83" s="325" t="s">
        <v>97</v>
      </c>
      <c r="C83" s="327">
        <v>96370560</v>
      </c>
      <c r="D83" s="222">
        <v>9</v>
      </c>
      <c r="E83" s="308">
        <v>4</v>
      </c>
      <c r="F83" s="169">
        <v>25779430.630799998</v>
      </c>
      <c r="G83" s="328">
        <v>680000</v>
      </c>
      <c r="H83" s="327"/>
      <c r="I83" s="326">
        <f t="shared" ref="I83:I88" si="89">F83-G83</f>
        <v>25099430.630799998</v>
      </c>
      <c r="J83" s="226">
        <f t="shared" si="84"/>
        <v>-71271129.369200006</v>
      </c>
      <c r="K83" s="172">
        <f t="shared" si="85"/>
        <v>0.26044707668815037</v>
      </c>
      <c r="L83" s="369">
        <f t="shared" ref="L83:L87" si="90">IF(K83&gt;120%,"0,55%",IF(K83&gt;100%,"0,45%",IF(K83&gt;80%,"0,35%",IF(K83&gt;60%,"0,2%",0))))</f>
        <v>0</v>
      </c>
      <c r="M83" s="186">
        <f t="shared" ref="M83:M87" si="91">L83*I83</f>
        <v>0</v>
      </c>
      <c r="O83" s="608"/>
      <c r="P83" s="325" t="s">
        <v>97</v>
      </c>
      <c r="Q83" s="327">
        <v>84864000.000000015</v>
      </c>
      <c r="R83" s="222">
        <v>5</v>
      </c>
      <c r="S83" s="308">
        <v>2</v>
      </c>
      <c r="T83" s="169">
        <v>2990468.4685</v>
      </c>
      <c r="U83" s="328"/>
      <c r="V83" s="327"/>
      <c r="W83" s="326">
        <f t="shared" si="86"/>
        <v>2990468.4685</v>
      </c>
      <c r="X83" s="226">
        <f t="shared" si="87"/>
        <v>-81873531.531500012</v>
      </c>
      <c r="Y83" s="172">
        <f>W83/Q83</f>
        <v>3.5238363363734912E-2</v>
      </c>
      <c r="Z83" s="369">
        <f t="shared" ref="Z83:Z87" si="92">IF(Y83&gt;120%,"0,55%",IF(Y83&gt;100%,"0,45%",IF(Y83&gt;80%,"0,35%",IF(Y83&gt;60%,"0,2%",0))))</f>
        <v>0</v>
      </c>
      <c r="AA83" s="186">
        <f t="shared" ref="AA83:AA87" si="93">Z83*W83</f>
        <v>0</v>
      </c>
    </row>
    <row r="84" spans="1:27" ht="14.5" customHeight="1" x14ac:dyDescent="0.35">
      <c r="A84" s="623"/>
      <c r="B84" s="325" t="s">
        <v>98</v>
      </c>
      <c r="C84" s="327">
        <v>122653440.00000001</v>
      </c>
      <c r="D84" s="222">
        <v>11</v>
      </c>
      <c r="E84" s="308">
        <v>13</v>
      </c>
      <c r="F84" s="169">
        <v>59051832.891699985</v>
      </c>
      <c r="G84" s="169"/>
      <c r="H84" s="327"/>
      <c r="I84" s="326">
        <f t="shared" si="89"/>
        <v>59051832.891699985</v>
      </c>
      <c r="J84" s="226">
        <f t="shared" si="84"/>
        <v>-63601607.10830003</v>
      </c>
      <c r="K84" s="172">
        <f t="shared" si="85"/>
        <v>0.48145272478048701</v>
      </c>
      <c r="L84" s="369">
        <f t="shared" si="90"/>
        <v>0</v>
      </c>
      <c r="M84" s="186">
        <f t="shared" si="91"/>
        <v>0</v>
      </c>
      <c r="O84" s="608"/>
      <c r="P84" s="325" t="s">
        <v>98</v>
      </c>
      <c r="Q84" s="327">
        <v>93350400.000000015</v>
      </c>
      <c r="R84" s="222">
        <v>7</v>
      </c>
      <c r="S84" s="308">
        <v>3</v>
      </c>
      <c r="T84" s="169">
        <v>26390236.486699995</v>
      </c>
      <c r="U84" s="169"/>
      <c r="V84" s="327"/>
      <c r="W84" s="326">
        <f t="shared" si="86"/>
        <v>26390236.486699995</v>
      </c>
      <c r="X84" s="226">
        <f t="shared" si="87"/>
        <v>-66960163.513300017</v>
      </c>
      <c r="Y84" s="172">
        <f t="shared" si="88"/>
        <v>0.28270083991820055</v>
      </c>
      <c r="Z84" s="369">
        <f t="shared" si="92"/>
        <v>0</v>
      </c>
      <c r="AA84" s="186">
        <f t="shared" si="93"/>
        <v>0</v>
      </c>
    </row>
    <row r="85" spans="1:27" ht="14.5" customHeight="1" x14ac:dyDescent="0.35">
      <c r="A85" s="623"/>
      <c r="B85" s="325" t="s">
        <v>99</v>
      </c>
      <c r="C85" s="327">
        <v>96370560</v>
      </c>
      <c r="D85" s="222">
        <v>4</v>
      </c>
      <c r="E85" s="308">
        <v>1</v>
      </c>
      <c r="F85" s="169">
        <v>4683873.8738000002</v>
      </c>
      <c r="G85" s="169"/>
      <c r="H85" s="327"/>
      <c r="I85" s="326">
        <f t="shared" si="89"/>
        <v>4683873.8738000002</v>
      </c>
      <c r="J85" s="226">
        <f t="shared" si="84"/>
        <v>-91686686.126200005</v>
      </c>
      <c r="K85" s="172">
        <f t="shared" si="85"/>
        <v>4.8602746251552344E-2</v>
      </c>
      <c r="L85" s="369">
        <f t="shared" si="90"/>
        <v>0</v>
      </c>
      <c r="M85" s="186">
        <f t="shared" si="91"/>
        <v>0</v>
      </c>
      <c r="O85" s="608"/>
      <c r="P85" s="325" t="s">
        <v>99</v>
      </c>
      <c r="Q85" s="327">
        <v>84864000.000000015</v>
      </c>
      <c r="R85" s="222">
        <v>8</v>
      </c>
      <c r="S85" s="308">
        <v>4</v>
      </c>
      <c r="T85" s="169">
        <v>26191837.837799996</v>
      </c>
      <c r="U85" s="169"/>
      <c r="V85" s="327"/>
      <c r="W85" s="326">
        <f t="shared" si="86"/>
        <v>26191837.837799996</v>
      </c>
      <c r="X85" s="226">
        <f t="shared" si="87"/>
        <v>-58672162.162200019</v>
      </c>
      <c r="Y85" s="172">
        <f t="shared" si="88"/>
        <v>0.30863308161057684</v>
      </c>
      <c r="Z85" s="369">
        <f t="shared" si="92"/>
        <v>0</v>
      </c>
      <c r="AA85" s="186">
        <f t="shared" si="93"/>
        <v>0</v>
      </c>
    </row>
    <row r="86" spans="1:27" ht="14.5" customHeight="1" x14ac:dyDescent="0.35">
      <c r="A86" s="623"/>
      <c r="B86" s="325" t="s">
        <v>100</v>
      </c>
      <c r="C86" s="327">
        <v>219024000</v>
      </c>
      <c r="D86" s="222">
        <v>11</v>
      </c>
      <c r="E86" s="308">
        <v>10</v>
      </c>
      <c r="F86" s="169">
        <v>82824690.524299994</v>
      </c>
      <c r="G86" s="169">
        <v>5399999.9840000002</v>
      </c>
      <c r="H86" s="327"/>
      <c r="I86" s="326">
        <f t="shared" si="89"/>
        <v>77424690.540299997</v>
      </c>
      <c r="J86" s="226">
        <f t="shared" si="84"/>
        <v>-141599309.45969999</v>
      </c>
      <c r="K86" s="172">
        <f t="shared" si="85"/>
        <v>0.35349866014820291</v>
      </c>
      <c r="L86" s="369">
        <f t="shared" si="90"/>
        <v>0</v>
      </c>
      <c r="M86" s="186">
        <f t="shared" si="91"/>
        <v>0</v>
      </c>
      <c r="O86" s="608"/>
      <c r="P86" s="325" t="s">
        <v>100</v>
      </c>
      <c r="Q86" s="327">
        <v>271564800.00000006</v>
      </c>
      <c r="R86" s="222">
        <v>14</v>
      </c>
      <c r="S86" s="308">
        <v>14</v>
      </c>
      <c r="T86" s="169">
        <v>196771208.10789999</v>
      </c>
      <c r="U86" s="169">
        <v>1113600</v>
      </c>
      <c r="V86" s="327"/>
      <c r="W86" s="326">
        <f t="shared" si="86"/>
        <v>195657608.10789999</v>
      </c>
      <c r="X86" s="226">
        <f t="shared" si="87"/>
        <v>-74793591.892100066</v>
      </c>
      <c r="Y86" s="172">
        <f t="shared" si="88"/>
        <v>0.72048221311414418</v>
      </c>
      <c r="Z86" s="369" t="str">
        <f t="shared" si="92"/>
        <v>0,2%</v>
      </c>
      <c r="AA86" s="186">
        <f t="shared" si="93"/>
        <v>391315.21621579997</v>
      </c>
    </row>
    <row r="87" spans="1:27" ht="14.5" customHeight="1" x14ac:dyDescent="0.35">
      <c r="A87" s="623"/>
      <c r="B87" s="325" t="s">
        <v>101</v>
      </c>
      <c r="C87" s="327">
        <v>227784960</v>
      </c>
      <c r="D87" s="222">
        <v>16</v>
      </c>
      <c r="E87" s="308">
        <v>13</v>
      </c>
      <c r="F87" s="169">
        <v>122189820.27069998</v>
      </c>
      <c r="G87" s="169"/>
      <c r="H87" s="327"/>
      <c r="I87" s="326">
        <f t="shared" si="89"/>
        <v>122189820.27069998</v>
      </c>
      <c r="J87" s="226">
        <f t="shared" si="84"/>
        <v>-105595139.72930002</v>
      </c>
      <c r="K87" s="172">
        <f t="shared" si="85"/>
        <v>0.53642619894965837</v>
      </c>
      <c r="L87" s="369">
        <f t="shared" si="90"/>
        <v>0</v>
      </c>
      <c r="M87" s="186">
        <f t="shared" si="91"/>
        <v>0</v>
      </c>
      <c r="O87" s="608"/>
      <c r="P87" s="325" t="s">
        <v>101</v>
      </c>
      <c r="Q87" s="327">
        <v>212160000.00000003</v>
      </c>
      <c r="R87" s="222">
        <v>11</v>
      </c>
      <c r="S87" s="308">
        <v>7</v>
      </c>
      <c r="T87" s="169">
        <v>63985997.296999983</v>
      </c>
      <c r="U87" s="169">
        <v>835200</v>
      </c>
      <c r="V87" s="327"/>
      <c r="W87" s="326">
        <f t="shared" si="86"/>
        <v>63150797.296999983</v>
      </c>
      <c r="X87" s="226">
        <f t="shared" si="87"/>
        <v>-148174002.70300004</v>
      </c>
      <c r="Y87" s="172">
        <f>W87/Q87</f>
        <v>0.29765647293080683</v>
      </c>
      <c r="Z87" s="369">
        <f t="shared" si="92"/>
        <v>0</v>
      </c>
      <c r="AA87" s="186">
        <f t="shared" si="93"/>
        <v>0</v>
      </c>
    </row>
    <row r="88" spans="1:27" ht="14.5" customHeight="1" thickBot="1" x14ac:dyDescent="0.4">
      <c r="A88" s="623"/>
      <c r="B88" s="352" t="s">
        <v>77</v>
      </c>
      <c r="C88" s="329">
        <f t="shared" ref="C88:H88" si="94">SUM(C82:C87)</f>
        <v>876096000</v>
      </c>
      <c r="D88" s="178">
        <f t="shared" si="94"/>
        <v>55</v>
      </c>
      <c r="E88" s="178">
        <f t="shared" si="94"/>
        <v>44</v>
      </c>
      <c r="F88" s="329">
        <f t="shared" si="94"/>
        <v>319752833.77689993</v>
      </c>
      <c r="G88" s="330">
        <f t="shared" si="94"/>
        <v>7402072.0560999997</v>
      </c>
      <c r="H88" s="329">
        <f t="shared" si="94"/>
        <v>0</v>
      </c>
      <c r="I88" s="329">
        <f t="shared" si="89"/>
        <v>312350761.72079992</v>
      </c>
      <c r="J88" s="329">
        <f t="shared" si="84"/>
        <v>-563745238.27920008</v>
      </c>
      <c r="K88" s="305">
        <f>I88/C88</f>
        <v>0.35652572517258374</v>
      </c>
      <c r="L88" s="369" t="str">
        <f>IF(K88&gt;100%,"CAPAI 100%",IF(K88&gt;90%,"CAPAI 90%","BELUM CAPAI"))</f>
        <v>BELUM CAPAI</v>
      </c>
      <c r="M88" s="202">
        <f>SUM(M82:M87)</f>
        <v>0</v>
      </c>
      <c r="O88" s="609"/>
      <c r="P88" s="354" t="s">
        <v>77</v>
      </c>
      <c r="Q88" s="336">
        <f t="shared" ref="Q88:V88" si="95">SUM(Q82:Q87)</f>
        <v>848640000.00000012</v>
      </c>
      <c r="R88" s="207">
        <f>SUM(R82:R87)</f>
        <v>54</v>
      </c>
      <c r="S88" s="207">
        <f t="shared" si="95"/>
        <v>38</v>
      </c>
      <c r="T88" s="336">
        <f t="shared" si="95"/>
        <v>335616668.91839999</v>
      </c>
      <c r="U88" s="337">
        <f t="shared" si="95"/>
        <v>1521000</v>
      </c>
      <c r="V88" s="336">
        <f t="shared" si="95"/>
        <v>0</v>
      </c>
      <c r="W88" s="336">
        <f t="shared" si="86"/>
        <v>334095668.91839999</v>
      </c>
      <c r="X88" s="336">
        <f>W88-Q88</f>
        <v>-514544331.08160013</v>
      </c>
      <c r="Y88" s="313">
        <f t="shared" si="88"/>
        <v>0.39368362193438905</v>
      </c>
      <c r="Z88" s="369" t="str">
        <f>IF(Y88&gt;100%,"CAPAI 100%",IF(Y88&gt;90%,"CAPAI 90%","BELUM CAPAI"))</f>
        <v>BELUM CAPAI</v>
      </c>
      <c r="AA88" s="202">
        <f>SUM(AA82:AA87)</f>
        <v>391315.21621579997</v>
      </c>
    </row>
    <row r="89" spans="1:27" ht="14.5" customHeight="1" x14ac:dyDescent="0.55000000000000004">
      <c r="B89" s="324" t="str">
        <f>$B$12</f>
        <v>TARGET Q2</v>
      </c>
      <c r="C89" s="243">
        <f>C90*C88</f>
        <v>788486400</v>
      </c>
      <c r="D89" s="597"/>
      <c r="E89" s="598"/>
      <c r="F89" s="598"/>
      <c r="G89" s="598"/>
      <c r="H89" s="599"/>
      <c r="I89" s="243">
        <f>I88</f>
        <v>312350761.72079992</v>
      </c>
      <c r="J89" s="243">
        <f>I89-C89</f>
        <v>-476135638.27920008</v>
      </c>
      <c r="K89" s="183">
        <f t="shared" si="85"/>
        <v>0.39613969463620413</v>
      </c>
      <c r="O89" s="309"/>
      <c r="P89" s="324" t="str">
        <f>$B$12</f>
        <v>TARGET Q2</v>
      </c>
      <c r="Q89" s="243">
        <f>Q90*Q88</f>
        <v>763776000.00000012</v>
      </c>
      <c r="R89" s="597"/>
      <c r="S89" s="598"/>
      <c r="T89" s="598"/>
      <c r="U89" s="598"/>
      <c r="V89" s="599"/>
      <c r="W89" s="243">
        <f>W88</f>
        <v>334095668.91839999</v>
      </c>
      <c r="X89" s="243">
        <f>W89-Q89</f>
        <v>-429680331.08160013</v>
      </c>
      <c r="Y89" s="183">
        <f>W89/Q89</f>
        <v>0.43742624659376561</v>
      </c>
      <c r="Z89" s="192"/>
    </row>
    <row r="90" spans="1:27" ht="24" thickBot="1" x14ac:dyDescent="0.6">
      <c r="C90" s="210">
        <v>0.9</v>
      </c>
      <c r="O90" s="309"/>
      <c r="Q90" s="210">
        <v>0.9</v>
      </c>
    </row>
    <row r="91" spans="1:27" ht="20.5" customHeight="1" x14ac:dyDescent="0.35">
      <c r="A91" s="624">
        <v>9</v>
      </c>
      <c r="B91" s="352" t="s">
        <v>57</v>
      </c>
      <c r="C91" s="353" t="s">
        <v>43</v>
      </c>
      <c r="D91" s="616" t="s">
        <v>91</v>
      </c>
      <c r="E91" s="616" t="s">
        <v>62</v>
      </c>
      <c r="F91" s="604" t="s">
        <v>119</v>
      </c>
      <c r="G91" s="605"/>
      <c r="H91" s="605"/>
      <c r="I91" s="606"/>
      <c r="J91" s="587" t="s">
        <v>65</v>
      </c>
      <c r="K91" s="352" t="s">
        <v>66</v>
      </c>
      <c r="O91" s="607">
        <v>9</v>
      </c>
      <c r="P91" s="354" t="s">
        <v>57</v>
      </c>
      <c r="Q91" s="355" t="s">
        <v>165</v>
      </c>
      <c r="R91" s="591" t="s">
        <v>91</v>
      </c>
      <c r="S91" s="591" t="s">
        <v>62</v>
      </c>
      <c r="T91" s="610" t="s">
        <v>119</v>
      </c>
      <c r="U91" s="611"/>
      <c r="V91" s="611"/>
      <c r="W91" s="612"/>
      <c r="X91" s="603" t="s">
        <v>65</v>
      </c>
      <c r="Y91" s="354" t="s">
        <v>66</v>
      </c>
    </row>
    <row r="92" spans="1:27" ht="33.65" customHeight="1" x14ac:dyDescent="0.35">
      <c r="A92" s="625"/>
      <c r="B92" s="352" t="s">
        <v>93</v>
      </c>
      <c r="C92" s="353" t="str">
        <f>C81</f>
        <v>TARGET 100%</v>
      </c>
      <c r="D92" s="617"/>
      <c r="E92" s="617"/>
      <c r="F92" s="163" t="str">
        <f>F4</f>
        <v>OMSET MEI
 (1-31)</v>
      </c>
      <c r="G92" s="163" t="str">
        <f>G4</f>
        <v>OMSET PRODUK</v>
      </c>
      <c r="H92" s="353" t="s">
        <v>63</v>
      </c>
      <c r="I92" s="353" t="s">
        <v>64</v>
      </c>
      <c r="J92" s="587"/>
      <c r="K92" s="164">
        <f>K81</f>
        <v>1</v>
      </c>
      <c r="O92" s="608"/>
      <c r="P92" s="354" t="s">
        <v>93</v>
      </c>
      <c r="Q92" s="355" t="str">
        <f>Q81</f>
        <v>TARGET 100%</v>
      </c>
      <c r="R92" s="592"/>
      <c r="S92" s="592"/>
      <c r="T92" s="200" t="str">
        <f>T15</f>
        <v>OMSET MEI
 (1-31)</v>
      </c>
      <c r="U92" s="200" t="str">
        <f>G4</f>
        <v>OMSET PRODUK</v>
      </c>
      <c r="V92" s="355" t="s">
        <v>63</v>
      </c>
      <c r="W92" s="355" t="s">
        <v>64</v>
      </c>
      <c r="X92" s="603"/>
      <c r="Y92" s="201">
        <f>K92</f>
        <v>1</v>
      </c>
    </row>
    <row r="93" spans="1:27" ht="14.5" customHeight="1" x14ac:dyDescent="0.35">
      <c r="A93" s="625"/>
      <c r="B93" s="325" t="s">
        <v>96</v>
      </c>
      <c r="C93" s="326">
        <v>194201280</v>
      </c>
      <c r="D93" s="222">
        <v>22</v>
      </c>
      <c r="E93" s="308">
        <v>15</v>
      </c>
      <c r="F93" s="169">
        <v>167710879.99999997</v>
      </c>
      <c r="G93" s="169"/>
      <c r="H93" s="326"/>
      <c r="I93" s="326">
        <f t="shared" ref="I93:I99" si="96">F93-G93</f>
        <v>167710879.99999997</v>
      </c>
      <c r="J93" s="226">
        <f t="shared" ref="J93:J99" si="97">I93-C93</f>
        <v>-26490400.00000003</v>
      </c>
      <c r="K93" s="172">
        <f t="shared" ref="K93:K100" si="98">I93/C93</f>
        <v>0.86359307209509628</v>
      </c>
      <c r="L93" s="369" t="str">
        <f>IF(K93&gt;120%,"0,55%",IF(K93&gt;100%,"0,45%",IF(K93&gt;80%,"0,35%",IF(K93&gt;60%,"0,2%",0))))</f>
        <v>0,35%</v>
      </c>
      <c r="M93" s="186">
        <f>L93*I93</f>
        <v>586988.07999999996</v>
      </c>
      <c r="O93" s="608"/>
      <c r="P93" s="325" t="s">
        <v>96</v>
      </c>
      <c r="Q93" s="326">
        <v>89856000</v>
      </c>
      <c r="R93" s="222">
        <v>10</v>
      </c>
      <c r="S93" s="308">
        <v>10</v>
      </c>
      <c r="T93" s="169">
        <v>64168943.477800004</v>
      </c>
      <c r="U93" s="169">
        <v>2101921.8566000001</v>
      </c>
      <c r="V93" s="326"/>
      <c r="W93" s="326">
        <f t="shared" ref="W93:W99" si="99">T93-U93</f>
        <v>62067021.621200003</v>
      </c>
      <c r="X93" s="226">
        <f t="shared" ref="X93:X98" si="100">T93-Q93</f>
        <v>-25687056.522199996</v>
      </c>
      <c r="Y93" s="172">
        <f t="shared" ref="Y93:Y99" si="101">W93/Q93</f>
        <v>0.69073875557781339</v>
      </c>
      <c r="Z93" s="369" t="str">
        <f>IF(Y93&gt;120%,"0,55%",IF(Y93&gt;100%,"0,45%",IF(Y93&gt;80%,"0,35%",IF(Y93&gt;60%,"0,2%",0))))</f>
        <v>0,2%</v>
      </c>
      <c r="AA93" s="186">
        <f>Z93*W93</f>
        <v>124134.0432424</v>
      </c>
    </row>
    <row r="94" spans="1:27" ht="14.5" customHeight="1" x14ac:dyDescent="0.35">
      <c r="A94" s="625"/>
      <c r="B94" s="325" t="s">
        <v>97</v>
      </c>
      <c r="C94" s="327">
        <v>157210560</v>
      </c>
      <c r="D94" s="222">
        <v>14</v>
      </c>
      <c r="E94" s="308">
        <v>10</v>
      </c>
      <c r="F94" s="169">
        <v>50303807.657600001</v>
      </c>
      <c r="G94" s="328">
        <v>2175675.6758000003</v>
      </c>
      <c r="H94" s="327"/>
      <c r="I94" s="326">
        <f t="shared" si="96"/>
        <v>48128131.981799997</v>
      </c>
      <c r="J94" s="226">
        <f t="shared" si="97"/>
        <v>-109082428.01820001</v>
      </c>
      <c r="K94" s="172">
        <f t="shared" si="98"/>
        <v>0.30613803539533219</v>
      </c>
      <c r="L94" s="369">
        <f t="shared" ref="L94:L98" si="102">IF(K94&gt;120%,"0,55%",IF(K94&gt;100%,"0,45%",IF(K94&gt;80%,"0,35%",IF(K94&gt;60%,"0,2%",0))))</f>
        <v>0</v>
      </c>
      <c r="M94" s="186">
        <f t="shared" ref="M94:M98" si="103">L94*I94</f>
        <v>0</v>
      </c>
      <c r="O94" s="608"/>
      <c r="P94" s="325" t="s">
        <v>97</v>
      </c>
      <c r="Q94" s="327">
        <v>323481600</v>
      </c>
      <c r="R94" s="222">
        <v>12</v>
      </c>
      <c r="S94" s="308">
        <v>11</v>
      </c>
      <c r="T94" s="169">
        <v>169816708.10779998</v>
      </c>
      <c r="U94" s="328"/>
      <c r="V94" s="327"/>
      <c r="W94" s="326">
        <f t="shared" si="99"/>
        <v>169816708.10779998</v>
      </c>
      <c r="X94" s="226">
        <f t="shared" si="100"/>
        <v>-153664891.89220002</v>
      </c>
      <c r="Y94" s="172">
        <f t="shared" si="101"/>
        <v>0.52496558724762077</v>
      </c>
      <c r="Z94" s="369">
        <f t="shared" ref="Z94:Z98" si="104">IF(Y94&gt;120%,"0,55%",IF(Y94&gt;100%,"0,45%",IF(Y94&gt;80%,"0,35%",IF(Y94&gt;60%,"0,2%",0))))</f>
        <v>0</v>
      </c>
      <c r="AA94" s="186">
        <f t="shared" ref="AA94:AA98" si="105">Z94*W94</f>
        <v>0</v>
      </c>
    </row>
    <row r="95" spans="1:27" ht="14.5" customHeight="1" x14ac:dyDescent="0.35">
      <c r="A95" s="625"/>
      <c r="B95" s="325" t="s">
        <v>98</v>
      </c>
      <c r="C95" s="327">
        <v>175705920</v>
      </c>
      <c r="D95" s="222">
        <v>16</v>
      </c>
      <c r="E95" s="308">
        <v>14</v>
      </c>
      <c r="F95" s="169">
        <v>130861202.87330002</v>
      </c>
      <c r="G95" s="169">
        <v>4237837.8377999999</v>
      </c>
      <c r="H95" s="327"/>
      <c r="I95" s="326">
        <f>F95-G95</f>
        <v>126623365.03550002</v>
      </c>
      <c r="J95" s="226">
        <f t="shared" si="97"/>
        <v>-49082554.96449998</v>
      </c>
      <c r="K95" s="172">
        <f t="shared" si="98"/>
        <v>0.72065508683771162</v>
      </c>
      <c r="L95" s="369" t="str">
        <f t="shared" si="102"/>
        <v>0,2%</v>
      </c>
      <c r="M95" s="186">
        <f t="shared" si="103"/>
        <v>253246.73007100006</v>
      </c>
      <c r="O95" s="608"/>
      <c r="P95" s="325" t="s">
        <v>98</v>
      </c>
      <c r="Q95" s="327">
        <v>125798400.00000001</v>
      </c>
      <c r="R95" s="222">
        <v>14</v>
      </c>
      <c r="S95" s="308">
        <v>12</v>
      </c>
      <c r="T95" s="169">
        <v>44264081.081299998</v>
      </c>
      <c r="U95" s="169">
        <v>8352000</v>
      </c>
      <c r="V95" s="327"/>
      <c r="W95" s="326">
        <f t="shared" si="99"/>
        <v>35912081.081299998</v>
      </c>
      <c r="X95" s="226">
        <f t="shared" si="100"/>
        <v>-81534318.91870001</v>
      </c>
      <c r="Y95" s="172">
        <f t="shared" si="101"/>
        <v>0.28547327375626391</v>
      </c>
      <c r="Z95" s="369">
        <f t="shared" si="104"/>
        <v>0</v>
      </c>
      <c r="AA95" s="186">
        <f t="shared" si="105"/>
        <v>0</v>
      </c>
    </row>
    <row r="96" spans="1:27" ht="14.5" customHeight="1" x14ac:dyDescent="0.35">
      <c r="A96" s="625"/>
      <c r="B96" s="325" t="s">
        <v>99</v>
      </c>
      <c r="C96" s="327">
        <v>157210560</v>
      </c>
      <c r="D96" s="222">
        <v>15</v>
      </c>
      <c r="E96" s="308">
        <v>14</v>
      </c>
      <c r="F96" s="169">
        <v>127465448.1073</v>
      </c>
      <c r="G96" s="169">
        <v>252252.25229999999</v>
      </c>
      <c r="H96" s="327"/>
      <c r="I96" s="326">
        <f>F96-G96</f>
        <v>127213195.855</v>
      </c>
      <c r="J96" s="226">
        <f t="shared" si="97"/>
        <v>-29997364.144999996</v>
      </c>
      <c r="K96" s="172">
        <f t="shared" si="98"/>
        <v>0.80918989064729496</v>
      </c>
      <c r="L96" s="369" t="str">
        <f t="shared" si="102"/>
        <v>0,35%</v>
      </c>
      <c r="M96" s="186">
        <f t="shared" si="103"/>
        <v>445246.18549250002</v>
      </c>
      <c r="O96" s="608"/>
      <c r="P96" s="325" t="s">
        <v>99</v>
      </c>
      <c r="Q96" s="327">
        <v>107827200</v>
      </c>
      <c r="R96" s="222">
        <v>10</v>
      </c>
      <c r="S96" s="308">
        <v>7</v>
      </c>
      <c r="T96" s="169">
        <v>47139319.820000008</v>
      </c>
      <c r="U96" s="169"/>
      <c r="V96" s="327"/>
      <c r="W96" s="326">
        <f t="shared" si="99"/>
        <v>47139319.820000008</v>
      </c>
      <c r="X96" s="226">
        <f t="shared" si="100"/>
        <v>-60687880.179999992</v>
      </c>
      <c r="Y96" s="172">
        <f t="shared" si="101"/>
        <v>0.43717466297928542</v>
      </c>
      <c r="Z96" s="369">
        <f t="shared" si="104"/>
        <v>0</v>
      </c>
      <c r="AA96" s="186">
        <f t="shared" si="105"/>
        <v>0</v>
      </c>
    </row>
    <row r="97" spans="1:27" ht="14.5" customHeight="1" x14ac:dyDescent="0.35">
      <c r="A97" s="625"/>
      <c r="B97" s="325" t="s">
        <v>100</v>
      </c>
      <c r="C97" s="327">
        <v>110972160</v>
      </c>
      <c r="D97" s="222">
        <v>14</v>
      </c>
      <c r="E97" s="308">
        <v>13</v>
      </c>
      <c r="F97" s="169">
        <v>97345637.837599993</v>
      </c>
      <c r="G97" s="169">
        <v>5040000</v>
      </c>
      <c r="H97" s="327"/>
      <c r="I97" s="326">
        <f t="shared" si="96"/>
        <v>92305637.837599993</v>
      </c>
      <c r="J97" s="226">
        <f t="shared" si="97"/>
        <v>-18666522.162400007</v>
      </c>
      <c r="K97" s="172">
        <f t="shared" si="98"/>
        <v>0.83179094502260742</v>
      </c>
      <c r="L97" s="369" t="str">
        <f t="shared" si="102"/>
        <v>0,35%</v>
      </c>
      <c r="M97" s="186">
        <f t="shared" si="103"/>
        <v>323069.73243159999</v>
      </c>
      <c r="O97" s="608"/>
      <c r="P97" s="325" t="s">
        <v>100</v>
      </c>
      <c r="Q97" s="327">
        <v>116812800</v>
      </c>
      <c r="R97" s="222">
        <v>8</v>
      </c>
      <c r="S97" s="308">
        <v>5</v>
      </c>
      <c r="T97" s="169">
        <v>40892974.774399996</v>
      </c>
      <c r="U97" s="169">
        <v>643200</v>
      </c>
      <c r="V97" s="327"/>
      <c r="W97" s="326">
        <f t="shared" si="99"/>
        <v>40249774.774399996</v>
      </c>
      <c r="X97" s="226">
        <f t="shared" si="100"/>
        <v>-75919825.225600004</v>
      </c>
      <c r="Y97" s="172">
        <f t="shared" si="101"/>
        <v>0.34456647537256185</v>
      </c>
      <c r="Z97" s="369">
        <f t="shared" si="104"/>
        <v>0</v>
      </c>
      <c r="AA97" s="186">
        <f t="shared" si="105"/>
        <v>0</v>
      </c>
    </row>
    <row r="98" spans="1:27" ht="14.5" customHeight="1" x14ac:dyDescent="0.35">
      <c r="A98" s="625"/>
      <c r="B98" s="325" t="s">
        <v>101</v>
      </c>
      <c r="C98" s="327">
        <v>129467520.00000001</v>
      </c>
      <c r="D98" s="222">
        <v>12</v>
      </c>
      <c r="E98" s="308">
        <v>10</v>
      </c>
      <c r="F98" s="169">
        <v>87975012.423000008</v>
      </c>
      <c r="G98" s="169"/>
      <c r="H98" s="327"/>
      <c r="I98" s="326">
        <f t="shared" si="96"/>
        <v>87975012.423000008</v>
      </c>
      <c r="J98" s="226">
        <f t="shared" si="97"/>
        <v>-41492507.577000007</v>
      </c>
      <c r="K98" s="172">
        <f t="shared" si="98"/>
        <v>0.67951415477024657</v>
      </c>
      <c r="L98" s="369" t="str">
        <f t="shared" si="102"/>
        <v>0,2%</v>
      </c>
      <c r="M98" s="186">
        <f t="shared" si="103"/>
        <v>175950.02484600001</v>
      </c>
      <c r="O98" s="608"/>
      <c r="P98" s="325" t="s">
        <v>101</v>
      </c>
      <c r="Q98" s="327">
        <v>134784000</v>
      </c>
      <c r="R98" s="222">
        <v>7</v>
      </c>
      <c r="S98" s="308">
        <v>7</v>
      </c>
      <c r="T98" s="169">
        <v>69537463.963800013</v>
      </c>
      <c r="U98" s="169"/>
      <c r="V98" s="327"/>
      <c r="W98" s="326">
        <f t="shared" si="99"/>
        <v>69537463.963800013</v>
      </c>
      <c r="X98" s="226">
        <f t="shared" si="100"/>
        <v>-65246536.036199987</v>
      </c>
      <c r="Y98" s="172">
        <f t="shared" si="101"/>
        <v>0.51591779412838323</v>
      </c>
      <c r="Z98" s="369">
        <f t="shared" si="104"/>
        <v>0</v>
      </c>
      <c r="AA98" s="186">
        <f t="shared" si="105"/>
        <v>0</v>
      </c>
    </row>
    <row r="99" spans="1:27" s="187" customFormat="1" ht="14.5" customHeight="1" thickBot="1" x14ac:dyDescent="0.4">
      <c r="A99" s="625"/>
      <c r="B99" s="352" t="s">
        <v>77</v>
      </c>
      <c r="C99" s="329">
        <f t="shared" ref="C99:H99" si="106">SUM(C93:C98)</f>
        <v>924768000</v>
      </c>
      <c r="D99" s="178">
        <f t="shared" si="106"/>
        <v>93</v>
      </c>
      <c r="E99" s="178">
        <f t="shared" si="106"/>
        <v>76</v>
      </c>
      <c r="F99" s="329">
        <f t="shared" si="106"/>
        <v>661661988.89880002</v>
      </c>
      <c r="G99" s="330">
        <f t="shared" si="106"/>
        <v>11705765.765900001</v>
      </c>
      <c r="H99" s="329">
        <f t="shared" si="106"/>
        <v>0</v>
      </c>
      <c r="I99" s="329">
        <f t="shared" si="96"/>
        <v>649956223.1329</v>
      </c>
      <c r="J99" s="329">
        <f t="shared" si="97"/>
        <v>-274811776.8671</v>
      </c>
      <c r="K99" s="305">
        <f t="shared" si="98"/>
        <v>0.7028316541369295</v>
      </c>
      <c r="L99" s="369" t="str">
        <f>IF(K99&gt;100%,"CAPAI 100%",IF(K99&gt;90%,"CAPAI 90%","BELUM CAPAI"))</f>
        <v>BELUM CAPAI</v>
      </c>
      <c r="M99" s="202">
        <f>SUM(M93:M98)</f>
        <v>1784500.7528411001</v>
      </c>
      <c r="O99" s="609"/>
      <c r="P99" s="354" t="s">
        <v>77</v>
      </c>
      <c r="Q99" s="336">
        <f t="shared" ref="Q99:V99" si="107">SUM(Q93:Q98)</f>
        <v>898560000</v>
      </c>
      <c r="R99" s="207">
        <f t="shared" si="107"/>
        <v>61</v>
      </c>
      <c r="S99" s="207">
        <f>SUM(S93:S98)</f>
        <v>52</v>
      </c>
      <c r="T99" s="336">
        <f t="shared" si="107"/>
        <v>435819491.22509998</v>
      </c>
      <c r="U99" s="337">
        <f t="shared" si="107"/>
        <v>11097121.8566</v>
      </c>
      <c r="V99" s="336">
        <f t="shared" si="107"/>
        <v>0</v>
      </c>
      <c r="W99" s="336">
        <f t="shared" si="99"/>
        <v>424722369.36849999</v>
      </c>
      <c r="X99" s="336">
        <f>W99-Q99</f>
        <v>-473837630.63150001</v>
      </c>
      <c r="Y99" s="313">
        <f t="shared" si="101"/>
        <v>0.4726700157680066</v>
      </c>
      <c r="Z99" s="369" t="str">
        <f>IF(Y99&gt;100%,"CAPAI 100%",IF(Y99&gt;90%,"CAPAI 90%","BELUM CAPAI"))</f>
        <v>BELUM CAPAI</v>
      </c>
      <c r="AA99" s="202">
        <f>SUM(AA93:AA98)</f>
        <v>124134.0432424</v>
      </c>
    </row>
    <row r="100" spans="1:27" ht="15" customHeight="1" x14ac:dyDescent="0.55000000000000004">
      <c r="A100" s="219"/>
      <c r="B100" s="324" t="str">
        <f>$B$12</f>
        <v>TARGET Q2</v>
      </c>
      <c r="C100" s="243">
        <f>C101*C99</f>
        <v>832291200</v>
      </c>
      <c r="D100" s="597"/>
      <c r="E100" s="598"/>
      <c r="F100" s="598"/>
      <c r="G100" s="598"/>
      <c r="H100" s="599"/>
      <c r="I100" s="243">
        <f>I99</f>
        <v>649956223.1329</v>
      </c>
      <c r="J100" s="243">
        <f>I100-C100</f>
        <v>-182334976.8671</v>
      </c>
      <c r="K100" s="183">
        <f t="shared" si="98"/>
        <v>0.78092406015214388</v>
      </c>
      <c r="O100" s="309"/>
      <c r="P100" s="324" t="str">
        <f>$B$12</f>
        <v>TARGET Q2</v>
      </c>
      <c r="Q100" s="243">
        <f>Q101*Q99</f>
        <v>808704000</v>
      </c>
      <c r="R100" s="597"/>
      <c r="S100" s="598"/>
      <c r="T100" s="598"/>
      <c r="U100" s="598"/>
      <c r="V100" s="599"/>
      <c r="W100" s="243">
        <f>W99</f>
        <v>424722369.36849999</v>
      </c>
      <c r="X100" s="243">
        <f>W100-Q100</f>
        <v>-383981630.63150001</v>
      </c>
      <c r="Y100" s="183">
        <f>W100/Q100</f>
        <v>0.52518890640889615</v>
      </c>
      <c r="Z100" s="192"/>
    </row>
    <row r="101" spans="1:27" ht="24" thickBot="1" x14ac:dyDescent="0.6">
      <c r="C101" s="210">
        <v>0.9</v>
      </c>
      <c r="O101" s="309"/>
      <c r="Q101" s="210">
        <v>0.9</v>
      </c>
    </row>
    <row r="102" spans="1:27" ht="17.149999999999999" customHeight="1" x14ac:dyDescent="0.35">
      <c r="A102" s="623">
        <v>10</v>
      </c>
      <c r="B102" s="352" t="s">
        <v>57</v>
      </c>
      <c r="C102" s="353" t="s">
        <v>37</v>
      </c>
      <c r="D102" s="616" t="s">
        <v>91</v>
      </c>
      <c r="E102" s="616" t="s">
        <v>62</v>
      </c>
      <c r="F102" s="604" t="s">
        <v>121</v>
      </c>
      <c r="G102" s="605"/>
      <c r="H102" s="605"/>
      <c r="I102" s="606"/>
      <c r="J102" s="587" t="s">
        <v>65</v>
      </c>
      <c r="K102" s="352" t="s">
        <v>66</v>
      </c>
      <c r="O102" s="613">
        <v>10</v>
      </c>
      <c r="P102" s="354" t="s">
        <v>57</v>
      </c>
      <c r="Q102" s="355" t="s">
        <v>122</v>
      </c>
      <c r="R102" s="591" t="s">
        <v>91</v>
      </c>
      <c r="S102" s="591" t="s">
        <v>62</v>
      </c>
      <c r="T102" s="610" t="s">
        <v>121</v>
      </c>
      <c r="U102" s="611"/>
      <c r="V102" s="611"/>
      <c r="W102" s="612"/>
      <c r="X102" s="595" t="s">
        <v>65</v>
      </c>
      <c r="Y102" s="354" t="s">
        <v>66</v>
      </c>
    </row>
    <row r="103" spans="1:27" ht="37.5" customHeight="1" x14ac:dyDescent="0.35">
      <c r="A103" s="623"/>
      <c r="B103" s="352" t="s">
        <v>93</v>
      </c>
      <c r="C103" s="353" t="str">
        <f>C92</f>
        <v>TARGET 100%</v>
      </c>
      <c r="D103" s="617"/>
      <c r="E103" s="617"/>
      <c r="F103" s="163" t="str">
        <f>F4</f>
        <v>OMSET MEI
 (1-31)</v>
      </c>
      <c r="G103" s="163" t="str">
        <f>G4</f>
        <v>OMSET PRODUK</v>
      </c>
      <c r="H103" s="353" t="s">
        <v>63</v>
      </c>
      <c r="I103" s="353" t="s">
        <v>64</v>
      </c>
      <c r="J103" s="587"/>
      <c r="K103" s="164">
        <f>K92</f>
        <v>1</v>
      </c>
      <c r="O103" s="614"/>
      <c r="P103" s="354" t="s">
        <v>93</v>
      </c>
      <c r="Q103" s="355" t="str">
        <f>Q92</f>
        <v>TARGET 100%</v>
      </c>
      <c r="R103" s="592"/>
      <c r="S103" s="592"/>
      <c r="T103" s="200" t="str">
        <f>T4</f>
        <v>OMSET MEI
 (1-31)</v>
      </c>
      <c r="U103" s="200" t="str">
        <f>G4</f>
        <v>OMSET PRODUK</v>
      </c>
      <c r="V103" s="355" t="s">
        <v>63</v>
      </c>
      <c r="W103" s="355" t="s">
        <v>64</v>
      </c>
      <c r="X103" s="596"/>
      <c r="Y103" s="201">
        <f>K103</f>
        <v>1</v>
      </c>
    </row>
    <row r="104" spans="1:27" ht="14.5" customHeight="1" x14ac:dyDescent="0.35">
      <c r="A104" s="623"/>
      <c r="B104" s="325" t="s">
        <v>96</v>
      </c>
      <c r="C104" s="326">
        <v>369907200</v>
      </c>
      <c r="D104" s="222">
        <v>24</v>
      </c>
      <c r="E104" s="308">
        <v>23</v>
      </c>
      <c r="F104" s="169">
        <v>217544394.08389992</v>
      </c>
      <c r="G104" s="169">
        <v>4760000.0160000008</v>
      </c>
      <c r="H104" s="326"/>
      <c r="I104" s="326">
        <f t="shared" ref="I104:I110" si="108">F104-G104</f>
        <v>212784394.06789991</v>
      </c>
      <c r="J104" s="226">
        <f t="shared" ref="J104:J110" si="109">I104-C104</f>
        <v>-157122805.93210009</v>
      </c>
      <c r="K104" s="172">
        <f>I104/C104</f>
        <v>0.57523723265700133</v>
      </c>
      <c r="L104" s="369">
        <f>IF(K104&gt;120%,"0,55%",IF(K104&gt;100%,"0,45%",IF(K104&gt;80%,"0,35%",IF(K104&gt;60%,"0,2%",0))))</f>
        <v>0</v>
      </c>
      <c r="M104" s="186">
        <f>L104*I104</f>
        <v>0</v>
      </c>
      <c r="O104" s="614"/>
      <c r="P104" s="325" t="s">
        <v>96</v>
      </c>
      <c r="Q104" s="326">
        <v>123302400</v>
      </c>
      <c r="R104" s="222">
        <v>11</v>
      </c>
      <c r="S104" s="308">
        <v>7</v>
      </c>
      <c r="T104" s="169">
        <v>47707081.081399992</v>
      </c>
      <c r="U104" s="169">
        <v>1392000</v>
      </c>
      <c r="V104" s="326"/>
      <c r="W104" s="326">
        <f t="shared" ref="W104:W110" si="110">T104-U104</f>
        <v>46315081.081399992</v>
      </c>
      <c r="X104" s="226">
        <f t="shared" ref="X104:X109" si="111">T104-Q104</f>
        <v>-75595318.918600008</v>
      </c>
      <c r="Y104" s="172">
        <f t="shared" ref="Y104:Y111" si="112">W104/Q104</f>
        <v>0.37562189447569544</v>
      </c>
      <c r="Z104" s="369">
        <f>IF(Y104&gt;120%,"0,55%",IF(Y104&gt;100%,"0,45%",IF(Y104&gt;80%,"0,35%",IF(Y104&gt;60%,"0,2%",0))))</f>
        <v>0</v>
      </c>
      <c r="AA104" s="186">
        <f>Z104*W104</f>
        <v>0</v>
      </c>
    </row>
    <row r="105" spans="1:27" ht="14.5" customHeight="1" x14ac:dyDescent="0.35">
      <c r="A105" s="623"/>
      <c r="B105" s="325" t="s">
        <v>97</v>
      </c>
      <c r="C105" s="327">
        <v>0</v>
      </c>
      <c r="D105" s="222"/>
      <c r="E105" s="308"/>
      <c r="F105" s="169"/>
      <c r="G105" s="328"/>
      <c r="H105" s="327"/>
      <c r="I105" s="326">
        <f t="shared" si="108"/>
        <v>0</v>
      </c>
      <c r="J105" s="226">
        <f t="shared" si="109"/>
        <v>0</v>
      </c>
      <c r="K105" s="172">
        <v>0</v>
      </c>
      <c r="L105" s="369">
        <f t="shared" ref="L105:L109" si="113">IF(K105&gt;120%,"0,55%",IF(K105&gt;100%,"0,45%",IF(K105&gt;80%,"0,35%",IF(K105&gt;60%,"0,2%",0))))</f>
        <v>0</v>
      </c>
      <c r="M105" s="186">
        <f t="shared" ref="M105:M109" si="114">L105*I105</f>
        <v>0</v>
      </c>
      <c r="O105" s="614"/>
      <c r="P105" s="325" t="s">
        <v>97</v>
      </c>
      <c r="Q105" s="327">
        <v>426816000</v>
      </c>
      <c r="R105" s="222">
        <v>25</v>
      </c>
      <c r="S105" s="308">
        <v>23</v>
      </c>
      <c r="T105" s="169">
        <v>283094215.3149001</v>
      </c>
      <c r="U105" s="328"/>
      <c r="V105" s="327"/>
      <c r="W105" s="326">
        <f>T105-U105</f>
        <v>283094215.3149001</v>
      </c>
      <c r="X105" s="226">
        <f>T105-Q105</f>
        <v>-143721784.6850999</v>
      </c>
      <c r="Y105" s="172">
        <f t="shared" si="112"/>
        <v>0.66326992267136209</v>
      </c>
      <c r="Z105" s="369" t="str">
        <f t="shared" ref="Z105:Z109" si="115">IF(Y105&gt;120%,"0,55%",IF(Y105&gt;100%,"0,45%",IF(Y105&gt;80%,"0,35%",IF(Y105&gt;60%,"0,2%",0))))</f>
        <v>0,2%</v>
      </c>
      <c r="AA105" s="186">
        <f t="shared" ref="AA105:AA109" si="116">Z105*W105</f>
        <v>566188.43062980019</v>
      </c>
    </row>
    <row r="106" spans="1:27" ht="14.5" customHeight="1" x14ac:dyDescent="0.35">
      <c r="A106" s="623"/>
      <c r="B106" s="325" t="s">
        <v>98</v>
      </c>
      <c r="C106" s="327">
        <v>138715200</v>
      </c>
      <c r="D106" s="222">
        <v>10</v>
      </c>
      <c r="E106" s="308">
        <v>9</v>
      </c>
      <c r="F106" s="169">
        <v>38384757.207399987</v>
      </c>
      <c r="G106" s="169"/>
      <c r="H106" s="327"/>
      <c r="I106" s="326">
        <f t="shared" si="108"/>
        <v>38384757.207399987</v>
      </c>
      <c r="J106" s="226">
        <f t="shared" si="109"/>
        <v>-100330442.79260001</v>
      </c>
      <c r="K106" s="172">
        <f t="shared" ref="K106:K109" si="117">I106/C106</f>
        <v>0.2767163022321994</v>
      </c>
      <c r="L106" s="369">
        <f t="shared" si="113"/>
        <v>0</v>
      </c>
      <c r="M106" s="186">
        <f t="shared" si="114"/>
        <v>0</v>
      </c>
      <c r="O106" s="614"/>
      <c r="P106" s="325" t="s">
        <v>98</v>
      </c>
      <c r="Q106" s="327">
        <v>0</v>
      </c>
      <c r="R106" s="222"/>
      <c r="S106" s="308"/>
      <c r="T106" s="169"/>
      <c r="U106" s="169"/>
      <c r="V106" s="327"/>
      <c r="W106" s="326">
        <f t="shared" si="110"/>
        <v>0</v>
      </c>
      <c r="X106" s="226">
        <f t="shared" si="111"/>
        <v>0</v>
      </c>
      <c r="Y106" s="172">
        <v>0</v>
      </c>
      <c r="Z106" s="369">
        <f t="shared" si="115"/>
        <v>0</v>
      </c>
      <c r="AA106" s="186">
        <f t="shared" si="116"/>
        <v>0</v>
      </c>
    </row>
    <row r="107" spans="1:27" ht="14.5" customHeight="1" x14ac:dyDescent="0.35">
      <c r="A107" s="623"/>
      <c r="B107" s="325" t="s">
        <v>99</v>
      </c>
      <c r="C107" s="327">
        <v>138715200</v>
      </c>
      <c r="D107" s="222">
        <v>10</v>
      </c>
      <c r="E107" s="308">
        <v>7</v>
      </c>
      <c r="F107" s="169">
        <v>111178658.55879992</v>
      </c>
      <c r="G107" s="169">
        <v>1617117.1172000002</v>
      </c>
      <c r="H107" s="327"/>
      <c r="I107" s="326">
        <f t="shared" si="108"/>
        <v>109561541.44159992</v>
      </c>
      <c r="J107" s="226">
        <f t="shared" si="109"/>
        <v>-29153658.55840008</v>
      </c>
      <c r="K107" s="172">
        <f t="shared" si="117"/>
        <v>0.78983082922131043</v>
      </c>
      <c r="L107" s="369" t="str">
        <f t="shared" si="113"/>
        <v>0,2%</v>
      </c>
      <c r="M107" s="186">
        <f t="shared" si="114"/>
        <v>219123.08288319985</v>
      </c>
      <c r="O107" s="614"/>
      <c r="P107" s="325" t="s">
        <v>99</v>
      </c>
      <c r="Q107" s="327">
        <v>151756800</v>
      </c>
      <c r="R107" s="222">
        <v>20</v>
      </c>
      <c r="S107" s="308">
        <v>16</v>
      </c>
      <c r="T107" s="169">
        <v>60096768.468400002</v>
      </c>
      <c r="U107" s="169">
        <v>556800</v>
      </c>
      <c r="V107" s="327"/>
      <c r="W107" s="326">
        <f t="shared" si="110"/>
        <v>59539968.468400002</v>
      </c>
      <c r="X107" s="226">
        <f t="shared" si="111"/>
        <v>-91660031.531599998</v>
      </c>
      <c r="Y107" s="172">
        <f t="shared" si="112"/>
        <v>0.39233805976667935</v>
      </c>
      <c r="Z107" s="369">
        <f t="shared" si="115"/>
        <v>0</v>
      </c>
      <c r="AA107" s="186">
        <f t="shared" si="116"/>
        <v>0</v>
      </c>
    </row>
    <row r="108" spans="1:27" ht="14.5" customHeight="1" x14ac:dyDescent="0.35">
      <c r="A108" s="623"/>
      <c r="B108" s="325" t="s">
        <v>100</v>
      </c>
      <c r="C108" s="327">
        <v>129467520.00000001</v>
      </c>
      <c r="D108" s="222">
        <v>7</v>
      </c>
      <c r="E108" s="308">
        <v>6</v>
      </c>
      <c r="F108" s="169">
        <v>28888640.540600002</v>
      </c>
      <c r="G108" s="169">
        <v>1158558.5586000001</v>
      </c>
      <c r="H108" s="327"/>
      <c r="I108" s="326">
        <f t="shared" si="108"/>
        <v>27730081.982000001</v>
      </c>
      <c r="J108" s="226">
        <f t="shared" si="109"/>
        <v>-101737438.01800001</v>
      </c>
      <c r="K108" s="172">
        <f t="shared" si="117"/>
        <v>0.21418562726775023</v>
      </c>
      <c r="L108" s="369">
        <f t="shared" si="113"/>
        <v>0</v>
      </c>
      <c r="M108" s="186">
        <f t="shared" si="114"/>
        <v>0</v>
      </c>
      <c r="O108" s="614"/>
      <c r="P108" s="325" t="s">
        <v>100</v>
      </c>
      <c r="Q108" s="327">
        <v>132787200.00000001</v>
      </c>
      <c r="R108" s="222">
        <v>9</v>
      </c>
      <c r="S108" s="308">
        <v>5</v>
      </c>
      <c r="T108" s="169">
        <v>14544718.468600001</v>
      </c>
      <c r="U108" s="169"/>
      <c r="V108" s="327"/>
      <c r="W108" s="326">
        <f t="shared" si="110"/>
        <v>14544718.468600001</v>
      </c>
      <c r="X108" s="226">
        <f t="shared" si="111"/>
        <v>-118242481.53140001</v>
      </c>
      <c r="Y108" s="172">
        <f t="shared" si="112"/>
        <v>0.10953403994210285</v>
      </c>
      <c r="Z108" s="369">
        <f t="shared" si="115"/>
        <v>0</v>
      </c>
      <c r="AA108" s="186">
        <f t="shared" si="116"/>
        <v>0</v>
      </c>
    </row>
    <row r="109" spans="1:27" ht="14.5" customHeight="1" x14ac:dyDescent="0.35">
      <c r="A109" s="623"/>
      <c r="B109" s="325" t="s">
        <v>101</v>
      </c>
      <c r="C109" s="327">
        <v>147962880</v>
      </c>
      <c r="D109" s="222">
        <v>18</v>
      </c>
      <c r="E109" s="308">
        <v>13</v>
      </c>
      <c r="F109" s="169">
        <v>75414396.1083</v>
      </c>
      <c r="G109" s="169">
        <v>2040000</v>
      </c>
      <c r="H109" s="327"/>
      <c r="I109" s="326">
        <f t="shared" si="108"/>
        <v>73374396.1083</v>
      </c>
      <c r="J109" s="226">
        <f t="shared" si="109"/>
        <v>-74588483.8917</v>
      </c>
      <c r="K109" s="172">
        <f t="shared" si="117"/>
        <v>0.49589732308738516</v>
      </c>
      <c r="L109" s="369">
        <f t="shared" si="113"/>
        <v>0</v>
      </c>
      <c r="M109" s="186">
        <f t="shared" si="114"/>
        <v>0</v>
      </c>
      <c r="O109" s="614"/>
      <c r="P109" s="325" t="s">
        <v>101</v>
      </c>
      <c r="Q109" s="327">
        <v>113817600</v>
      </c>
      <c r="R109" s="222">
        <v>10</v>
      </c>
      <c r="S109" s="308">
        <v>9</v>
      </c>
      <c r="T109" s="169">
        <v>34148749.999600016</v>
      </c>
      <c r="U109" s="169"/>
      <c r="V109" s="327"/>
      <c r="W109" s="326">
        <f t="shared" si="110"/>
        <v>34148749.999600016</v>
      </c>
      <c r="X109" s="226">
        <f t="shared" si="111"/>
        <v>-79668850.000399977</v>
      </c>
      <c r="Y109" s="172">
        <f t="shared" si="112"/>
        <v>0.30003048737277904</v>
      </c>
      <c r="Z109" s="369">
        <f t="shared" si="115"/>
        <v>0</v>
      </c>
      <c r="AA109" s="186">
        <f t="shared" si="116"/>
        <v>0</v>
      </c>
    </row>
    <row r="110" spans="1:27" ht="14.5" customHeight="1" thickBot="1" x14ac:dyDescent="0.4">
      <c r="A110" s="623"/>
      <c r="B110" s="352" t="s">
        <v>77</v>
      </c>
      <c r="C110" s="329">
        <f t="shared" ref="C110:H110" si="118">SUM(C104:C109)</f>
        <v>924768000</v>
      </c>
      <c r="D110" s="178">
        <f t="shared" si="118"/>
        <v>69</v>
      </c>
      <c r="E110" s="178">
        <f t="shared" si="118"/>
        <v>58</v>
      </c>
      <c r="F110" s="329">
        <f t="shared" si="118"/>
        <v>471410846.49899983</v>
      </c>
      <c r="G110" s="330">
        <f t="shared" si="118"/>
        <v>9575675.691800002</v>
      </c>
      <c r="H110" s="329">
        <f t="shared" si="118"/>
        <v>0</v>
      </c>
      <c r="I110" s="329">
        <f t="shared" si="108"/>
        <v>461835170.80719984</v>
      </c>
      <c r="J110" s="329">
        <f t="shared" si="109"/>
        <v>-462932829.19280016</v>
      </c>
      <c r="K110" s="305">
        <f>I110/C110</f>
        <v>0.49940652229229365</v>
      </c>
      <c r="L110" s="369" t="str">
        <f>IF(K110&gt;100%,"CAPAI 100%",IF(K110&gt;90%,"CAPAI 90%","BELUM CAPAI"))</f>
        <v>BELUM CAPAI</v>
      </c>
      <c r="M110" s="202">
        <f>SUM(M104:M109)</f>
        <v>219123.08288319985</v>
      </c>
      <c r="O110" s="615"/>
      <c r="P110" s="354" t="s">
        <v>77</v>
      </c>
      <c r="Q110" s="336">
        <f t="shared" ref="Q110:V110" si="119">SUM(Q104:Q109)</f>
        <v>948480000</v>
      </c>
      <c r="R110" s="207">
        <f t="shared" si="119"/>
        <v>75</v>
      </c>
      <c r="S110" s="207">
        <f t="shared" si="119"/>
        <v>60</v>
      </c>
      <c r="T110" s="336">
        <f t="shared" si="119"/>
        <v>439591533.33290005</v>
      </c>
      <c r="U110" s="337">
        <f t="shared" si="119"/>
        <v>1948800</v>
      </c>
      <c r="V110" s="336">
        <f t="shared" si="119"/>
        <v>0</v>
      </c>
      <c r="W110" s="336">
        <f t="shared" si="110"/>
        <v>437642733.33290005</v>
      </c>
      <c r="X110" s="336">
        <f>W110-Q110</f>
        <v>-510837266.66709995</v>
      </c>
      <c r="Y110" s="313">
        <f t="shared" si="112"/>
        <v>0.46141482512324988</v>
      </c>
      <c r="Z110" s="369" t="str">
        <f>IF(Y110&gt;100%,"CAPAI 100%",IF(Y110&gt;90%,"CAPAI 90%","BELUM CAPAI"))</f>
        <v>BELUM CAPAI</v>
      </c>
      <c r="AA110" s="202">
        <f>SUM(AA104:AA109)</f>
        <v>566188.43062980019</v>
      </c>
    </row>
    <row r="111" spans="1:27" ht="14.5" customHeight="1" x14ac:dyDescent="0.35">
      <c r="B111" s="324" t="str">
        <f>$B$12</f>
        <v>TARGET Q2</v>
      </c>
      <c r="C111" s="243">
        <f>C112*C110</f>
        <v>832291200</v>
      </c>
      <c r="D111" s="597"/>
      <c r="E111" s="598"/>
      <c r="F111" s="598"/>
      <c r="G111" s="598"/>
      <c r="H111" s="599"/>
      <c r="I111" s="243">
        <f>I110</f>
        <v>461835170.80719984</v>
      </c>
      <c r="J111" s="243">
        <f>I111-C111</f>
        <v>-370456029.19280016</v>
      </c>
      <c r="K111" s="183">
        <f>I111/C111</f>
        <v>0.55489613588032627</v>
      </c>
      <c r="P111" s="324" t="str">
        <f>$B$12</f>
        <v>TARGET Q2</v>
      </c>
      <c r="Q111" s="243">
        <f>Q112*Q110</f>
        <v>853632000</v>
      </c>
      <c r="R111" s="597"/>
      <c r="S111" s="598"/>
      <c r="T111" s="598"/>
      <c r="U111" s="598"/>
      <c r="V111" s="599"/>
      <c r="W111" s="243">
        <f>W110</f>
        <v>437642733.33290005</v>
      </c>
      <c r="X111" s="243">
        <f>W111-Q111</f>
        <v>-415989266.66709995</v>
      </c>
      <c r="Y111" s="183">
        <f t="shared" si="112"/>
        <v>0.51268313902583318</v>
      </c>
      <c r="Z111" s="192"/>
    </row>
    <row r="112" spans="1:27" ht="14.5" customHeight="1" x14ac:dyDescent="0.35">
      <c r="C112" s="210">
        <v>0.9</v>
      </c>
      <c r="Q112" s="210">
        <v>0.9</v>
      </c>
    </row>
    <row r="113" spans="2:28" x14ac:dyDescent="0.35">
      <c r="C113" s="210"/>
    </row>
    <row r="114" spans="2:28" s="290" customFormat="1" ht="14.5" customHeight="1" x14ac:dyDescent="0.35">
      <c r="C114" s="291"/>
      <c r="D114" s="292"/>
      <c r="E114" s="293"/>
      <c r="F114" s="294"/>
      <c r="G114" s="295"/>
      <c r="H114" s="291"/>
      <c r="I114" s="291"/>
      <c r="J114" s="296"/>
      <c r="K114" s="292"/>
      <c r="L114" s="297"/>
      <c r="M114" s="291"/>
      <c r="Q114" s="292"/>
      <c r="R114" s="299"/>
      <c r="S114" s="292"/>
      <c r="T114" s="294"/>
      <c r="U114" s="295"/>
      <c r="V114" s="291"/>
      <c r="W114" s="291"/>
      <c r="X114" s="291"/>
      <c r="Y114" s="292"/>
      <c r="Z114" s="291"/>
      <c r="AA114" s="300"/>
    </row>
    <row r="115" spans="2:28" ht="14.5" customHeight="1" x14ac:dyDescent="0.35"/>
    <row r="116" spans="2:28" ht="15" customHeight="1" x14ac:dyDescent="0.35">
      <c r="B116" s="580" t="s">
        <v>123</v>
      </c>
      <c r="C116" s="581"/>
      <c r="D116" s="581"/>
      <c r="E116" s="581"/>
      <c r="F116" s="581"/>
      <c r="G116" s="581"/>
      <c r="H116" s="581"/>
      <c r="I116" s="581"/>
      <c r="J116" s="581"/>
      <c r="K116" s="581"/>
      <c r="L116" s="581"/>
      <c r="M116" s="582"/>
      <c r="P116" s="580" t="s">
        <v>124</v>
      </c>
      <c r="Q116" s="581"/>
      <c r="R116" s="581"/>
      <c r="S116" s="581"/>
      <c r="T116" s="581"/>
      <c r="U116" s="581"/>
      <c r="V116" s="581"/>
      <c r="W116" s="581"/>
      <c r="X116" s="581"/>
      <c r="Y116" s="581"/>
      <c r="Z116" s="581"/>
      <c r="AA116" s="582"/>
    </row>
    <row r="117" spans="2:28" ht="15" customHeight="1" x14ac:dyDescent="0.35">
      <c r="B117" s="583"/>
      <c r="C117" s="584"/>
      <c r="D117" s="584"/>
      <c r="E117" s="584"/>
      <c r="F117" s="584"/>
      <c r="G117" s="584"/>
      <c r="H117" s="584"/>
      <c r="I117" s="584"/>
      <c r="J117" s="584"/>
      <c r="K117" s="584"/>
      <c r="L117" s="584"/>
      <c r="M117" s="585"/>
      <c r="P117" s="583"/>
      <c r="Q117" s="584"/>
      <c r="R117" s="584"/>
      <c r="S117" s="584"/>
      <c r="T117" s="584"/>
      <c r="U117" s="584"/>
      <c r="V117" s="584"/>
      <c r="W117" s="584"/>
      <c r="X117" s="584"/>
      <c r="Y117" s="584"/>
      <c r="Z117" s="584"/>
      <c r="AA117" s="585"/>
    </row>
    <row r="118" spans="2:28" ht="15" customHeight="1" x14ac:dyDescent="0.35">
      <c r="B118" s="586" t="s">
        <v>125</v>
      </c>
      <c r="C118" s="587" t="s">
        <v>94</v>
      </c>
      <c r="D118" s="586" t="s">
        <v>91</v>
      </c>
      <c r="E118" s="586" t="s">
        <v>62</v>
      </c>
      <c r="F118" s="588" t="str">
        <f>F48</f>
        <v>OMSET MEI
 (1-31)</v>
      </c>
      <c r="G118" s="588" t="s">
        <v>95</v>
      </c>
      <c r="H118" s="587" t="s">
        <v>63</v>
      </c>
      <c r="I118" s="587" t="s">
        <v>64</v>
      </c>
      <c r="J118" s="587" t="s">
        <v>126</v>
      </c>
      <c r="K118" s="589" t="s">
        <v>66</v>
      </c>
      <c r="L118" s="590" t="s">
        <v>127</v>
      </c>
      <c r="M118" s="372" t="s">
        <v>128</v>
      </c>
      <c r="P118" s="591" t="s">
        <v>125</v>
      </c>
      <c r="Q118" s="591" t="s">
        <v>94</v>
      </c>
      <c r="R118" s="593" t="s">
        <v>91</v>
      </c>
      <c r="S118" s="591" t="s">
        <v>62</v>
      </c>
      <c r="T118" s="576" t="str">
        <f>T26</f>
        <v>OMSET MEI
 (1-31)</v>
      </c>
      <c r="U118" s="576" t="str">
        <f>G4</f>
        <v>OMSET PRODUK</v>
      </c>
      <c r="V118" s="595" t="s">
        <v>63</v>
      </c>
      <c r="W118" s="595" t="s">
        <v>64</v>
      </c>
      <c r="X118" s="595" t="s">
        <v>126</v>
      </c>
      <c r="Y118" s="574" t="s">
        <v>66</v>
      </c>
      <c r="Z118" s="576" t="s">
        <v>127</v>
      </c>
      <c r="AA118" s="310" t="s">
        <v>128</v>
      </c>
    </row>
    <row r="119" spans="2:28" ht="30" customHeight="1" x14ac:dyDescent="0.35">
      <c r="B119" s="586"/>
      <c r="C119" s="587"/>
      <c r="D119" s="586"/>
      <c r="E119" s="586"/>
      <c r="F119" s="588"/>
      <c r="G119" s="588"/>
      <c r="H119" s="587"/>
      <c r="I119" s="587"/>
      <c r="J119" s="587"/>
      <c r="K119" s="589"/>
      <c r="L119" s="590"/>
      <c r="M119" s="302">
        <f>K103</f>
        <v>1</v>
      </c>
      <c r="P119" s="592"/>
      <c r="Q119" s="592"/>
      <c r="R119" s="594"/>
      <c r="S119" s="592"/>
      <c r="T119" s="577"/>
      <c r="U119" s="577"/>
      <c r="V119" s="596"/>
      <c r="W119" s="596"/>
      <c r="X119" s="596"/>
      <c r="Y119" s="575"/>
      <c r="Z119" s="577"/>
      <c r="AA119" s="311">
        <f>K4</f>
        <v>1</v>
      </c>
    </row>
    <row r="120" spans="2:28" x14ac:dyDescent="0.35">
      <c r="B120" s="226" t="str">
        <f>C3</f>
        <v>CHRISTOPER</v>
      </c>
      <c r="C120" s="326">
        <f t="shared" ref="C120:H120" si="120">C11</f>
        <v>1370304000</v>
      </c>
      <c r="D120" s="222">
        <f t="shared" si="120"/>
        <v>95</v>
      </c>
      <c r="E120" s="222">
        <f t="shared" si="120"/>
        <v>74</v>
      </c>
      <c r="F120" s="331">
        <f t="shared" si="120"/>
        <v>1075747396.6857998</v>
      </c>
      <c r="G120" s="332">
        <f t="shared" si="120"/>
        <v>5821531.5317000002</v>
      </c>
      <c r="H120" s="326">
        <f t="shared" si="120"/>
        <v>0</v>
      </c>
      <c r="I120" s="326">
        <f>F120-G120</f>
        <v>1069925865.1540998</v>
      </c>
      <c r="J120" s="326">
        <f t="shared" ref="J120:J125" si="121">I120-C120</f>
        <v>-300378134.84590018</v>
      </c>
      <c r="K120" s="172">
        <f t="shared" ref="K120:K125" si="122">I120/C120</f>
        <v>0.78079452818797856</v>
      </c>
      <c r="L120" s="226">
        <f t="shared" ref="L120:L125" si="123">H120+I120</f>
        <v>1069925865.1540998</v>
      </c>
      <c r="M120" s="333">
        <f t="shared" ref="M120:M125" si="124">L120/C120</f>
        <v>0.78079452818797856</v>
      </c>
      <c r="N120" s="228">
        <f>F120+H120</f>
        <v>1075747396.6857998</v>
      </c>
      <c r="P120" s="250" t="str">
        <f>Q3</f>
        <v>AGPS:BANTEN-BKS</v>
      </c>
      <c r="Q120" s="326">
        <f t="shared" ref="Q120:V120" si="125">Q11</f>
        <v>1123200000</v>
      </c>
      <c r="R120" s="338">
        <f t="shared" si="125"/>
        <v>76</v>
      </c>
      <c r="S120" s="222">
        <f t="shared" si="125"/>
        <v>57</v>
      </c>
      <c r="T120" s="326">
        <f t="shared" si="125"/>
        <v>481485119.36979985</v>
      </c>
      <c r="U120" s="339">
        <f t="shared" si="125"/>
        <v>4529729.7297</v>
      </c>
      <c r="V120" s="326">
        <f t="shared" si="125"/>
        <v>0</v>
      </c>
      <c r="W120" s="326">
        <f>T120-U120</f>
        <v>476955389.64009982</v>
      </c>
      <c r="X120" s="326">
        <f t="shared" ref="X120:X125" si="126">W120-Q120</f>
        <v>-646244610.35990024</v>
      </c>
      <c r="Y120" s="172">
        <f t="shared" ref="Y120:Y125" si="127">W120/Q120</f>
        <v>0.42463976997872133</v>
      </c>
      <c r="Z120" s="226">
        <f t="shared" ref="Z120:Z125" si="128">V120+W120</f>
        <v>476955389.64009982</v>
      </c>
      <c r="AA120" s="333">
        <f t="shared" ref="AA120:AA125" si="129">Z120/Q120</f>
        <v>0.42463976997872133</v>
      </c>
      <c r="AB120" s="228">
        <f>T120+V120</f>
        <v>481485119.36979985</v>
      </c>
    </row>
    <row r="121" spans="2:28" x14ac:dyDescent="0.35">
      <c r="B121" s="226" t="str">
        <f>C14</f>
        <v>ANNAUFAL</v>
      </c>
      <c r="C121" s="326">
        <f t="shared" ref="C121:H121" si="130">C22</f>
        <v>1522560000</v>
      </c>
      <c r="D121" s="222">
        <f t="shared" si="130"/>
        <v>89</v>
      </c>
      <c r="E121" s="222">
        <f t="shared" si="130"/>
        <v>70</v>
      </c>
      <c r="F121" s="331">
        <f t="shared" si="130"/>
        <v>683123279.72149992</v>
      </c>
      <c r="G121" s="332">
        <f t="shared" si="130"/>
        <v>8727207.2072999999</v>
      </c>
      <c r="H121" s="326">
        <f t="shared" si="130"/>
        <v>0</v>
      </c>
      <c r="I121" s="326">
        <f>F121-G121</f>
        <v>674396072.51419997</v>
      </c>
      <c r="J121" s="326">
        <f t="shared" si="121"/>
        <v>-848163927.48580003</v>
      </c>
      <c r="K121" s="172">
        <f t="shared" si="122"/>
        <v>0.4429356298038829</v>
      </c>
      <c r="L121" s="226">
        <f t="shared" si="123"/>
        <v>674396072.51419997</v>
      </c>
      <c r="M121" s="333">
        <f t="shared" si="124"/>
        <v>0.4429356298038829</v>
      </c>
      <c r="N121" s="228">
        <f>F121+H121</f>
        <v>683123279.72149992</v>
      </c>
      <c r="P121" s="250" t="str">
        <f>Q14</f>
        <v>AGPS:BOGOR</v>
      </c>
      <c r="Q121" s="326">
        <f t="shared" ref="Q121:V121" si="131">Q22</f>
        <v>1422720000</v>
      </c>
      <c r="R121" s="338">
        <f t="shared" si="131"/>
        <v>79</v>
      </c>
      <c r="S121" s="222">
        <f t="shared" si="131"/>
        <v>61</v>
      </c>
      <c r="T121" s="326">
        <f t="shared" si="131"/>
        <v>547303093.51419997</v>
      </c>
      <c r="U121" s="339">
        <f t="shared" si="131"/>
        <v>21202225.945900001</v>
      </c>
      <c r="V121" s="326">
        <f t="shared" si="131"/>
        <v>0</v>
      </c>
      <c r="W121" s="326">
        <f>T121-U121</f>
        <v>526100867.56829995</v>
      </c>
      <c r="X121" s="326">
        <f t="shared" si="126"/>
        <v>-896619132.43169999</v>
      </c>
      <c r="Y121" s="172">
        <f t="shared" si="127"/>
        <v>0.36978524767227561</v>
      </c>
      <c r="Z121" s="226">
        <f>V121+W121</f>
        <v>526100867.56829995</v>
      </c>
      <c r="AA121" s="333">
        <f t="shared" si="129"/>
        <v>0.36978524767227561</v>
      </c>
      <c r="AB121" s="228">
        <f>T121+V121</f>
        <v>547303093.51419997</v>
      </c>
    </row>
    <row r="122" spans="2:28" x14ac:dyDescent="0.35">
      <c r="B122" s="226" t="str">
        <f>C25</f>
        <v>DIKI HERMAWAN</v>
      </c>
      <c r="C122" s="326">
        <f t="shared" ref="C122:H122" si="132">C33</f>
        <v>1446432000</v>
      </c>
      <c r="D122" s="222">
        <f t="shared" si="132"/>
        <v>93</v>
      </c>
      <c r="E122" s="222">
        <f t="shared" si="132"/>
        <v>81</v>
      </c>
      <c r="F122" s="331">
        <f t="shared" si="132"/>
        <v>1457577312.9061995</v>
      </c>
      <c r="G122" s="332">
        <f t="shared" si="132"/>
        <v>34342882.866999999</v>
      </c>
      <c r="H122" s="326">
        <f t="shared" si="132"/>
        <v>0</v>
      </c>
      <c r="I122" s="326">
        <f>F122-G122</f>
        <v>1423234430.0391994</v>
      </c>
      <c r="J122" s="326">
        <f t="shared" si="121"/>
        <v>-23197569.960800648</v>
      </c>
      <c r="K122" s="172">
        <f t="shared" si="122"/>
        <v>0.98396221186975907</v>
      </c>
      <c r="L122" s="226">
        <f t="shared" si="123"/>
        <v>1423234430.0391994</v>
      </c>
      <c r="M122" s="333">
        <f t="shared" si="124"/>
        <v>0.98396221186975907</v>
      </c>
      <c r="N122" s="228">
        <f>F122+H122</f>
        <v>1457577312.9061995</v>
      </c>
      <c r="P122" s="250" t="str">
        <f>Q25</f>
        <v>AGPS : BEKASI</v>
      </c>
      <c r="Q122" s="326">
        <f t="shared" ref="Q122:V122" si="133">Q33</f>
        <v>1347840000</v>
      </c>
      <c r="R122" s="338">
        <f t="shared" si="133"/>
        <v>79</v>
      </c>
      <c r="S122" s="222">
        <f t="shared" si="133"/>
        <v>55</v>
      </c>
      <c r="T122" s="326">
        <f t="shared" si="133"/>
        <v>544191387.38760006</v>
      </c>
      <c r="U122" s="339">
        <f t="shared" si="133"/>
        <v>8834809.9100000001</v>
      </c>
      <c r="V122" s="326">
        <f t="shared" si="133"/>
        <v>0</v>
      </c>
      <c r="W122" s="326">
        <f>T122-U122</f>
        <v>535356577.47760004</v>
      </c>
      <c r="X122" s="326">
        <f t="shared" si="126"/>
        <v>-812483422.5223999</v>
      </c>
      <c r="Y122" s="172">
        <f t="shared" si="127"/>
        <v>0.39719594126721275</v>
      </c>
      <c r="Z122" s="226">
        <f t="shared" si="128"/>
        <v>535356577.47760004</v>
      </c>
      <c r="AA122" s="333">
        <f t="shared" si="129"/>
        <v>0.39719594126721275</v>
      </c>
      <c r="AB122" s="228">
        <f>T122+V122</f>
        <v>544191387.38760006</v>
      </c>
    </row>
    <row r="123" spans="2:28" ht="14.5" customHeight="1" x14ac:dyDescent="0.35">
      <c r="B123" s="226" t="str">
        <f>C36</f>
        <v>HABIBIE</v>
      </c>
      <c r="C123" s="326">
        <f t="shared" ref="C123:H123" si="134">C44</f>
        <v>1674816000</v>
      </c>
      <c r="D123" s="222">
        <f t="shared" si="134"/>
        <v>82</v>
      </c>
      <c r="E123" s="222">
        <f t="shared" si="134"/>
        <v>75</v>
      </c>
      <c r="F123" s="331">
        <f t="shared" si="134"/>
        <v>1611461717.5405998</v>
      </c>
      <c r="G123" s="332">
        <f t="shared" si="134"/>
        <v>36822049.549699999</v>
      </c>
      <c r="H123" s="326">
        <f t="shared" si="134"/>
        <v>0</v>
      </c>
      <c r="I123" s="326">
        <f>F123-G123</f>
        <v>1574639667.9908998</v>
      </c>
      <c r="J123" s="326">
        <f t="shared" si="121"/>
        <v>-100176332.0091002</v>
      </c>
      <c r="K123" s="172">
        <f t="shared" si="122"/>
        <v>0.94018666408184526</v>
      </c>
      <c r="L123" s="226">
        <f t="shared" si="123"/>
        <v>1574639667.9908998</v>
      </c>
      <c r="M123" s="333">
        <f t="shared" si="124"/>
        <v>0.94018666408184526</v>
      </c>
      <c r="N123" s="228">
        <f>F123+H123</f>
        <v>1611461717.5405998</v>
      </c>
      <c r="P123" s="250" t="str">
        <f>Q36</f>
        <v>GILBERT</v>
      </c>
      <c r="Q123" s="326">
        <f t="shared" ref="Q123:V123" si="135">Q44</f>
        <v>1872000000</v>
      </c>
      <c r="R123" s="338">
        <f t="shared" si="135"/>
        <v>61</v>
      </c>
      <c r="S123" s="222">
        <f t="shared" si="135"/>
        <v>52</v>
      </c>
      <c r="T123" s="326">
        <f t="shared" si="135"/>
        <v>1145055961.2611003</v>
      </c>
      <c r="U123" s="339">
        <f t="shared" si="135"/>
        <v>1902472.0721</v>
      </c>
      <c r="V123" s="326">
        <f t="shared" si="135"/>
        <v>0</v>
      </c>
      <c r="W123" s="326">
        <f>T123-U123</f>
        <v>1143153489.1890004</v>
      </c>
      <c r="X123" s="326">
        <f t="shared" si="126"/>
        <v>-728846510.81099963</v>
      </c>
      <c r="Y123" s="172">
        <f t="shared" si="127"/>
        <v>0.61065891516506432</v>
      </c>
      <c r="Z123" s="226">
        <f t="shared" si="128"/>
        <v>1143153489.1890004</v>
      </c>
      <c r="AA123" s="333">
        <f t="shared" si="129"/>
        <v>0.61065891516506432</v>
      </c>
      <c r="AB123" s="228">
        <f>T123+V123</f>
        <v>1145055961.2611003</v>
      </c>
    </row>
    <row r="124" spans="2:28" ht="14.5" customHeight="1" x14ac:dyDescent="0.35">
      <c r="B124" s="226" t="str">
        <f>C47</f>
        <v>RIDWAN</v>
      </c>
      <c r="C124" s="326">
        <f t="shared" ref="C124:H124" si="136">C55</f>
        <v>1598688000</v>
      </c>
      <c r="D124" s="222">
        <f t="shared" si="136"/>
        <v>107</v>
      </c>
      <c r="E124" s="222">
        <f t="shared" si="136"/>
        <v>94</v>
      </c>
      <c r="F124" s="331">
        <f t="shared" si="136"/>
        <v>1551609619.0098996</v>
      </c>
      <c r="G124" s="332">
        <f t="shared" si="136"/>
        <v>27983423.375799999</v>
      </c>
      <c r="H124" s="326">
        <f t="shared" si="136"/>
        <v>0</v>
      </c>
      <c r="I124" s="326">
        <f>F124-G124</f>
        <v>1523626195.6340997</v>
      </c>
      <c r="J124" s="326">
        <f t="shared" si="121"/>
        <v>-75061804.365900278</v>
      </c>
      <c r="K124" s="172">
        <f t="shared" si="122"/>
        <v>0.9530478715259636</v>
      </c>
      <c r="L124" s="226">
        <f t="shared" si="123"/>
        <v>1523626195.6340997</v>
      </c>
      <c r="M124" s="333">
        <f t="shared" si="124"/>
        <v>0.9530478715259636</v>
      </c>
      <c r="N124" s="228">
        <f>F124+H124</f>
        <v>1551609619.0098996</v>
      </c>
      <c r="P124" s="250" t="str">
        <f>Q47</f>
        <v>FAUZI</v>
      </c>
      <c r="Q124" s="326">
        <f t="shared" ref="Q124:V124" si="137">Q55</f>
        <v>1722240000</v>
      </c>
      <c r="R124" s="338">
        <f t="shared" si="137"/>
        <v>83</v>
      </c>
      <c r="S124" s="222">
        <f t="shared" si="137"/>
        <v>68</v>
      </c>
      <c r="T124" s="326">
        <f t="shared" si="137"/>
        <v>894484700.94070005</v>
      </c>
      <c r="U124" s="339">
        <f t="shared" si="137"/>
        <v>2351249.5494999997</v>
      </c>
      <c r="V124" s="326">
        <f t="shared" si="137"/>
        <v>0</v>
      </c>
      <c r="W124" s="326">
        <f>T124-U124</f>
        <v>892133451.39120007</v>
      </c>
      <c r="X124" s="326">
        <f t="shared" si="126"/>
        <v>-830106548.60879993</v>
      </c>
      <c r="Y124" s="172">
        <f t="shared" si="127"/>
        <v>0.51800762460005578</v>
      </c>
      <c r="Z124" s="226">
        <f t="shared" si="128"/>
        <v>892133451.39120007</v>
      </c>
      <c r="AA124" s="333">
        <f t="shared" si="129"/>
        <v>0.51800762460005578</v>
      </c>
      <c r="AB124" s="228">
        <f>T124+V124</f>
        <v>894484700.94070005</v>
      </c>
    </row>
    <row r="125" spans="2:28" x14ac:dyDescent="0.35">
      <c r="B125" s="352" t="s">
        <v>77</v>
      </c>
      <c r="C125" s="329">
        <f t="shared" ref="C125:H125" si="138">SUM(C120:C124)</f>
        <v>7612800000</v>
      </c>
      <c r="D125" s="178">
        <f t="shared" si="138"/>
        <v>466</v>
      </c>
      <c r="E125" s="178">
        <f t="shared" si="138"/>
        <v>394</v>
      </c>
      <c r="F125" s="334">
        <f t="shared" si="138"/>
        <v>6379519325.8639984</v>
      </c>
      <c r="G125" s="335">
        <f t="shared" si="138"/>
        <v>113697094.5315</v>
      </c>
      <c r="H125" s="329">
        <f t="shared" si="138"/>
        <v>0</v>
      </c>
      <c r="I125" s="329">
        <f>SUM(I120:I124)</f>
        <v>6265822231.3324986</v>
      </c>
      <c r="J125" s="329">
        <f t="shared" si="121"/>
        <v>-1346977768.6675014</v>
      </c>
      <c r="K125" s="305">
        <f t="shared" si="122"/>
        <v>0.82306408040832524</v>
      </c>
      <c r="L125" s="353">
        <f t="shared" si="123"/>
        <v>6265822231.3324986</v>
      </c>
      <c r="M125" s="305">
        <f t="shared" si="124"/>
        <v>0.82306408040832524</v>
      </c>
      <c r="P125" s="354" t="s">
        <v>77</v>
      </c>
      <c r="Q125" s="336">
        <f>SUM(Q120:Q124)</f>
        <v>7488000000</v>
      </c>
      <c r="R125" s="340">
        <f>SUM(R120:R124)</f>
        <v>378</v>
      </c>
      <c r="S125" s="207">
        <f t="shared" ref="S125:W125" si="139">SUM(S120:S124)</f>
        <v>293</v>
      </c>
      <c r="T125" s="336">
        <f>SUM(T120:T124)</f>
        <v>3612520262.4734001</v>
      </c>
      <c r="U125" s="337">
        <f t="shared" si="139"/>
        <v>38820487.207200006</v>
      </c>
      <c r="V125" s="336">
        <f t="shared" si="139"/>
        <v>0</v>
      </c>
      <c r="W125" s="336">
        <f t="shared" si="139"/>
        <v>3573699775.2662001</v>
      </c>
      <c r="X125" s="336">
        <f t="shared" si="126"/>
        <v>-3914300224.7337999</v>
      </c>
      <c r="Y125" s="313">
        <f t="shared" si="127"/>
        <v>0.47725691443191776</v>
      </c>
      <c r="Z125" s="355">
        <f t="shared" si="128"/>
        <v>3573699775.2662001</v>
      </c>
      <c r="AA125" s="313">
        <f t="shared" si="129"/>
        <v>0.47725691443191776</v>
      </c>
    </row>
    <row r="126" spans="2:28" x14ac:dyDescent="0.35">
      <c r="C126" s="202"/>
      <c r="D126" s="245"/>
      <c r="E126" s="245"/>
      <c r="F126" s="245"/>
      <c r="G126" s="245"/>
      <c r="H126" s="245"/>
      <c r="I126" s="245"/>
      <c r="J126" s="245"/>
      <c r="K126" s="245"/>
      <c r="L126" s="197"/>
      <c r="M126" s="202"/>
      <c r="Q126" s="202"/>
      <c r="R126" s="245"/>
      <c r="S126" s="245"/>
      <c r="T126" s="245"/>
      <c r="U126" s="245"/>
      <c r="V126" s="245"/>
      <c r="W126" s="202"/>
      <c r="X126" s="247"/>
      <c r="Y126" s="248"/>
      <c r="Z126" s="197"/>
      <c r="AA126" s="246"/>
    </row>
    <row r="127" spans="2:28" x14ac:dyDescent="0.35">
      <c r="K127" s="249"/>
    </row>
    <row r="128" spans="2:28" ht="15" customHeight="1" x14ac:dyDescent="0.35">
      <c r="B128" s="580" t="s">
        <v>129</v>
      </c>
      <c r="C128" s="581"/>
      <c r="D128" s="581"/>
      <c r="E128" s="581"/>
      <c r="F128" s="581"/>
      <c r="G128" s="581"/>
      <c r="H128" s="581"/>
      <c r="I128" s="581"/>
      <c r="J128" s="581"/>
      <c r="K128" s="581"/>
      <c r="L128" s="581"/>
      <c r="M128" s="582"/>
      <c r="P128" s="580" t="s">
        <v>130</v>
      </c>
      <c r="Q128" s="581"/>
      <c r="R128" s="581"/>
      <c r="S128" s="581"/>
      <c r="T128" s="581"/>
      <c r="U128" s="581"/>
      <c r="V128" s="581"/>
      <c r="W128" s="581"/>
      <c r="X128" s="581"/>
      <c r="Y128" s="581"/>
      <c r="Z128" s="581"/>
      <c r="AA128" s="582"/>
    </row>
    <row r="129" spans="2:28" ht="15" customHeight="1" x14ac:dyDescent="0.35">
      <c r="B129" s="583"/>
      <c r="C129" s="584"/>
      <c r="D129" s="584"/>
      <c r="E129" s="584"/>
      <c r="F129" s="584"/>
      <c r="G129" s="584"/>
      <c r="H129" s="584"/>
      <c r="I129" s="584"/>
      <c r="J129" s="584"/>
      <c r="K129" s="584"/>
      <c r="L129" s="584"/>
      <c r="M129" s="585"/>
      <c r="P129" s="583"/>
      <c r="Q129" s="584"/>
      <c r="R129" s="584"/>
      <c r="S129" s="584"/>
      <c r="T129" s="584"/>
      <c r="U129" s="584"/>
      <c r="V129" s="584"/>
      <c r="W129" s="584"/>
      <c r="X129" s="584"/>
      <c r="Y129" s="584"/>
      <c r="Z129" s="584"/>
      <c r="AA129" s="585"/>
    </row>
    <row r="130" spans="2:28" ht="15" customHeight="1" x14ac:dyDescent="0.35">
      <c r="B130" s="586" t="s">
        <v>125</v>
      </c>
      <c r="C130" s="587" t="s">
        <v>94</v>
      </c>
      <c r="D130" s="586" t="s">
        <v>91</v>
      </c>
      <c r="E130" s="586" t="s">
        <v>62</v>
      </c>
      <c r="F130" s="588" t="str">
        <f>F48</f>
        <v>OMSET MEI
 (1-31)</v>
      </c>
      <c r="G130" s="588" t="str">
        <f>G48</f>
        <v>OMSET PRODUK</v>
      </c>
      <c r="H130" s="587" t="s">
        <v>63</v>
      </c>
      <c r="I130" s="587" t="s">
        <v>64</v>
      </c>
      <c r="J130" s="587" t="s">
        <v>126</v>
      </c>
      <c r="K130" s="589" t="s">
        <v>66</v>
      </c>
      <c r="L130" s="590" t="s">
        <v>127</v>
      </c>
      <c r="M130" s="372" t="s">
        <v>128</v>
      </c>
      <c r="P130" s="591" t="s">
        <v>125</v>
      </c>
      <c r="Q130" s="591" t="s">
        <v>94</v>
      </c>
      <c r="R130" s="593" t="s">
        <v>91</v>
      </c>
      <c r="S130" s="591" t="s">
        <v>62</v>
      </c>
      <c r="T130" s="576" t="str">
        <f>T26</f>
        <v>OMSET MEI
 (1-31)</v>
      </c>
      <c r="U130" s="576" t="str">
        <f>G4</f>
        <v>OMSET PRODUK</v>
      </c>
      <c r="V130" s="595" t="s">
        <v>63</v>
      </c>
      <c r="W130" s="595" t="s">
        <v>64</v>
      </c>
      <c r="X130" s="595" t="s">
        <v>126</v>
      </c>
      <c r="Y130" s="574" t="s">
        <v>66</v>
      </c>
      <c r="Z130" s="576" t="s">
        <v>127</v>
      </c>
      <c r="AA130" s="310" t="s">
        <v>128</v>
      </c>
    </row>
    <row r="131" spans="2:28" ht="27.75" customHeight="1" x14ac:dyDescent="0.35">
      <c r="B131" s="586"/>
      <c r="C131" s="587"/>
      <c r="D131" s="586"/>
      <c r="E131" s="586"/>
      <c r="F131" s="588"/>
      <c r="G131" s="588"/>
      <c r="H131" s="587"/>
      <c r="I131" s="587"/>
      <c r="J131" s="587"/>
      <c r="K131" s="589"/>
      <c r="L131" s="590"/>
      <c r="M131" s="302">
        <f>M119</f>
        <v>1</v>
      </c>
      <c r="P131" s="592"/>
      <c r="Q131" s="592"/>
      <c r="R131" s="594"/>
      <c r="S131" s="592"/>
      <c r="T131" s="577"/>
      <c r="U131" s="577"/>
      <c r="V131" s="596"/>
      <c r="W131" s="596"/>
      <c r="X131" s="596"/>
      <c r="Y131" s="575"/>
      <c r="Z131" s="577"/>
      <c r="AA131" s="311">
        <f>K4</f>
        <v>1</v>
      </c>
    </row>
    <row r="132" spans="2:28" ht="15" customHeight="1" x14ac:dyDescent="0.35">
      <c r="B132" s="226" t="str">
        <f>C58</f>
        <v>AHMAD</v>
      </c>
      <c r="C132" s="326">
        <f t="shared" ref="C132:H132" si="140">C66</f>
        <v>924768000</v>
      </c>
      <c r="D132" s="222">
        <f t="shared" si="140"/>
        <v>77</v>
      </c>
      <c r="E132" s="222">
        <f t="shared" si="140"/>
        <v>76</v>
      </c>
      <c r="F132" s="331">
        <f t="shared" si="140"/>
        <v>601254845.40460002</v>
      </c>
      <c r="G132" s="332">
        <f t="shared" si="140"/>
        <v>17092072.0724</v>
      </c>
      <c r="H132" s="326">
        <f t="shared" si="140"/>
        <v>0</v>
      </c>
      <c r="I132" s="326">
        <f>F132-G132</f>
        <v>584162773.33220005</v>
      </c>
      <c r="J132" s="326">
        <f t="shared" ref="J132:J137" si="141">I132-C132</f>
        <v>-340605226.66779995</v>
      </c>
      <c r="K132" s="172">
        <f t="shared" ref="K132:K137" si="142">I132/C132</f>
        <v>0.63168575613797195</v>
      </c>
      <c r="L132" s="226">
        <f t="shared" ref="L132:L137" si="143">H132+I132</f>
        <v>584162773.33220005</v>
      </c>
      <c r="M132" s="333">
        <f t="shared" ref="M132:M137" si="144">L132/C132</f>
        <v>0.63168575613797195</v>
      </c>
      <c r="N132" s="228">
        <f>F132+H132</f>
        <v>601254845.40460002</v>
      </c>
      <c r="P132" s="250" t="str">
        <f>Q58</f>
        <v>AGUSTIAN</v>
      </c>
      <c r="Q132" s="226">
        <f t="shared" ref="Q132:V132" si="145">Q66</f>
        <v>1148160000</v>
      </c>
      <c r="R132" s="251">
        <f t="shared" si="145"/>
        <v>85</v>
      </c>
      <c r="S132" s="165">
        <f t="shared" si="145"/>
        <v>61</v>
      </c>
      <c r="T132" s="226">
        <f t="shared" si="145"/>
        <v>634333526.30680025</v>
      </c>
      <c r="U132" s="252">
        <f t="shared" si="145"/>
        <v>470400</v>
      </c>
      <c r="V132" s="226">
        <f t="shared" si="145"/>
        <v>0</v>
      </c>
      <c r="W132" s="226">
        <f>T132-U132</f>
        <v>633863126.30680025</v>
      </c>
      <c r="X132" s="226">
        <f t="shared" ref="X132:X137" si="146">W132-Q132</f>
        <v>-514296873.69319975</v>
      </c>
      <c r="Y132" s="172">
        <f t="shared" ref="Y132:Y137" si="147">W132/Q132</f>
        <v>0.5520686370425727</v>
      </c>
      <c r="Z132" s="171">
        <f t="shared" ref="Z132:Z137" si="148">V132+W132</f>
        <v>633863126.30680025</v>
      </c>
      <c r="AA132" s="227">
        <f t="shared" ref="AA132:AA137" si="149">Z132/Q132</f>
        <v>0.5520686370425727</v>
      </c>
      <c r="AB132" s="228">
        <f>T132+V132</f>
        <v>634333526.30680025</v>
      </c>
    </row>
    <row r="133" spans="2:28" x14ac:dyDescent="0.35">
      <c r="B133" s="226" t="str">
        <f>C69</f>
        <v>ALFIN</v>
      </c>
      <c r="C133" s="326">
        <f t="shared" ref="C133:H133" si="150">C77</f>
        <v>1216800000</v>
      </c>
      <c r="D133" s="222">
        <f t="shared" si="150"/>
        <v>92</v>
      </c>
      <c r="E133" s="222">
        <f t="shared" si="150"/>
        <v>96</v>
      </c>
      <c r="F133" s="331">
        <f t="shared" si="150"/>
        <v>1160943155.0809999</v>
      </c>
      <c r="G133" s="332">
        <f t="shared" si="150"/>
        <v>11687927.927999999</v>
      </c>
      <c r="H133" s="326">
        <f t="shared" si="150"/>
        <v>0</v>
      </c>
      <c r="I133" s="326">
        <f>F133-G133</f>
        <v>1149255227.1529999</v>
      </c>
      <c r="J133" s="326">
        <f t="shared" si="141"/>
        <v>-67544772.847000122</v>
      </c>
      <c r="K133" s="172">
        <f t="shared" si="142"/>
        <v>0.94448983165105183</v>
      </c>
      <c r="L133" s="226">
        <f t="shared" si="143"/>
        <v>1149255227.1529999</v>
      </c>
      <c r="M133" s="333">
        <f t="shared" si="144"/>
        <v>0.94448983165105183</v>
      </c>
      <c r="N133" s="228">
        <f>F133+H133</f>
        <v>1160943155.0809999</v>
      </c>
      <c r="P133" s="250" t="str">
        <f>Q69</f>
        <v>RAYFAHMI</v>
      </c>
      <c r="Q133" s="226">
        <f t="shared" ref="Q133:V133" si="151">Q77</f>
        <v>1148160000</v>
      </c>
      <c r="R133" s="251">
        <f t="shared" si="151"/>
        <v>94</v>
      </c>
      <c r="S133" s="165">
        <f t="shared" si="151"/>
        <v>72</v>
      </c>
      <c r="T133" s="226">
        <f t="shared" si="151"/>
        <v>643964290.98969984</v>
      </c>
      <c r="U133" s="252">
        <f t="shared" si="151"/>
        <v>6571664.8646999998</v>
      </c>
      <c r="V133" s="226">
        <f t="shared" si="151"/>
        <v>0</v>
      </c>
      <c r="W133" s="226">
        <f>T133-U133</f>
        <v>637392626.12499988</v>
      </c>
      <c r="X133" s="226">
        <f t="shared" si="146"/>
        <v>-510767373.87500012</v>
      </c>
      <c r="Y133" s="172">
        <f t="shared" si="147"/>
        <v>0.55514268579727555</v>
      </c>
      <c r="Z133" s="171">
        <f>V133+W133</f>
        <v>637392626.12499988</v>
      </c>
      <c r="AA133" s="227">
        <f t="shared" si="149"/>
        <v>0.55514268579727555</v>
      </c>
      <c r="AB133" s="228">
        <f>T133+V133</f>
        <v>643964290.98969984</v>
      </c>
    </row>
    <row r="134" spans="2:28" x14ac:dyDescent="0.35">
      <c r="B134" s="226" t="str">
        <f>C80</f>
        <v>NURRAHMAN</v>
      </c>
      <c r="C134" s="326">
        <f t="shared" ref="C134:H134" si="152">C88</f>
        <v>876096000</v>
      </c>
      <c r="D134" s="222">
        <f t="shared" si="152"/>
        <v>55</v>
      </c>
      <c r="E134" s="222">
        <f t="shared" si="152"/>
        <v>44</v>
      </c>
      <c r="F134" s="331">
        <f t="shared" si="152"/>
        <v>319752833.77689993</v>
      </c>
      <c r="G134" s="332">
        <f t="shared" si="152"/>
        <v>7402072.0560999997</v>
      </c>
      <c r="H134" s="326">
        <f t="shared" si="152"/>
        <v>0</v>
      </c>
      <c r="I134" s="326">
        <f>F134-G134</f>
        <v>312350761.72079992</v>
      </c>
      <c r="J134" s="326">
        <f t="shared" si="141"/>
        <v>-563745238.27920008</v>
      </c>
      <c r="K134" s="172">
        <f t="shared" si="142"/>
        <v>0.35652572517258374</v>
      </c>
      <c r="L134" s="226">
        <f t="shared" si="143"/>
        <v>312350761.72079992</v>
      </c>
      <c r="M134" s="333">
        <f t="shared" si="144"/>
        <v>0.35652572517258374</v>
      </c>
      <c r="N134" s="228">
        <f>F134+H134</f>
        <v>319752833.77689993</v>
      </c>
      <c r="P134" s="250" t="str">
        <f>Q80</f>
        <v>AGPS:JAKTIM-CKR</v>
      </c>
      <c r="Q134" s="166">
        <f t="shared" ref="Q134:V134" si="153">Q88</f>
        <v>848640000.00000012</v>
      </c>
      <c r="R134" s="230">
        <f t="shared" si="153"/>
        <v>54</v>
      </c>
      <c r="S134" s="167">
        <f t="shared" si="153"/>
        <v>38</v>
      </c>
      <c r="T134" s="166">
        <f t="shared" si="153"/>
        <v>335616668.91839999</v>
      </c>
      <c r="U134" s="231">
        <f t="shared" si="153"/>
        <v>1521000</v>
      </c>
      <c r="V134" s="166">
        <f t="shared" si="153"/>
        <v>0</v>
      </c>
      <c r="W134" s="226">
        <f>T134-U134</f>
        <v>334095668.91839999</v>
      </c>
      <c r="X134" s="226">
        <f t="shared" si="146"/>
        <v>-514544331.08160013</v>
      </c>
      <c r="Y134" s="172">
        <f t="shared" si="147"/>
        <v>0.39368362193438905</v>
      </c>
      <c r="Z134" s="171">
        <f t="shared" si="148"/>
        <v>334095668.91839999</v>
      </c>
      <c r="AA134" s="227">
        <f t="shared" si="149"/>
        <v>0.39368362193438905</v>
      </c>
      <c r="AB134" s="228">
        <f>T134+V134</f>
        <v>335616668.91839999</v>
      </c>
    </row>
    <row r="135" spans="2:28" x14ac:dyDescent="0.35">
      <c r="B135" s="226" t="str">
        <f>C91</f>
        <v>IPNU</v>
      </c>
      <c r="C135" s="326">
        <f t="shared" ref="C135:H135" si="154">C99</f>
        <v>924768000</v>
      </c>
      <c r="D135" s="222">
        <f t="shared" si="154"/>
        <v>93</v>
      </c>
      <c r="E135" s="222">
        <f t="shared" si="154"/>
        <v>76</v>
      </c>
      <c r="F135" s="331">
        <f t="shared" si="154"/>
        <v>661661988.89880002</v>
      </c>
      <c r="G135" s="332">
        <f t="shared" si="154"/>
        <v>11705765.765900001</v>
      </c>
      <c r="H135" s="326">
        <f t="shared" si="154"/>
        <v>0</v>
      </c>
      <c r="I135" s="326">
        <f>F135-G135</f>
        <v>649956223.1329</v>
      </c>
      <c r="J135" s="326">
        <f t="shared" si="141"/>
        <v>-274811776.8671</v>
      </c>
      <c r="K135" s="172">
        <f t="shared" si="142"/>
        <v>0.7028316541369295</v>
      </c>
      <c r="L135" s="226">
        <f t="shared" si="143"/>
        <v>649956223.1329</v>
      </c>
      <c r="M135" s="333">
        <f t="shared" si="144"/>
        <v>0.7028316541369295</v>
      </c>
      <c r="N135" s="228">
        <f>F135+H135</f>
        <v>661661988.89880002</v>
      </c>
      <c r="P135" s="250" t="str">
        <f>Q91</f>
        <v>DIMAS</v>
      </c>
      <c r="Q135" s="166">
        <f t="shared" ref="Q135:V135" si="155">Q99</f>
        <v>898560000</v>
      </c>
      <c r="R135" s="230">
        <f t="shared" si="155"/>
        <v>61</v>
      </c>
      <c r="S135" s="167">
        <f t="shared" si="155"/>
        <v>52</v>
      </c>
      <c r="T135" s="166">
        <f t="shared" si="155"/>
        <v>435819491.22509998</v>
      </c>
      <c r="U135" s="231">
        <f t="shared" si="155"/>
        <v>11097121.8566</v>
      </c>
      <c r="V135" s="166">
        <f t="shared" si="155"/>
        <v>0</v>
      </c>
      <c r="W135" s="226">
        <f>T135-U135</f>
        <v>424722369.36849999</v>
      </c>
      <c r="X135" s="226">
        <f t="shared" si="146"/>
        <v>-473837630.63150001</v>
      </c>
      <c r="Y135" s="172">
        <f t="shared" si="147"/>
        <v>0.4726700157680066</v>
      </c>
      <c r="Z135" s="171">
        <f t="shared" si="148"/>
        <v>424722369.36849999</v>
      </c>
      <c r="AA135" s="227">
        <f t="shared" si="149"/>
        <v>0.4726700157680066</v>
      </c>
      <c r="AB135" s="228">
        <f>T135+V135</f>
        <v>435819491.22509998</v>
      </c>
    </row>
    <row r="136" spans="2:28" x14ac:dyDescent="0.35">
      <c r="B136" s="226" t="str">
        <f>C102</f>
        <v>SYAEPULLOH</v>
      </c>
      <c r="C136" s="326">
        <f t="shared" ref="C136:H136" si="156">C110</f>
        <v>924768000</v>
      </c>
      <c r="D136" s="222">
        <f t="shared" si="156"/>
        <v>69</v>
      </c>
      <c r="E136" s="222">
        <f t="shared" si="156"/>
        <v>58</v>
      </c>
      <c r="F136" s="331">
        <f t="shared" si="156"/>
        <v>471410846.49899983</v>
      </c>
      <c r="G136" s="332">
        <f t="shared" si="156"/>
        <v>9575675.691800002</v>
      </c>
      <c r="H136" s="326">
        <f t="shared" si="156"/>
        <v>0</v>
      </c>
      <c r="I136" s="326">
        <f>F136-G136</f>
        <v>461835170.80719984</v>
      </c>
      <c r="J136" s="326">
        <f t="shared" si="141"/>
        <v>-462932829.19280016</v>
      </c>
      <c r="K136" s="172">
        <f t="shared" si="142"/>
        <v>0.49940652229229365</v>
      </c>
      <c r="L136" s="226">
        <f t="shared" si="143"/>
        <v>461835170.80719984</v>
      </c>
      <c r="M136" s="333">
        <f t="shared" si="144"/>
        <v>0.49940652229229365</v>
      </c>
      <c r="N136" s="228">
        <f>F136+H136</f>
        <v>471410846.49899983</v>
      </c>
      <c r="P136" s="253" t="str">
        <f>Q102</f>
        <v>DEVANI</v>
      </c>
      <c r="Q136" s="254">
        <f t="shared" ref="Q136:V136" si="157">Q110</f>
        <v>948480000</v>
      </c>
      <c r="R136" s="255">
        <f t="shared" si="157"/>
        <v>75</v>
      </c>
      <c r="S136" s="256">
        <f t="shared" si="157"/>
        <v>60</v>
      </c>
      <c r="T136" s="254">
        <f t="shared" si="157"/>
        <v>439591533.33290005</v>
      </c>
      <c r="U136" s="231">
        <f t="shared" si="157"/>
        <v>1948800</v>
      </c>
      <c r="V136" s="166">
        <f t="shared" si="157"/>
        <v>0</v>
      </c>
      <c r="W136" s="226">
        <f>T136-U136</f>
        <v>437642733.33290005</v>
      </c>
      <c r="X136" s="226">
        <f t="shared" si="146"/>
        <v>-510837266.66709995</v>
      </c>
      <c r="Y136" s="172">
        <f t="shared" si="147"/>
        <v>0.46141482512324988</v>
      </c>
      <c r="Z136" s="171">
        <f t="shared" si="148"/>
        <v>437642733.33290005</v>
      </c>
      <c r="AA136" s="227">
        <f t="shared" si="149"/>
        <v>0.46141482512324988</v>
      </c>
      <c r="AB136" s="228">
        <f>T136+V136</f>
        <v>439591533.33290005</v>
      </c>
    </row>
    <row r="137" spans="2:28" x14ac:dyDescent="0.35">
      <c r="B137" s="352" t="s">
        <v>77</v>
      </c>
      <c r="C137" s="329">
        <f t="shared" ref="C137:H137" si="158">SUM(C132:C136)</f>
        <v>4867200000</v>
      </c>
      <c r="D137" s="178">
        <f>SUM(D132:D136)</f>
        <v>386</v>
      </c>
      <c r="E137" s="178">
        <f t="shared" si="158"/>
        <v>350</v>
      </c>
      <c r="F137" s="334">
        <f>SUM(F132:F136)</f>
        <v>3215023669.6602993</v>
      </c>
      <c r="G137" s="335">
        <f t="shared" si="158"/>
        <v>57463513.514200002</v>
      </c>
      <c r="H137" s="329">
        <f t="shared" si="158"/>
        <v>0</v>
      </c>
      <c r="I137" s="329">
        <f>SUM(I132:I136)</f>
        <v>3157560156.1460996</v>
      </c>
      <c r="J137" s="329">
        <f t="shared" si="141"/>
        <v>-1709639843.8539004</v>
      </c>
      <c r="K137" s="305">
        <f t="shared" si="142"/>
        <v>0.64874263563159507</v>
      </c>
      <c r="L137" s="353">
        <f t="shared" si="143"/>
        <v>3157560156.1460996</v>
      </c>
      <c r="M137" s="305">
        <f t="shared" si="144"/>
        <v>0.64874263563159507</v>
      </c>
      <c r="P137" s="204" t="s">
        <v>77</v>
      </c>
      <c r="Q137" s="205">
        <f t="shared" ref="Q137:V137" si="159">SUM(Q132:Q136)</f>
        <v>4992000000</v>
      </c>
      <c r="R137" s="312">
        <f>SUM(R132:R136)</f>
        <v>369</v>
      </c>
      <c r="S137" s="206">
        <f t="shared" si="159"/>
        <v>283</v>
      </c>
      <c r="T137" s="205">
        <f t="shared" si="159"/>
        <v>2489325510.7729006</v>
      </c>
      <c r="U137" s="208">
        <f t="shared" si="159"/>
        <v>21608986.721299998</v>
      </c>
      <c r="V137" s="205">
        <f t="shared" si="159"/>
        <v>0</v>
      </c>
      <c r="W137" s="205">
        <f>SUM(W132:W136)</f>
        <v>2467716524.0516005</v>
      </c>
      <c r="X137" s="205">
        <f t="shared" si="146"/>
        <v>-2524283475.9483995</v>
      </c>
      <c r="Y137" s="209">
        <f t="shared" si="147"/>
        <v>0.49433423959366996</v>
      </c>
      <c r="Z137" s="314">
        <f t="shared" si="148"/>
        <v>2467716524.0516005</v>
      </c>
      <c r="AA137" s="209">
        <f t="shared" si="149"/>
        <v>0.49433423959366996</v>
      </c>
    </row>
    <row r="138" spans="2:28" x14ac:dyDescent="0.35">
      <c r="C138" s="202"/>
      <c r="D138" s="245"/>
      <c r="E138" s="245"/>
      <c r="F138" s="245"/>
      <c r="G138" s="245"/>
      <c r="H138" s="245"/>
      <c r="I138" s="245"/>
      <c r="J138" s="245"/>
      <c r="K138" s="245"/>
      <c r="L138" s="197"/>
      <c r="M138" s="202"/>
      <c r="Q138" s="202"/>
      <c r="R138" s="245"/>
      <c r="S138" s="245"/>
      <c r="T138" s="245"/>
      <c r="U138" s="245"/>
      <c r="V138" s="245"/>
      <c r="W138" s="202"/>
      <c r="X138" s="247"/>
      <c r="Y138" s="248"/>
      <c r="Z138" s="197"/>
      <c r="AA138" s="246"/>
    </row>
    <row r="139" spans="2:28" ht="15" customHeight="1" x14ac:dyDescent="0.35"/>
    <row r="140" spans="2:28" ht="15" customHeight="1" x14ac:dyDescent="0.35">
      <c r="B140" s="580" t="s">
        <v>131</v>
      </c>
      <c r="C140" s="581"/>
      <c r="D140" s="581"/>
      <c r="E140" s="581"/>
      <c r="F140" s="581"/>
      <c r="G140" s="581"/>
      <c r="H140" s="581"/>
      <c r="I140" s="581"/>
      <c r="J140" s="581"/>
      <c r="K140" s="581"/>
      <c r="L140" s="581"/>
      <c r="M140" s="582"/>
      <c r="P140" s="580" t="s">
        <v>132</v>
      </c>
      <c r="Q140" s="581"/>
      <c r="R140" s="581"/>
      <c r="S140" s="581"/>
      <c r="T140" s="581"/>
      <c r="U140" s="581"/>
      <c r="V140" s="581"/>
      <c r="W140" s="581"/>
      <c r="X140" s="581"/>
      <c r="Y140" s="581"/>
      <c r="Z140" s="581"/>
      <c r="AA140" s="582"/>
    </row>
    <row r="141" spans="2:28" ht="15" customHeight="1" x14ac:dyDescent="0.35">
      <c r="B141" s="583"/>
      <c r="C141" s="584"/>
      <c r="D141" s="584"/>
      <c r="E141" s="584"/>
      <c r="F141" s="584"/>
      <c r="G141" s="584"/>
      <c r="H141" s="584"/>
      <c r="I141" s="584"/>
      <c r="J141" s="584"/>
      <c r="K141" s="584"/>
      <c r="L141" s="584"/>
      <c r="M141" s="585"/>
      <c r="P141" s="583"/>
      <c r="Q141" s="584"/>
      <c r="R141" s="584"/>
      <c r="S141" s="584"/>
      <c r="T141" s="584"/>
      <c r="U141" s="584"/>
      <c r="V141" s="584"/>
      <c r="W141" s="584"/>
      <c r="X141" s="584"/>
      <c r="Y141" s="584"/>
      <c r="Z141" s="584"/>
      <c r="AA141" s="585"/>
    </row>
    <row r="142" spans="2:28" ht="15" customHeight="1" x14ac:dyDescent="0.35">
      <c r="B142" s="586" t="s">
        <v>133</v>
      </c>
      <c r="C142" s="587" t="s">
        <v>94</v>
      </c>
      <c r="D142" s="586" t="s">
        <v>91</v>
      </c>
      <c r="E142" s="586" t="s">
        <v>62</v>
      </c>
      <c r="F142" s="588" t="str">
        <f>F130</f>
        <v>OMSET MEI
 (1-31)</v>
      </c>
      <c r="G142" s="588" t="s">
        <v>95</v>
      </c>
      <c r="H142" s="587" t="s">
        <v>63</v>
      </c>
      <c r="I142" s="587" t="s">
        <v>64</v>
      </c>
      <c r="J142" s="587" t="s">
        <v>126</v>
      </c>
      <c r="K142" s="586" t="s">
        <v>66</v>
      </c>
      <c r="L142" s="590" t="s">
        <v>127</v>
      </c>
      <c r="M142" s="372" t="s">
        <v>128</v>
      </c>
      <c r="P142" s="591" t="s">
        <v>133</v>
      </c>
      <c r="Q142" s="591" t="s">
        <v>94</v>
      </c>
      <c r="R142" s="593" t="s">
        <v>91</v>
      </c>
      <c r="S142" s="591" t="s">
        <v>62</v>
      </c>
      <c r="T142" s="630" t="str">
        <f>T130</f>
        <v>OMSET MEI
 (1-31)</v>
      </c>
      <c r="U142" s="630" t="s">
        <v>95</v>
      </c>
      <c r="V142" s="595" t="s">
        <v>63</v>
      </c>
      <c r="W142" s="595" t="s">
        <v>64</v>
      </c>
      <c r="X142" s="595" t="s">
        <v>126</v>
      </c>
      <c r="Y142" s="591" t="str">
        <f>Y130</f>
        <v>PERCENTAGE</v>
      </c>
      <c r="Z142" s="576" t="s">
        <v>127</v>
      </c>
      <c r="AA142" s="310" t="s">
        <v>128</v>
      </c>
    </row>
    <row r="143" spans="2:28" x14ac:dyDescent="0.35">
      <c r="B143" s="586"/>
      <c r="C143" s="587"/>
      <c r="D143" s="586"/>
      <c r="E143" s="586"/>
      <c r="F143" s="588"/>
      <c r="G143" s="588"/>
      <c r="H143" s="587"/>
      <c r="I143" s="587"/>
      <c r="J143" s="587"/>
      <c r="K143" s="586"/>
      <c r="L143" s="590"/>
      <c r="M143" s="302">
        <f>M131</f>
        <v>1</v>
      </c>
      <c r="P143" s="592"/>
      <c r="Q143" s="592"/>
      <c r="R143" s="594"/>
      <c r="S143" s="592"/>
      <c r="T143" s="631"/>
      <c r="U143" s="631"/>
      <c r="V143" s="596"/>
      <c r="W143" s="596"/>
      <c r="X143" s="596"/>
      <c r="Y143" s="592"/>
      <c r="Z143" s="577"/>
      <c r="AA143" s="311">
        <f>K4</f>
        <v>1</v>
      </c>
    </row>
    <row r="144" spans="2:28" x14ac:dyDescent="0.35">
      <c r="B144" s="257" t="s">
        <v>134</v>
      </c>
      <c r="C144" s="166">
        <f t="shared" ref="C144:H144" si="160">C125</f>
        <v>7612800000</v>
      </c>
      <c r="D144" s="167">
        <f t="shared" si="160"/>
        <v>466</v>
      </c>
      <c r="E144" s="222">
        <f t="shared" si="160"/>
        <v>394</v>
      </c>
      <c r="F144" s="223">
        <f t="shared" si="160"/>
        <v>6379519325.8639984</v>
      </c>
      <c r="G144" s="224">
        <f t="shared" si="160"/>
        <v>113697094.5315</v>
      </c>
      <c r="H144" s="166">
        <f t="shared" si="160"/>
        <v>0</v>
      </c>
      <c r="I144" s="166">
        <f>F144-G144</f>
        <v>6265822231.3324986</v>
      </c>
      <c r="J144" s="166">
        <f>I144-C144</f>
        <v>-1346977768.6675014</v>
      </c>
      <c r="K144" s="172">
        <f>I144/C144</f>
        <v>0.82306408040832524</v>
      </c>
      <c r="L144" s="226">
        <f>H144+I144</f>
        <v>6265822231.3324986</v>
      </c>
      <c r="M144" s="227">
        <f>L144/C144</f>
        <v>0.82306408040832524</v>
      </c>
      <c r="P144" s="257" t="s">
        <v>135</v>
      </c>
      <c r="Q144" s="166">
        <f t="shared" ref="Q144:V144" si="161">Q125</f>
        <v>7488000000</v>
      </c>
      <c r="R144" s="230">
        <f t="shared" si="161"/>
        <v>378</v>
      </c>
      <c r="S144" s="167">
        <f t="shared" si="161"/>
        <v>293</v>
      </c>
      <c r="T144" s="223">
        <f t="shared" si="161"/>
        <v>3612520262.4734001</v>
      </c>
      <c r="U144" s="224">
        <f t="shared" si="161"/>
        <v>38820487.207200006</v>
      </c>
      <c r="V144" s="166">
        <f t="shared" si="161"/>
        <v>0</v>
      </c>
      <c r="W144" s="166">
        <f>T144-U144</f>
        <v>3573699775.2662001</v>
      </c>
      <c r="X144" s="166">
        <f>W144-Q144</f>
        <v>-3914300224.7337999</v>
      </c>
      <c r="Y144" s="172">
        <f>Y125</f>
        <v>0.47725691443191776</v>
      </c>
      <c r="Z144" s="171">
        <f>V144+W144</f>
        <v>3573699775.2662001</v>
      </c>
      <c r="AA144" s="227">
        <f>Z144/Q144</f>
        <v>0.47725691443191776</v>
      </c>
    </row>
    <row r="145" spans="2:27" x14ac:dyDescent="0.35">
      <c r="B145" s="257" t="s">
        <v>136</v>
      </c>
      <c r="C145" s="166">
        <f t="shared" ref="C145:H145" si="162">C137</f>
        <v>4867200000</v>
      </c>
      <c r="D145" s="167">
        <f t="shared" si="162"/>
        <v>386</v>
      </c>
      <c r="E145" s="222">
        <f t="shared" si="162"/>
        <v>350</v>
      </c>
      <c r="F145" s="223">
        <f t="shared" si="162"/>
        <v>3215023669.6602993</v>
      </c>
      <c r="G145" s="224">
        <f t="shared" si="162"/>
        <v>57463513.514200002</v>
      </c>
      <c r="H145" s="166">
        <f t="shared" si="162"/>
        <v>0</v>
      </c>
      <c r="I145" s="166">
        <f>F145-G145</f>
        <v>3157560156.1460991</v>
      </c>
      <c r="J145" s="166">
        <f>I145-C145</f>
        <v>-1709639843.8539009</v>
      </c>
      <c r="K145" s="172">
        <f>I145/C145</f>
        <v>0.64874263563159495</v>
      </c>
      <c r="L145" s="226">
        <f>H145+I145</f>
        <v>3157560156.1460991</v>
      </c>
      <c r="M145" s="227">
        <f>L145/C145</f>
        <v>0.64874263563159495</v>
      </c>
      <c r="P145" s="257" t="s">
        <v>137</v>
      </c>
      <c r="Q145" s="166">
        <f t="shared" ref="Q145:V145" si="163">Q137</f>
        <v>4992000000</v>
      </c>
      <c r="R145" s="230">
        <f t="shared" si="163"/>
        <v>369</v>
      </c>
      <c r="S145" s="167">
        <f t="shared" si="163"/>
        <v>283</v>
      </c>
      <c r="T145" s="223">
        <f t="shared" si="163"/>
        <v>2489325510.7729006</v>
      </c>
      <c r="U145" s="224">
        <f t="shared" si="163"/>
        <v>21608986.721299998</v>
      </c>
      <c r="V145" s="166">
        <f t="shared" si="163"/>
        <v>0</v>
      </c>
      <c r="W145" s="166">
        <f>T145-U145</f>
        <v>2467716524.0516005</v>
      </c>
      <c r="X145" s="166">
        <f>W145-Q145</f>
        <v>-2524283475.9483995</v>
      </c>
      <c r="Y145" s="172">
        <f>Y137</f>
        <v>0.49433423959366996</v>
      </c>
      <c r="Z145" s="171">
        <f>V145+W145</f>
        <v>2467716524.0516005</v>
      </c>
      <c r="AA145" s="227">
        <f>Z145/Q145</f>
        <v>0.49433423959366996</v>
      </c>
    </row>
    <row r="146" spans="2:27" x14ac:dyDescent="0.35">
      <c r="B146" s="175" t="s">
        <v>77</v>
      </c>
      <c r="C146" s="176">
        <f>SUM(C144:C145)</f>
        <v>12480000000</v>
      </c>
      <c r="D146" s="177">
        <f t="shared" ref="D146:I146" si="164">SUM(D144:D145)</f>
        <v>852</v>
      </c>
      <c r="E146" s="178">
        <f t="shared" si="164"/>
        <v>744</v>
      </c>
      <c r="F146" s="303">
        <f t="shared" si="164"/>
        <v>9594542995.5242977</v>
      </c>
      <c r="G146" s="304">
        <f t="shared" si="164"/>
        <v>171160608.04570001</v>
      </c>
      <c r="H146" s="176">
        <f t="shared" si="164"/>
        <v>0</v>
      </c>
      <c r="I146" s="176">
        <f t="shared" si="164"/>
        <v>9423382387.4785976</v>
      </c>
      <c r="J146" s="176">
        <f>I146-C146</f>
        <v>-3056617612.5214024</v>
      </c>
      <c r="K146" s="306">
        <f>I146/C146</f>
        <v>0.75507871694540041</v>
      </c>
      <c r="L146" s="353">
        <f>H146+I146</f>
        <v>9423382387.4785976</v>
      </c>
      <c r="M146" s="180">
        <f>L146/C146</f>
        <v>0.75507871694540041</v>
      </c>
      <c r="P146" s="204" t="s">
        <v>77</v>
      </c>
      <c r="Q146" s="205">
        <f t="shared" ref="Q146:W146" si="165">SUM(Q144:Q145)</f>
        <v>12480000000</v>
      </c>
      <c r="R146" s="312">
        <f t="shared" si="165"/>
        <v>747</v>
      </c>
      <c r="S146" s="206">
        <f t="shared" si="165"/>
        <v>576</v>
      </c>
      <c r="T146" s="315">
        <f t="shared" si="165"/>
        <v>6101845773.2463007</v>
      </c>
      <c r="U146" s="316">
        <f t="shared" si="165"/>
        <v>60429473.928500004</v>
      </c>
      <c r="V146" s="205">
        <f t="shared" si="165"/>
        <v>0</v>
      </c>
      <c r="W146" s="205">
        <f t="shared" si="165"/>
        <v>6041416299.3178005</v>
      </c>
      <c r="X146" s="205">
        <f>W146-Q146</f>
        <v>-6438583700.6821995</v>
      </c>
      <c r="Y146" s="317">
        <f>W146/Q146</f>
        <v>0.48408784449661862</v>
      </c>
      <c r="Z146" s="314">
        <f>V146+W146</f>
        <v>6041416299.3178005</v>
      </c>
      <c r="AA146" s="209">
        <f>Z146/Q146</f>
        <v>0.48408784449661862</v>
      </c>
    </row>
  </sheetData>
  <mergeCells count="190">
    <mergeCell ref="B140:M141"/>
    <mergeCell ref="P140:AA141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L142:L143"/>
    <mergeCell ref="P142:P143"/>
    <mergeCell ref="Q142:Q143"/>
    <mergeCell ref="R142:R143"/>
    <mergeCell ref="S142:S143"/>
    <mergeCell ref="T142:T143"/>
    <mergeCell ref="U142:U143"/>
    <mergeCell ref="V142:V143"/>
    <mergeCell ref="W142:W143"/>
    <mergeCell ref="X142:X143"/>
    <mergeCell ref="Y142:Y143"/>
    <mergeCell ref="Z142:Z143"/>
    <mergeCell ref="B128:M129"/>
    <mergeCell ref="P128:AA129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J131"/>
    <mergeCell ref="K130:K131"/>
    <mergeCell ref="L130:L131"/>
    <mergeCell ref="P130:P131"/>
    <mergeCell ref="Q130:Q131"/>
    <mergeCell ref="R130:R131"/>
    <mergeCell ref="S130:S131"/>
    <mergeCell ref="T130:T131"/>
    <mergeCell ref="U130:U131"/>
    <mergeCell ref="V130:V131"/>
    <mergeCell ref="W130:W131"/>
    <mergeCell ref="X130:X131"/>
    <mergeCell ref="Y130:Y131"/>
    <mergeCell ref="Z130:Z131"/>
    <mergeCell ref="A3:A11"/>
    <mergeCell ref="D3:D4"/>
    <mergeCell ref="E3:E4"/>
    <mergeCell ref="F3:I3"/>
    <mergeCell ref="J3:J4"/>
    <mergeCell ref="O3:O11"/>
    <mergeCell ref="R3:R4"/>
    <mergeCell ref="A25:A33"/>
    <mergeCell ref="D25:D26"/>
    <mergeCell ref="E25:E26"/>
    <mergeCell ref="F25:I25"/>
    <mergeCell ref="J25:J26"/>
    <mergeCell ref="O25:O33"/>
    <mergeCell ref="R25:R26"/>
    <mergeCell ref="A14:A22"/>
    <mergeCell ref="D14:D15"/>
    <mergeCell ref="E14:E15"/>
    <mergeCell ref="D12:H12"/>
    <mergeCell ref="R12:V12"/>
    <mergeCell ref="D23:H23"/>
    <mergeCell ref="R23:V23"/>
    <mergeCell ref="S25:S26"/>
    <mergeCell ref="T25:W25"/>
    <mergeCell ref="S3:S4"/>
    <mergeCell ref="A36:A44"/>
    <mergeCell ref="D36:D37"/>
    <mergeCell ref="E36:E37"/>
    <mergeCell ref="F47:I47"/>
    <mergeCell ref="J47:J48"/>
    <mergeCell ref="O47:O55"/>
    <mergeCell ref="R47:R48"/>
    <mergeCell ref="A58:A66"/>
    <mergeCell ref="A47:A55"/>
    <mergeCell ref="D47:D48"/>
    <mergeCell ref="E47:E48"/>
    <mergeCell ref="R58:R59"/>
    <mergeCell ref="O58:O66"/>
    <mergeCell ref="A69:A77"/>
    <mergeCell ref="D69:D70"/>
    <mergeCell ref="E69:E70"/>
    <mergeCell ref="F69:I69"/>
    <mergeCell ref="J69:J70"/>
    <mergeCell ref="O69:O77"/>
    <mergeCell ref="R69:R70"/>
    <mergeCell ref="S69:S70"/>
    <mergeCell ref="T69:W69"/>
    <mergeCell ref="A102:A110"/>
    <mergeCell ref="A91:A99"/>
    <mergeCell ref="D91:D92"/>
    <mergeCell ref="E91:E92"/>
    <mergeCell ref="D80:D81"/>
    <mergeCell ref="E80:E81"/>
    <mergeCell ref="A80:A88"/>
    <mergeCell ref="D102:D103"/>
    <mergeCell ref="E102:E103"/>
    <mergeCell ref="T3:W3"/>
    <mergeCell ref="X3:X4"/>
    <mergeCell ref="F14:I14"/>
    <mergeCell ref="J14:J15"/>
    <mergeCell ref="O14:O22"/>
    <mergeCell ref="R14:R15"/>
    <mergeCell ref="S14:S15"/>
    <mergeCell ref="T14:W14"/>
    <mergeCell ref="X14:X15"/>
    <mergeCell ref="D111:H111"/>
    <mergeCell ref="R111:V111"/>
    <mergeCell ref="X25:X26"/>
    <mergeCell ref="F36:I36"/>
    <mergeCell ref="J36:J37"/>
    <mergeCell ref="O36:O44"/>
    <mergeCell ref="R36:R37"/>
    <mergeCell ref="S36:S37"/>
    <mergeCell ref="T36:W36"/>
    <mergeCell ref="X36:X37"/>
    <mergeCell ref="X58:X59"/>
    <mergeCell ref="S58:S59"/>
    <mergeCell ref="T58:W58"/>
    <mergeCell ref="T47:W47"/>
    <mergeCell ref="D89:H89"/>
    <mergeCell ref="R89:V89"/>
    <mergeCell ref="D100:H100"/>
    <mergeCell ref="R100:V100"/>
    <mergeCell ref="O80:O88"/>
    <mergeCell ref="R80:R81"/>
    <mergeCell ref="S80:S81"/>
    <mergeCell ref="T80:W80"/>
    <mergeCell ref="F91:I91"/>
    <mergeCell ref="J91:J92"/>
    <mergeCell ref="X69:X70"/>
    <mergeCell ref="S47:S48"/>
    <mergeCell ref="X91:X92"/>
    <mergeCell ref="F102:I102"/>
    <mergeCell ref="J102:J103"/>
    <mergeCell ref="O102:O110"/>
    <mergeCell ref="R102:R103"/>
    <mergeCell ref="S102:S103"/>
    <mergeCell ref="T102:W102"/>
    <mergeCell ref="X102:X103"/>
    <mergeCell ref="X47:X48"/>
    <mergeCell ref="O91:O99"/>
    <mergeCell ref="R91:R92"/>
    <mergeCell ref="S91:S92"/>
    <mergeCell ref="T91:W91"/>
    <mergeCell ref="X80:X81"/>
    <mergeCell ref="F80:I80"/>
    <mergeCell ref="J80:J81"/>
    <mergeCell ref="D34:H34"/>
    <mergeCell ref="R34:V34"/>
    <mergeCell ref="D45:H45"/>
    <mergeCell ref="R45:V45"/>
    <mergeCell ref="D56:H56"/>
    <mergeCell ref="R56:V56"/>
    <mergeCell ref="R67:V67"/>
    <mergeCell ref="D78:H78"/>
    <mergeCell ref="R78:V78"/>
    <mergeCell ref="F58:I58"/>
    <mergeCell ref="E58:E59"/>
    <mergeCell ref="D58:D59"/>
    <mergeCell ref="B116:M117"/>
    <mergeCell ref="P116:AA117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J119"/>
    <mergeCell ref="K118:K119"/>
    <mergeCell ref="L118:L119"/>
    <mergeCell ref="P118:P119"/>
    <mergeCell ref="Q118:Q119"/>
    <mergeCell ref="R118:R119"/>
    <mergeCell ref="S118:S119"/>
    <mergeCell ref="T118:T119"/>
    <mergeCell ref="U118:U119"/>
    <mergeCell ref="V118:V119"/>
    <mergeCell ref="Y118:Y119"/>
    <mergeCell ref="Z118:Z119"/>
    <mergeCell ref="W118:W119"/>
    <mergeCell ref="X118:X119"/>
  </mergeCells>
  <phoneticPr fontId="9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86F3-344E-431E-86C1-EE0EF3F9E4FF}">
  <sheetPr>
    <tabColor rgb="FFFFFF00"/>
  </sheetPr>
  <dimension ref="A1:AI146"/>
  <sheetViews>
    <sheetView showGridLines="0" topLeftCell="C115" zoomScale="95" zoomScaleNormal="55" workbookViewId="0">
      <selection activeCell="O120" sqref="A120:XFD120"/>
    </sheetView>
  </sheetViews>
  <sheetFormatPr defaultColWidth="8.7265625" defaultRowHeight="14.5" x14ac:dyDescent="0.35"/>
  <cols>
    <col min="1" max="1" width="8.7265625" style="194"/>
    <col min="2" max="2" width="17" style="194" customWidth="1"/>
    <col min="3" max="3" width="14.81640625" style="186" bestFit="1" customWidth="1"/>
    <col min="4" max="4" width="8.1796875" style="187" customWidth="1"/>
    <col min="5" max="5" width="8" style="188" customWidth="1"/>
    <col min="6" max="6" width="16.1796875" style="189" customWidth="1"/>
    <col min="7" max="7" width="16.1796875" style="190" customWidth="1"/>
    <col min="8" max="9" width="16.1796875" style="186" customWidth="1"/>
    <col min="10" max="10" width="15.1796875" style="191" customWidth="1"/>
    <col min="11" max="11" width="16.1796875" style="187" customWidth="1"/>
    <col min="12" max="12" width="15.1796875" style="192" customWidth="1"/>
    <col min="13" max="13" width="18.7265625" style="186" bestFit="1" customWidth="1"/>
    <col min="14" max="14" width="18.54296875" style="194" customWidth="1"/>
    <col min="15" max="15" width="11.81640625" style="194" bestFit="1" customWidth="1"/>
    <col min="16" max="16" width="17.1796875" style="194" customWidth="1"/>
    <col min="17" max="17" width="15.1796875" style="187" customWidth="1"/>
    <col min="18" max="18" width="8.1796875" style="195" customWidth="1"/>
    <col min="19" max="19" width="8.1796875" style="187" customWidth="1"/>
    <col min="20" max="20" width="15.1796875" style="189" customWidth="1"/>
    <col min="21" max="21" width="15.1796875" style="190" customWidth="1"/>
    <col min="22" max="24" width="15.1796875" style="186" customWidth="1"/>
    <col min="25" max="25" width="16.1796875" style="187" customWidth="1"/>
    <col min="26" max="26" width="15.1796875" style="186" customWidth="1"/>
    <col min="27" max="27" width="18.54296875" style="196" customWidth="1"/>
    <col min="28" max="28" width="14" style="194" bestFit="1" customWidth="1"/>
    <col min="29" max="29" width="12.54296875" style="194" customWidth="1"/>
    <col min="30" max="30" width="13" style="194" bestFit="1" customWidth="1"/>
    <col min="31" max="33" width="9.1796875" style="194" hidden="1" customWidth="1"/>
    <col min="34" max="34" width="7.7265625" style="194" hidden="1" customWidth="1"/>
    <col min="35" max="35" width="22.1796875" style="194" hidden="1" customWidth="1"/>
    <col min="36" max="36" width="24.1796875" style="194" customWidth="1"/>
    <col min="37" max="37" width="16" style="194" customWidth="1"/>
    <col min="38" max="38" width="12.54296875" style="194" bestFit="1" customWidth="1"/>
    <col min="39" max="40" width="18.26953125" style="194" customWidth="1"/>
    <col min="41" max="41" width="12.54296875" style="194" bestFit="1" customWidth="1"/>
    <col min="42" max="42" width="13.81640625" style="194" bestFit="1" customWidth="1"/>
    <col min="43" max="43" width="14.54296875" style="194" customWidth="1"/>
    <col min="44" max="16384" width="8.7265625" style="194"/>
  </cols>
  <sheetData>
    <row r="1" spans="1:28" ht="15" thickBot="1" x14ac:dyDescent="0.4">
      <c r="A1" s="184" t="s">
        <v>88</v>
      </c>
      <c r="B1" s="185">
        <v>46203</v>
      </c>
      <c r="C1" s="186">
        <v>19</v>
      </c>
      <c r="D1" s="187">
        <v>26</v>
      </c>
    </row>
    <row r="2" spans="1:28" ht="15" thickBot="1" x14ac:dyDescent="0.4">
      <c r="G2" s="190" t="s">
        <v>89</v>
      </c>
      <c r="W2" s="194"/>
    </row>
    <row r="3" spans="1:28" ht="19.5" customHeight="1" x14ac:dyDescent="0.35">
      <c r="A3" s="627">
        <v>1</v>
      </c>
      <c r="B3" s="352" t="s">
        <v>57</v>
      </c>
      <c r="C3" s="353" t="s">
        <v>90</v>
      </c>
      <c r="D3" s="616" t="s">
        <v>91</v>
      </c>
      <c r="E3" s="616" t="s">
        <v>62</v>
      </c>
      <c r="F3" s="604" t="s">
        <v>92</v>
      </c>
      <c r="G3" s="605"/>
      <c r="H3" s="605"/>
      <c r="I3" s="606"/>
      <c r="J3" s="587" t="s">
        <v>65</v>
      </c>
      <c r="K3" s="352" t="s">
        <v>66</v>
      </c>
      <c r="O3" s="613">
        <v>1</v>
      </c>
      <c r="P3" s="354" t="s">
        <v>57</v>
      </c>
      <c r="Q3" s="355" t="s">
        <v>167</v>
      </c>
      <c r="R3" s="591" t="s">
        <v>91</v>
      </c>
      <c r="S3" s="591" t="s">
        <v>62</v>
      </c>
      <c r="T3" s="610" t="s">
        <v>92</v>
      </c>
      <c r="U3" s="611"/>
      <c r="V3" s="611"/>
      <c r="W3" s="612"/>
      <c r="X3" s="595" t="s">
        <v>65</v>
      </c>
      <c r="Y3" s="354" t="s">
        <v>66</v>
      </c>
    </row>
    <row r="4" spans="1:28" s="199" customFormat="1" ht="36" customHeight="1" x14ac:dyDescent="0.35">
      <c r="A4" s="628"/>
      <c r="B4" s="352" t="s">
        <v>93</v>
      </c>
      <c r="C4" s="353" t="s">
        <v>94</v>
      </c>
      <c r="D4" s="617"/>
      <c r="E4" s="617"/>
      <c r="F4" s="163" t="str">
        <f>"OMSET "&amp;UPPER(TEXT($B$1,"MMM"))&amp;CHAR(10)&amp;" (1-"&amp;DAY($B$1)&amp;")"</f>
        <v>OMSET JUN
 (1-30)</v>
      </c>
      <c r="G4" s="163" t="s">
        <v>95</v>
      </c>
      <c r="H4" s="353" t="s">
        <v>63</v>
      </c>
      <c r="I4" s="353" t="s">
        <v>64</v>
      </c>
      <c r="J4" s="587"/>
      <c r="K4" s="164">
        <f>100/DAY(EOMONTH($B$1,0))*DAY($B$1)/100</f>
        <v>1</v>
      </c>
      <c r="L4" s="197"/>
      <c r="M4" s="202"/>
      <c r="O4" s="614"/>
      <c r="P4" s="354" t="s">
        <v>93</v>
      </c>
      <c r="Q4" s="355" t="s">
        <v>94</v>
      </c>
      <c r="R4" s="592"/>
      <c r="S4" s="592"/>
      <c r="T4" s="200" t="str">
        <f>F4</f>
        <v>OMSET JUN
 (1-30)</v>
      </c>
      <c r="U4" s="200" t="str">
        <f>G4</f>
        <v>OMSET PRODUK</v>
      </c>
      <c r="V4" s="355" t="s">
        <v>63</v>
      </c>
      <c r="W4" s="355" t="s">
        <v>64</v>
      </c>
      <c r="X4" s="596"/>
      <c r="Y4" s="201">
        <f>K4</f>
        <v>1</v>
      </c>
      <c r="Z4" s="202"/>
      <c r="AA4" s="203"/>
    </row>
    <row r="5" spans="1:28" x14ac:dyDescent="0.35">
      <c r="A5" s="628"/>
      <c r="B5" s="325" t="s">
        <v>96</v>
      </c>
      <c r="C5" s="326">
        <v>164436480</v>
      </c>
      <c r="D5" s="222">
        <v>17</v>
      </c>
      <c r="E5" s="308">
        <v>15</v>
      </c>
      <c r="F5" s="169">
        <v>164157635.35210004</v>
      </c>
      <c r="G5" s="169">
        <v>15351351.351300001</v>
      </c>
      <c r="H5" s="326"/>
      <c r="I5" s="326">
        <f t="shared" ref="I5:I11" si="0">F5-G5</f>
        <v>148806284.00080004</v>
      </c>
      <c r="J5" s="226">
        <f t="shared" ref="J5:J10" si="1">I5-C5</f>
        <v>-15630195.999199957</v>
      </c>
      <c r="K5" s="172">
        <f t="shared" ref="K5:K12" si="2">I5/C5</f>
        <v>0.9049469071631796</v>
      </c>
      <c r="L5" s="369" t="str">
        <f>IF(K5&gt;120%,"0,55%",IF(K5&gt;100%,"0,45%",IF(K5&gt;80%,"0,35%",IF(K5&gt;60%,"0,2%",0))))</f>
        <v>0,35%</v>
      </c>
      <c r="M5" s="186">
        <f>L5*I5</f>
        <v>520821.99400280014</v>
      </c>
      <c r="O5" s="614"/>
      <c r="P5" s="165" t="s">
        <v>96</v>
      </c>
      <c r="Q5" s="326">
        <v>202176000</v>
      </c>
      <c r="R5" s="222">
        <v>12</v>
      </c>
      <c r="S5" s="308">
        <v>12</v>
      </c>
      <c r="T5" s="169">
        <v>162992049.54930001</v>
      </c>
      <c r="U5" s="169">
        <v>9343468.4683999997</v>
      </c>
      <c r="V5" s="326"/>
      <c r="W5" s="166">
        <f t="shared" ref="W5:W11" si="3">T5-U5</f>
        <v>153648581.08090001</v>
      </c>
      <c r="X5" s="171">
        <f>W5-Q5</f>
        <v>-48527418.919099987</v>
      </c>
      <c r="Y5" s="172">
        <f>W5/Q5</f>
        <v>0.75997438410543294</v>
      </c>
      <c r="Z5" s="369" t="str">
        <f>IF(Y5&gt;120%,"0,55%",IF(Y5&gt;100%,"0,45%",IF(Y5&gt;80%,"0,35%",IF(Y5&gt;60%,"0,2%",0))))</f>
        <v>0,2%</v>
      </c>
      <c r="AA5" s="186">
        <f>Z5*W5</f>
        <v>307297.16216180002</v>
      </c>
    </row>
    <row r="6" spans="1:28" x14ac:dyDescent="0.35">
      <c r="A6" s="628"/>
      <c r="B6" s="325" t="s">
        <v>97</v>
      </c>
      <c r="C6" s="327">
        <v>274060800</v>
      </c>
      <c r="D6" s="222">
        <v>17</v>
      </c>
      <c r="E6" s="308">
        <v>17</v>
      </c>
      <c r="F6" s="169">
        <v>205733517.29270002</v>
      </c>
      <c r="G6" s="328">
        <v>6521801.8020000001</v>
      </c>
      <c r="H6" s="327"/>
      <c r="I6" s="326">
        <f t="shared" si="0"/>
        <v>199211715.49070004</v>
      </c>
      <c r="J6" s="226">
        <f t="shared" si="1"/>
        <v>-74849084.509299964</v>
      </c>
      <c r="K6" s="172">
        <f t="shared" si="2"/>
        <v>0.7268887615109495</v>
      </c>
      <c r="L6" s="369" t="str">
        <f t="shared" ref="L6:L10" si="4">IF(K6&gt;120%,"0,55%",IF(K6&gt;100%,"0,45%",IF(K6&gt;80%,"0,35%",IF(K6&gt;60%,"0,2%",0))))</f>
        <v>0,2%</v>
      </c>
      <c r="M6" s="186">
        <f t="shared" ref="M6:M10" si="5">L6*I6</f>
        <v>398423.43098140007</v>
      </c>
      <c r="O6" s="614"/>
      <c r="P6" s="165" t="s">
        <v>97</v>
      </c>
      <c r="Q6" s="327">
        <v>157248000.00000003</v>
      </c>
      <c r="R6" s="222">
        <v>10</v>
      </c>
      <c r="S6" s="308">
        <v>9</v>
      </c>
      <c r="T6" s="169">
        <v>43967531.531500012</v>
      </c>
      <c r="U6" s="328">
        <v>7122297.2971999999</v>
      </c>
      <c r="V6" s="327"/>
      <c r="W6" s="166">
        <f t="shared" si="3"/>
        <v>36845234.23430001</v>
      </c>
      <c r="X6" s="171">
        <f>W6-Q6</f>
        <v>-120402765.76570001</v>
      </c>
      <c r="Y6" s="172">
        <f>W6/Q6</f>
        <v>0.23431289577164735</v>
      </c>
      <c r="Z6" s="369">
        <f t="shared" ref="Z6:Z10" si="6">IF(Y6&gt;120%,"0,55%",IF(Y6&gt;100%,"0,45%",IF(Y6&gt;80%,"0,35%",IF(Y6&gt;60%,"0,2%",0))))</f>
        <v>0</v>
      </c>
      <c r="AA6" s="186">
        <f t="shared" ref="AA6:AA10" si="7">Z6*W6</f>
        <v>0</v>
      </c>
    </row>
    <row r="7" spans="1:28" x14ac:dyDescent="0.35">
      <c r="A7" s="628"/>
      <c r="B7" s="325" t="s">
        <v>98</v>
      </c>
      <c r="C7" s="327">
        <v>109624320</v>
      </c>
      <c r="D7" s="222">
        <v>14</v>
      </c>
      <c r="E7" s="308">
        <v>11</v>
      </c>
      <c r="F7" s="169">
        <v>99465358.066800028</v>
      </c>
      <c r="G7" s="169">
        <v>648648.64859999996</v>
      </c>
      <c r="H7" s="327"/>
      <c r="I7" s="326">
        <f t="shared" si="0"/>
        <v>98816709.418200031</v>
      </c>
      <c r="J7" s="226">
        <f t="shared" si="1"/>
        <v>-10807610.581799969</v>
      </c>
      <c r="K7" s="172">
        <f t="shared" si="2"/>
        <v>0.90141229079642204</v>
      </c>
      <c r="L7" s="369" t="str">
        <f t="shared" si="4"/>
        <v>0,35%</v>
      </c>
      <c r="M7" s="186">
        <f t="shared" si="5"/>
        <v>345858.48296370014</v>
      </c>
      <c r="O7" s="614"/>
      <c r="P7" s="165" t="s">
        <v>98</v>
      </c>
      <c r="Q7" s="327">
        <v>179712000</v>
      </c>
      <c r="R7" s="222">
        <v>13</v>
      </c>
      <c r="S7" s="308">
        <v>14</v>
      </c>
      <c r="T7" s="169">
        <v>145776204.95519996</v>
      </c>
      <c r="U7" s="169">
        <v>4128378.3783999998</v>
      </c>
      <c r="V7" s="327"/>
      <c r="W7" s="166">
        <f t="shared" si="3"/>
        <v>141647826.57679996</v>
      </c>
      <c r="X7" s="171">
        <f t="shared" ref="X7:X11" si="8">W7-Q7</f>
        <v>-38064173.423200041</v>
      </c>
      <c r="Y7" s="172">
        <f t="shared" ref="Y7:Y11" si="9">W7/Q7</f>
        <v>0.78819347943821205</v>
      </c>
      <c r="Z7" s="369" t="str">
        <f t="shared" si="6"/>
        <v>0,2%</v>
      </c>
      <c r="AA7" s="186">
        <f t="shared" si="7"/>
        <v>283295.65315359994</v>
      </c>
    </row>
    <row r="8" spans="1:28" x14ac:dyDescent="0.35">
      <c r="A8" s="628"/>
      <c r="B8" s="325" t="s">
        <v>99</v>
      </c>
      <c r="C8" s="327">
        <v>150733440</v>
      </c>
      <c r="D8" s="222">
        <v>12</v>
      </c>
      <c r="E8" s="308">
        <v>11</v>
      </c>
      <c r="F8" s="169">
        <v>109450871.17119999</v>
      </c>
      <c r="G8" s="169">
        <v>2756756.7569000004</v>
      </c>
      <c r="H8" s="327"/>
      <c r="I8" s="326">
        <f>F8-G8</f>
        <v>106694114.41429999</v>
      </c>
      <c r="J8" s="226">
        <f t="shared" si="1"/>
        <v>-44039325.585700005</v>
      </c>
      <c r="K8" s="172">
        <f t="shared" si="2"/>
        <v>0.7078330754894202</v>
      </c>
      <c r="L8" s="369" t="str">
        <f t="shared" si="4"/>
        <v>0,2%</v>
      </c>
      <c r="M8" s="186">
        <f t="shared" si="5"/>
        <v>213388.2288286</v>
      </c>
      <c r="O8" s="614"/>
      <c r="P8" s="165" t="s">
        <v>99</v>
      </c>
      <c r="Q8" s="327">
        <v>348192000</v>
      </c>
      <c r="R8" s="222">
        <v>21</v>
      </c>
      <c r="S8" s="308">
        <v>25</v>
      </c>
      <c r="T8" s="169">
        <v>369101720.0444001</v>
      </c>
      <c r="U8" s="169">
        <v>13977027.026800003</v>
      </c>
      <c r="V8" s="327"/>
      <c r="W8" s="166">
        <f t="shared" si="3"/>
        <v>355124693.01760012</v>
      </c>
      <c r="X8" s="171">
        <f t="shared" si="8"/>
        <v>6932693.0176001191</v>
      </c>
      <c r="Y8" s="172">
        <f t="shared" si="9"/>
        <v>1.0199105465306502</v>
      </c>
      <c r="Z8" s="369" t="str">
        <f t="shared" si="6"/>
        <v>0,45%</v>
      </c>
      <c r="AA8" s="186">
        <f t="shared" si="7"/>
        <v>1598061.1185792005</v>
      </c>
    </row>
    <row r="9" spans="1:28" x14ac:dyDescent="0.35">
      <c r="A9" s="628"/>
      <c r="B9" s="325" t="s">
        <v>100</v>
      </c>
      <c r="C9" s="327">
        <v>205545600</v>
      </c>
      <c r="D9" s="222">
        <v>10</v>
      </c>
      <c r="E9" s="308">
        <v>10</v>
      </c>
      <c r="F9" s="169">
        <v>139080414.19030005</v>
      </c>
      <c r="G9" s="169"/>
      <c r="H9" s="327"/>
      <c r="I9" s="326">
        <f>F9-G9</f>
        <v>139080414.19030005</v>
      </c>
      <c r="J9" s="226">
        <f t="shared" si="1"/>
        <v>-66465185.809699953</v>
      </c>
      <c r="K9" s="172">
        <f t="shared" si="2"/>
        <v>0.67664019171560985</v>
      </c>
      <c r="L9" s="369" t="str">
        <f t="shared" si="4"/>
        <v>0,2%</v>
      </c>
      <c r="M9" s="186">
        <f t="shared" si="5"/>
        <v>278160.82838060008</v>
      </c>
      <c r="O9" s="614"/>
      <c r="P9" s="165" t="s">
        <v>100</v>
      </c>
      <c r="Q9" s="327">
        <v>123552000</v>
      </c>
      <c r="R9" s="222">
        <v>12</v>
      </c>
      <c r="S9" s="308">
        <v>15</v>
      </c>
      <c r="T9" s="169">
        <v>65386517.747299999</v>
      </c>
      <c r="U9" s="169">
        <v>1261486.4864000001</v>
      </c>
      <c r="V9" s="327"/>
      <c r="W9" s="166">
        <f t="shared" si="3"/>
        <v>64125031.260899998</v>
      </c>
      <c r="X9" s="171">
        <f t="shared" si="8"/>
        <v>-59426968.739100002</v>
      </c>
      <c r="Y9" s="172">
        <f t="shared" si="9"/>
        <v>0.51901249078040013</v>
      </c>
      <c r="Z9" s="369">
        <f t="shared" si="6"/>
        <v>0</v>
      </c>
      <c r="AA9" s="186">
        <f t="shared" si="7"/>
        <v>0</v>
      </c>
    </row>
    <row r="10" spans="1:28" x14ac:dyDescent="0.35">
      <c r="A10" s="628"/>
      <c r="B10" s="325" t="s">
        <v>101</v>
      </c>
      <c r="C10" s="327">
        <v>465903360.00000006</v>
      </c>
      <c r="D10" s="222">
        <v>23</v>
      </c>
      <c r="E10" s="308">
        <v>22</v>
      </c>
      <c r="F10" s="169">
        <v>615530242.43210006</v>
      </c>
      <c r="G10" s="169">
        <v>324324.32429999998</v>
      </c>
      <c r="H10" s="327"/>
      <c r="I10" s="326">
        <f t="shared" si="0"/>
        <v>615205918.10780001</v>
      </c>
      <c r="J10" s="226">
        <f t="shared" si="1"/>
        <v>149302558.10779995</v>
      </c>
      <c r="K10" s="172">
        <f t="shared" si="2"/>
        <v>1.3204582128529829</v>
      </c>
      <c r="L10" s="369" t="str">
        <f t="shared" si="4"/>
        <v>0,55%</v>
      </c>
      <c r="M10" s="186">
        <f t="shared" si="5"/>
        <v>3383632.5495928996</v>
      </c>
      <c r="O10" s="614"/>
      <c r="P10" s="165" t="s">
        <v>101</v>
      </c>
      <c r="Q10" s="327">
        <v>112320000</v>
      </c>
      <c r="R10" s="222">
        <v>10</v>
      </c>
      <c r="S10" s="308">
        <v>6</v>
      </c>
      <c r="T10" s="169">
        <v>39876311.712300003</v>
      </c>
      <c r="U10" s="169">
        <v>2470945.9458999997</v>
      </c>
      <c r="V10" s="327"/>
      <c r="W10" s="166">
        <f t="shared" si="3"/>
        <v>37405365.766400002</v>
      </c>
      <c r="X10" s="171">
        <f t="shared" si="8"/>
        <v>-74914634.233599991</v>
      </c>
      <c r="Y10" s="172">
        <f t="shared" si="9"/>
        <v>0.33302498011396015</v>
      </c>
      <c r="Z10" s="369">
        <f t="shared" si="6"/>
        <v>0</v>
      </c>
      <c r="AA10" s="186">
        <f t="shared" si="7"/>
        <v>0</v>
      </c>
    </row>
    <row r="11" spans="1:28" s="199" customFormat="1" ht="14.5" customHeight="1" thickBot="1" x14ac:dyDescent="0.4">
      <c r="A11" s="628"/>
      <c r="B11" s="352" t="s">
        <v>77</v>
      </c>
      <c r="C11" s="329">
        <f t="shared" ref="C11:H11" si="10">SUM(C5:C10)</f>
        <v>1370304000</v>
      </c>
      <c r="D11" s="178">
        <f>SUM(D5:D10)</f>
        <v>93</v>
      </c>
      <c r="E11" s="178">
        <f t="shared" si="10"/>
        <v>86</v>
      </c>
      <c r="F11" s="329">
        <f>SUM(F5:F10)</f>
        <v>1333418038.5052001</v>
      </c>
      <c r="G11" s="330">
        <f t="shared" si="10"/>
        <v>25602882.883100003</v>
      </c>
      <c r="H11" s="329">
        <f t="shared" si="10"/>
        <v>0</v>
      </c>
      <c r="I11" s="329">
        <f t="shared" si="0"/>
        <v>1307815155.6221001</v>
      </c>
      <c r="J11" s="329">
        <f>I11-C11</f>
        <v>-62488844.377899885</v>
      </c>
      <c r="K11" s="305">
        <f>I11/C11</f>
        <v>0.95439782385667715</v>
      </c>
      <c r="L11" s="369" t="str">
        <f>IF(K11&gt;100%,"CAPAI 100%",IF(K11&gt;90%,"CAPAI 90%","BELUM CAPAI"))</f>
        <v>CAPAI 90%</v>
      </c>
      <c r="M11" s="202">
        <f>SUM(M5:M10)</f>
        <v>5140285.5147500001</v>
      </c>
      <c r="O11" s="615"/>
      <c r="P11" s="204" t="s">
        <v>77</v>
      </c>
      <c r="Q11" s="205">
        <f>SUM(Q5:Q10)</f>
        <v>1123200000</v>
      </c>
      <c r="R11" s="206">
        <f t="shared" ref="R11:V11" si="11">SUM(R5:R10)</f>
        <v>78</v>
      </c>
      <c r="S11" s="207">
        <f t="shared" si="11"/>
        <v>81</v>
      </c>
      <c r="T11" s="205">
        <f t="shared" si="11"/>
        <v>827100335.5400002</v>
      </c>
      <c r="U11" s="208">
        <f t="shared" si="11"/>
        <v>38303603.603100002</v>
      </c>
      <c r="V11" s="205">
        <f t="shared" si="11"/>
        <v>0</v>
      </c>
      <c r="W11" s="205">
        <f t="shared" si="3"/>
        <v>788796731.93690014</v>
      </c>
      <c r="X11" s="205">
        <f t="shared" si="8"/>
        <v>-334403268.06309986</v>
      </c>
      <c r="Y11" s="209">
        <f t="shared" si="9"/>
        <v>0.70227629267886404</v>
      </c>
      <c r="Z11" s="369" t="str">
        <f>IF(Y11&gt;100%,"CAPAI 100%",IF(Y11&gt;90%,"CAPAI 90%","BELUM CAPAI"))</f>
        <v>BELUM CAPAI</v>
      </c>
      <c r="AA11" s="202">
        <f>SUM(AA5:AA10)</f>
        <v>2188653.9338946007</v>
      </c>
      <c r="AB11" s="194"/>
    </row>
    <row r="12" spans="1:28" ht="14.5" customHeight="1" x14ac:dyDescent="0.55000000000000004">
      <c r="B12" s="324" t="s">
        <v>86</v>
      </c>
      <c r="C12" s="243">
        <f>C13*C11</f>
        <v>1233273600</v>
      </c>
      <c r="D12" s="597"/>
      <c r="E12" s="598"/>
      <c r="F12" s="598"/>
      <c r="G12" s="598"/>
      <c r="H12" s="599"/>
      <c r="I12" s="243">
        <f>I11</f>
        <v>1307815155.6221001</v>
      </c>
      <c r="J12" s="243">
        <f>I12-C12</f>
        <v>74541555.622100115</v>
      </c>
      <c r="K12" s="183">
        <f t="shared" si="2"/>
        <v>1.060442026507419</v>
      </c>
      <c r="O12" s="309"/>
      <c r="P12" s="324" t="str">
        <f>$B$12</f>
        <v>TARGET Q2</v>
      </c>
      <c r="Q12" s="243">
        <f>Q13*Q11</f>
        <v>1010880000</v>
      </c>
      <c r="R12" s="597"/>
      <c r="S12" s="598"/>
      <c r="T12" s="598"/>
      <c r="U12" s="598"/>
      <c r="V12" s="599"/>
      <c r="W12" s="243">
        <f>W11</f>
        <v>788796731.93690014</v>
      </c>
      <c r="X12" s="243">
        <f>W12-Q12</f>
        <v>-222083268.06309986</v>
      </c>
      <c r="Y12" s="183">
        <f>W12/Q12</f>
        <v>0.78030699186540453</v>
      </c>
      <c r="Z12" s="192"/>
    </row>
    <row r="13" spans="1:28" ht="24" thickBot="1" x14ac:dyDescent="0.6">
      <c r="C13" s="210">
        <v>0.9</v>
      </c>
      <c r="I13" s="186">
        <v>1151047332</v>
      </c>
      <c r="J13" s="191">
        <f>I13-C12</f>
        <v>-82226268</v>
      </c>
      <c r="O13" s="309"/>
      <c r="Q13" s="210">
        <v>0.9</v>
      </c>
    </row>
    <row r="14" spans="1:28" ht="19.5" customHeight="1" x14ac:dyDescent="0.35">
      <c r="A14" s="623">
        <v>2</v>
      </c>
      <c r="B14" s="352" t="s">
        <v>57</v>
      </c>
      <c r="C14" s="353" t="s">
        <v>188</v>
      </c>
      <c r="D14" s="616" t="s">
        <v>91</v>
      </c>
      <c r="E14" s="616" t="s">
        <v>62</v>
      </c>
      <c r="F14" s="604" t="s">
        <v>103</v>
      </c>
      <c r="G14" s="605"/>
      <c r="H14" s="605"/>
      <c r="I14" s="606"/>
      <c r="J14" s="587" t="s">
        <v>65</v>
      </c>
      <c r="K14" s="352" t="s">
        <v>66</v>
      </c>
      <c r="O14" s="607">
        <v>2</v>
      </c>
      <c r="P14" s="354" t="s">
        <v>57</v>
      </c>
      <c r="Q14" s="355" t="s">
        <v>168</v>
      </c>
      <c r="R14" s="591" t="s">
        <v>91</v>
      </c>
      <c r="S14" s="591" t="s">
        <v>62</v>
      </c>
      <c r="T14" s="610" t="s">
        <v>103</v>
      </c>
      <c r="U14" s="611"/>
      <c r="V14" s="611"/>
      <c r="W14" s="612"/>
      <c r="X14" s="595" t="s">
        <v>65</v>
      </c>
      <c r="Y14" s="354" t="s">
        <v>66</v>
      </c>
    </row>
    <row r="15" spans="1:28" ht="36" customHeight="1" x14ac:dyDescent="0.35">
      <c r="A15" s="623"/>
      <c r="B15" s="352" t="s">
        <v>93</v>
      </c>
      <c r="C15" s="353" t="str">
        <f>C4</f>
        <v>TARGET 100%</v>
      </c>
      <c r="D15" s="617"/>
      <c r="E15" s="617"/>
      <c r="F15" s="163" t="str">
        <f>F4</f>
        <v>OMSET JUN
 (1-30)</v>
      </c>
      <c r="G15" s="163" t="str">
        <f>G4</f>
        <v>OMSET PRODUK</v>
      </c>
      <c r="H15" s="353" t="s">
        <v>63</v>
      </c>
      <c r="I15" s="353" t="s">
        <v>64</v>
      </c>
      <c r="J15" s="587"/>
      <c r="K15" s="164">
        <f>K4</f>
        <v>1</v>
      </c>
      <c r="L15" s="211"/>
      <c r="M15" s="214"/>
      <c r="O15" s="608"/>
      <c r="P15" s="354" t="s">
        <v>93</v>
      </c>
      <c r="Q15" s="355" t="str">
        <f>Q4</f>
        <v>TARGET 100%</v>
      </c>
      <c r="R15" s="592"/>
      <c r="S15" s="592"/>
      <c r="T15" s="200" t="str">
        <f>T4</f>
        <v>OMSET JUN
 (1-30)</v>
      </c>
      <c r="U15" s="200" t="str">
        <f>G4</f>
        <v>OMSET PRODUK</v>
      </c>
      <c r="V15" s="355" t="s">
        <v>63</v>
      </c>
      <c r="W15" s="355" t="s">
        <v>64</v>
      </c>
      <c r="X15" s="596"/>
      <c r="Y15" s="201">
        <f>K15</f>
        <v>1</v>
      </c>
    </row>
    <row r="16" spans="1:28" ht="14.5" customHeight="1" x14ac:dyDescent="0.35">
      <c r="A16" s="623"/>
      <c r="B16" s="325" t="s">
        <v>96</v>
      </c>
      <c r="C16" s="326">
        <v>395865600</v>
      </c>
      <c r="D16" s="222">
        <v>18</v>
      </c>
      <c r="E16" s="308">
        <v>16</v>
      </c>
      <c r="F16" s="169">
        <v>318052279.27929991</v>
      </c>
      <c r="G16" s="169">
        <v>2108108.1082000001</v>
      </c>
      <c r="H16" s="326"/>
      <c r="I16" s="326">
        <f t="shared" ref="I16:I22" si="12">F16-G16</f>
        <v>315944171.1710999</v>
      </c>
      <c r="J16" s="226">
        <f t="shared" ref="J16:J22" si="13">I16-C16</f>
        <v>-79921428.828900099</v>
      </c>
      <c r="K16" s="172">
        <f t="shared" ref="K16:K23" si="14">I16/C16</f>
        <v>0.79810968968028517</v>
      </c>
      <c r="L16" s="369" t="str">
        <f>IF(K16&gt;120%,"0,55%",IF(K16&gt;100%,"0,45%",IF(K16&gt;80%,"0,35%",IF(K16&gt;60%,"0,2%",0))))</f>
        <v>0,2%</v>
      </c>
      <c r="M16" s="186">
        <f>L16*I16</f>
        <v>631888.34234219976</v>
      </c>
      <c r="O16" s="608"/>
      <c r="P16" s="325" t="s">
        <v>96</v>
      </c>
      <c r="Q16" s="326">
        <v>227635200</v>
      </c>
      <c r="R16" s="222">
        <v>11</v>
      </c>
      <c r="S16" s="308">
        <v>10</v>
      </c>
      <c r="T16" s="169">
        <v>78604014.414100021</v>
      </c>
      <c r="U16" s="169">
        <v>6549099.0988000017</v>
      </c>
      <c r="V16" s="326"/>
      <c r="W16" s="326">
        <f t="shared" ref="W16:W22" si="15">T16-U16</f>
        <v>72054915.315300018</v>
      </c>
      <c r="X16" s="226">
        <f t="shared" ref="X16:X22" si="16">W16-Q16</f>
        <v>-155580284.68469998</v>
      </c>
      <c r="Y16" s="172">
        <f t="shared" ref="Y16:Y21" si="17">W16/Q16</f>
        <v>0.31653678919297201</v>
      </c>
      <c r="Z16" s="369">
        <f>IF(Y16&gt;120%,"0,55%",IF(Y16&gt;100%,"0,45%",IF(Y16&gt;80%,"0,35%",IF(Y16&gt;60%,"0,2%",0))))</f>
        <v>0</v>
      </c>
      <c r="AA16" s="186">
        <f>Z16*W16</f>
        <v>0</v>
      </c>
    </row>
    <row r="17" spans="1:27" ht="14.5" customHeight="1" x14ac:dyDescent="0.35">
      <c r="A17" s="623"/>
      <c r="B17" s="325" t="s">
        <v>97</v>
      </c>
      <c r="C17" s="327">
        <v>258835200.00000003</v>
      </c>
      <c r="D17" s="222">
        <v>11</v>
      </c>
      <c r="E17" s="308">
        <v>14</v>
      </c>
      <c r="F17" s="169">
        <v>142557579.60319996</v>
      </c>
      <c r="G17" s="328">
        <v>3405405.4052999998</v>
      </c>
      <c r="H17" s="327"/>
      <c r="I17" s="326">
        <f t="shared" si="12"/>
        <v>139152174.19789997</v>
      </c>
      <c r="J17" s="226">
        <f t="shared" si="13"/>
        <v>-119683025.80210006</v>
      </c>
      <c r="K17" s="172">
        <f t="shared" si="14"/>
        <v>0.53760915902435202</v>
      </c>
      <c r="L17" s="369">
        <f t="shared" ref="L17:L21" si="18">IF(K17&gt;120%,"0,55%",IF(K17&gt;100%,"0,45%",IF(K17&gt;80%,"0,35%",IF(K17&gt;60%,"0,2%",0))))</f>
        <v>0</v>
      </c>
      <c r="M17" s="186">
        <f t="shared" ref="M17:M21" si="19">L17*I17</f>
        <v>0</v>
      </c>
      <c r="O17" s="608"/>
      <c r="P17" s="325" t="s">
        <v>97</v>
      </c>
      <c r="Q17" s="327">
        <v>199180800.00000003</v>
      </c>
      <c r="R17" s="222">
        <v>15</v>
      </c>
      <c r="S17" s="308">
        <v>12</v>
      </c>
      <c r="T17" s="169">
        <v>70549351.351400018</v>
      </c>
      <c r="U17" s="328">
        <v>5175675.6755999997</v>
      </c>
      <c r="V17" s="327"/>
      <c r="W17" s="326">
        <f t="shared" si="15"/>
        <v>65373675.675800018</v>
      </c>
      <c r="X17" s="226">
        <f t="shared" si="16"/>
        <v>-133807124.3242</v>
      </c>
      <c r="Y17" s="172">
        <f t="shared" si="17"/>
        <v>0.32821273775283566</v>
      </c>
      <c r="Z17" s="369">
        <f t="shared" ref="Z17:Z21" si="20">IF(Y17&gt;120%,"0,55%",IF(Y17&gt;100%,"0,45%",IF(Y17&gt;80%,"0,35%",IF(Y17&gt;60%,"0,2%",0))))</f>
        <v>0</v>
      </c>
      <c r="AA17" s="186">
        <f t="shared" ref="AA17:AA21" si="21">Z17*W17</f>
        <v>0</v>
      </c>
    </row>
    <row r="18" spans="1:27" ht="14.5" customHeight="1" x14ac:dyDescent="0.35">
      <c r="A18" s="623"/>
      <c r="B18" s="325" t="s">
        <v>98</v>
      </c>
      <c r="C18" s="327">
        <v>228384000</v>
      </c>
      <c r="D18" s="222">
        <v>22</v>
      </c>
      <c r="E18" s="308">
        <v>17</v>
      </c>
      <c r="F18" s="169">
        <v>110905467.42370003</v>
      </c>
      <c r="G18" s="169">
        <v>972972.97289999994</v>
      </c>
      <c r="H18" s="327"/>
      <c r="I18" s="326">
        <f t="shared" si="12"/>
        <v>109932494.45080003</v>
      </c>
      <c r="J18" s="226">
        <f t="shared" si="13"/>
        <v>-118451505.54919997</v>
      </c>
      <c r="K18" s="172">
        <f t="shared" si="14"/>
        <v>0.48134936970540859</v>
      </c>
      <c r="L18" s="369">
        <f t="shared" si="18"/>
        <v>0</v>
      </c>
      <c r="M18" s="186">
        <f t="shared" si="19"/>
        <v>0</v>
      </c>
      <c r="O18" s="608"/>
      <c r="P18" s="325" t="s">
        <v>98</v>
      </c>
      <c r="Q18" s="327">
        <v>327225600</v>
      </c>
      <c r="R18" s="222">
        <v>15</v>
      </c>
      <c r="S18" s="308">
        <v>13</v>
      </c>
      <c r="T18" s="169">
        <v>133781418.91860008</v>
      </c>
      <c r="U18" s="169">
        <v>750000</v>
      </c>
      <c r="V18" s="327"/>
      <c r="W18" s="326">
        <f t="shared" si="15"/>
        <v>133031418.91860008</v>
      </c>
      <c r="X18" s="226">
        <f t="shared" si="16"/>
        <v>-194194181.08139992</v>
      </c>
      <c r="Y18" s="172">
        <f t="shared" si="17"/>
        <v>0.40654343339457572</v>
      </c>
      <c r="Z18" s="369">
        <f t="shared" si="20"/>
        <v>0</v>
      </c>
      <c r="AA18" s="186">
        <f t="shared" si="21"/>
        <v>0</v>
      </c>
    </row>
    <row r="19" spans="1:27" ht="14.5" customHeight="1" x14ac:dyDescent="0.35">
      <c r="A19" s="623"/>
      <c r="B19" s="325" t="s">
        <v>99</v>
      </c>
      <c r="C19" s="327">
        <v>243609600</v>
      </c>
      <c r="D19" s="222">
        <v>9</v>
      </c>
      <c r="E19" s="308">
        <v>8</v>
      </c>
      <c r="F19" s="169">
        <v>104562582.9588</v>
      </c>
      <c r="G19" s="169">
        <v>675675.76579999994</v>
      </c>
      <c r="H19" s="327"/>
      <c r="I19" s="326">
        <f t="shared" si="12"/>
        <v>103886907.193</v>
      </c>
      <c r="J19" s="226">
        <f t="shared" si="13"/>
        <v>-139722692.80699998</v>
      </c>
      <c r="K19" s="172">
        <f t="shared" si="14"/>
        <v>0.42644833041472918</v>
      </c>
      <c r="L19" s="369">
        <f t="shared" si="18"/>
        <v>0</v>
      </c>
      <c r="M19" s="186">
        <f t="shared" si="19"/>
        <v>0</v>
      </c>
      <c r="O19" s="608"/>
      <c r="P19" s="325" t="s">
        <v>99</v>
      </c>
      <c r="Q19" s="327">
        <v>227635200</v>
      </c>
      <c r="R19" s="222">
        <v>15</v>
      </c>
      <c r="S19" s="308">
        <v>11</v>
      </c>
      <c r="T19" s="169">
        <v>68463961.711600006</v>
      </c>
      <c r="U19" s="169">
        <v>1500000</v>
      </c>
      <c r="V19" s="327"/>
      <c r="W19" s="326">
        <f t="shared" si="15"/>
        <v>66963961.711600006</v>
      </c>
      <c r="X19" s="226">
        <f t="shared" si="16"/>
        <v>-160671238.28839999</v>
      </c>
      <c r="Y19" s="172">
        <f t="shared" si="17"/>
        <v>0.29417226207370389</v>
      </c>
      <c r="Z19" s="369">
        <f t="shared" si="20"/>
        <v>0</v>
      </c>
      <c r="AA19" s="186">
        <f t="shared" si="21"/>
        <v>0</v>
      </c>
    </row>
    <row r="20" spans="1:27" ht="14.5" customHeight="1" x14ac:dyDescent="0.35">
      <c r="A20" s="623"/>
      <c r="B20" s="325" t="s">
        <v>100</v>
      </c>
      <c r="C20" s="327">
        <v>182707200</v>
      </c>
      <c r="D20" s="222">
        <v>11</v>
      </c>
      <c r="E20" s="308">
        <v>12</v>
      </c>
      <c r="F20" s="169">
        <v>239004272.96830004</v>
      </c>
      <c r="G20" s="169">
        <v>5081081.0810000002</v>
      </c>
      <c r="H20" s="327"/>
      <c r="I20" s="326">
        <f t="shared" si="12"/>
        <v>233923191.88730004</v>
      </c>
      <c r="J20" s="226">
        <f t="shared" si="13"/>
        <v>51215991.887300044</v>
      </c>
      <c r="K20" s="172">
        <f t="shared" si="14"/>
        <v>1.2803173158326548</v>
      </c>
      <c r="L20" s="369" t="str">
        <f t="shared" si="18"/>
        <v>0,55%</v>
      </c>
      <c r="M20" s="186">
        <f t="shared" si="19"/>
        <v>1286577.5553801502</v>
      </c>
      <c r="O20" s="608"/>
      <c r="P20" s="325" t="s">
        <v>100</v>
      </c>
      <c r="Q20" s="327">
        <v>213408000</v>
      </c>
      <c r="R20" s="222">
        <v>10</v>
      </c>
      <c r="S20" s="308">
        <v>10</v>
      </c>
      <c r="T20" s="169">
        <v>92944600.901000008</v>
      </c>
      <c r="U20" s="169">
        <v>1632432.4324</v>
      </c>
      <c r="V20" s="327"/>
      <c r="W20" s="326">
        <f>T20-U20</f>
        <v>91312168.468600005</v>
      </c>
      <c r="X20" s="226">
        <f t="shared" si="16"/>
        <v>-122095831.5314</v>
      </c>
      <c r="Y20" s="172">
        <f t="shared" si="17"/>
        <v>0.42787603308498279</v>
      </c>
      <c r="Z20" s="369">
        <f t="shared" si="20"/>
        <v>0</v>
      </c>
      <c r="AA20" s="186">
        <f t="shared" si="21"/>
        <v>0</v>
      </c>
    </row>
    <row r="21" spans="1:27" ht="14.5" customHeight="1" x14ac:dyDescent="0.35">
      <c r="A21" s="623"/>
      <c r="B21" s="325" t="s">
        <v>101</v>
      </c>
      <c r="C21" s="327">
        <v>213158400.00000003</v>
      </c>
      <c r="D21" s="222">
        <v>13</v>
      </c>
      <c r="E21" s="308">
        <v>12</v>
      </c>
      <c r="F21" s="169">
        <v>124482727.92789999</v>
      </c>
      <c r="G21" s="169">
        <v>1054054.0541000001</v>
      </c>
      <c r="H21" s="327"/>
      <c r="I21" s="326">
        <f t="shared" si="12"/>
        <v>123428673.87379998</v>
      </c>
      <c r="J21" s="226">
        <f t="shared" si="13"/>
        <v>-89729726.12620005</v>
      </c>
      <c r="K21" s="172">
        <f t="shared" si="14"/>
        <v>0.5790467270996591</v>
      </c>
      <c r="L21" s="369">
        <f t="shared" si="18"/>
        <v>0</v>
      </c>
      <c r="M21" s="186">
        <f t="shared" si="19"/>
        <v>0</v>
      </c>
      <c r="O21" s="608"/>
      <c r="P21" s="325" t="s">
        <v>101</v>
      </c>
      <c r="Q21" s="327">
        <v>227635200</v>
      </c>
      <c r="R21" s="222">
        <v>13</v>
      </c>
      <c r="S21" s="308">
        <v>12</v>
      </c>
      <c r="T21" s="169">
        <v>248610783.7832</v>
      </c>
      <c r="U21" s="169">
        <v>2442342.3424000004</v>
      </c>
      <c r="V21" s="327"/>
      <c r="W21" s="326">
        <f t="shared" si="15"/>
        <v>246168441.44079998</v>
      </c>
      <c r="X21" s="226">
        <f t="shared" si="16"/>
        <v>18533241.440799981</v>
      </c>
      <c r="Y21" s="172">
        <f t="shared" si="17"/>
        <v>1.0814164129308648</v>
      </c>
      <c r="Z21" s="369" t="str">
        <f t="shared" si="20"/>
        <v>0,45%</v>
      </c>
      <c r="AA21" s="186">
        <f t="shared" si="21"/>
        <v>1107757.9864835998</v>
      </c>
    </row>
    <row r="22" spans="1:27" ht="14.5" customHeight="1" thickBot="1" x14ac:dyDescent="0.4">
      <c r="A22" s="623"/>
      <c r="B22" s="352" t="s">
        <v>77</v>
      </c>
      <c r="C22" s="329">
        <f t="shared" ref="C22:H22" si="22">SUM(C16:C21)</f>
        <v>1522560000</v>
      </c>
      <c r="D22" s="178">
        <f>SUM(D16:D21)</f>
        <v>84</v>
      </c>
      <c r="E22" s="178">
        <f t="shared" si="22"/>
        <v>79</v>
      </c>
      <c r="F22" s="329">
        <f>SUM(F16:F21)</f>
        <v>1039564910.1611999</v>
      </c>
      <c r="G22" s="330">
        <f t="shared" si="22"/>
        <v>13297297.3873</v>
      </c>
      <c r="H22" s="329">
        <f t="shared" si="22"/>
        <v>0</v>
      </c>
      <c r="I22" s="329">
        <f t="shared" si="12"/>
        <v>1026267612.7738999</v>
      </c>
      <c r="J22" s="329">
        <f t="shared" si="13"/>
        <v>-496292387.22610009</v>
      </c>
      <c r="K22" s="305">
        <f t="shared" si="14"/>
        <v>0.67404083436705275</v>
      </c>
      <c r="L22" s="369" t="str">
        <f>IF(K22&gt;100%,"CAPAI 100%",IF(K22&gt;90%,"CAPAI 90%","BELUM CAPAI"))</f>
        <v>BELUM CAPAI</v>
      </c>
      <c r="M22" s="202">
        <f>SUM(M16:M21)</f>
        <v>1918465.89772235</v>
      </c>
      <c r="O22" s="609"/>
      <c r="P22" s="354" t="s">
        <v>77</v>
      </c>
      <c r="Q22" s="336">
        <f t="shared" ref="Q22:V22" si="23">SUM(Q16:Q21)</f>
        <v>1422720000</v>
      </c>
      <c r="R22" s="207">
        <f>SUM(R16:R21)</f>
        <v>79</v>
      </c>
      <c r="S22" s="207">
        <f t="shared" si="23"/>
        <v>68</v>
      </c>
      <c r="T22" s="336">
        <f t="shared" si="23"/>
        <v>692954131.07990015</v>
      </c>
      <c r="U22" s="337">
        <f t="shared" si="23"/>
        <v>18049549.549200002</v>
      </c>
      <c r="V22" s="336">
        <f t="shared" si="23"/>
        <v>0</v>
      </c>
      <c r="W22" s="336">
        <f t="shared" si="15"/>
        <v>674904581.53070009</v>
      </c>
      <c r="X22" s="336">
        <f t="shared" si="16"/>
        <v>-747815418.46929991</v>
      </c>
      <c r="Y22" s="313">
        <f>W22/Q22</f>
        <v>0.47437625220050333</v>
      </c>
      <c r="Z22" s="369" t="str">
        <f>IF(Y22&gt;100%,"CAPAI 100%",IF(Y22&gt;90%,"CAPAI 90%","BELUM CAPAI"))</f>
        <v>BELUM CAPAI</v>
      </c>
      <c r="AA22" s="202">
        <f>SUM(AA16:AA21)</f>
        <v>1107757.9864835998</v>
      </c>
    </row>
    <row r="23" spans="1:27" ht="14.5" customHeight="1" x14ac:dyDescent="0.55000000000000004">
      <c r="B23" s="324" t="str">
        <f>$B$12</f>
        <v>TARGET Q2</v>
      </c>
      <c r="C23" s="243">
        <f>C24*C22</f>
        <v>1370304000</v>
      </c>
      <c r="D23" s="597"/>
      <c r="E23" s="598"/>
      <c r="F23" s="598"/>
      <c r="G23" s="598"/>
      <c r="H23" s="599"/>
      <c r="I23" s="243">
        <f>I22</f>
        <v>1026267612.7738999</v>
      </c>
      <c r="J23" s="243">
        <f>I23-C23</f>
        <v>-344036387.22610009</v>
      </c>
      <c r="K23" s="183">
        <f t="shared" si="14"/>
        <v>0.74893426040783639</v>
      </c>
      <c r="O23" s="309"/>
      <c r="P23" s="324" t="str">
        <f>$B$12</f>
        <v>TARGET Q2</v>
      </c>
      <c r="Q23" s="243">
        <f>Q24*Q22</f>
        <v>1280448000</v>
      </c>
      <c r="R23" s="597"/>
      <c r="S23" s="598"/>
      <c r="T23" s="598"/>
      <c r="U23" s="598"/>
      <c r="V23" s="599"/>
      <c r="W23" s="243">
        <f>W22</f>
        <v>674904581.53070009</v>
      </c>
      <c r="X23" s="243">
        <f>W23-Q23</f>
        <v>-605543418.46929991</v>
      </c>
      <c r="Y23" s="183">
        <f>W23/Q23</f>
        <v>0.52708472466722589</v>
      </c>
      <c r="Z23" s="192"/>
    </row>
    <row r="24" spans="1:27" ht="24" thickBot="1" x14ac:dyDescent="0.6">
      <c r="C24" s="210">
        <v>0.9</v>
      </c>
      <c r="O24" s="309"/>
      <c r="Q24" s="210">
        <v>0.9</v>
      </c>
    </row>
    <row r="25" spans="1:27" ht="19.5" customHeight="1" x14ac:dyDescent="0.35">
      <c r="A25" s="623">
        <v>3</v>
      </c>
      <c r="B25" s="352" t="s">
        <v>57</v>
      </c>
      <c r="C25" s="353" t="s">
        <v>105</v>
      </c>
      <c r="D25" s="616" t="s">
        <v>91</v>
      </c>
      <c r="E25" s="616" t="s">
        <v>62</v>
      </c>
      <c r="F25" s="604" t="s">
        <v>106</v>
      </c>
      <c r="G25" s="605"/>
      <c r="H25" s="605"/>
      <c r="I25" s="606"/>
      <c r="J25" s="621" t="s">
        <v>65</v>
      </c>
      <c r="K25" s="352" t="s">
        <v>66</v>
      </c>
      <c r="O25" s="613">
        <v>3</v>
      </c>
      <c r="P25" s="354" t="s">
        <v>57</v>
      </c>
      <c r="Q25" s="355" t="s">
        <v>169</v>
      </c>
      <c r="R25" s="591" t="s">
        <v>91</v>
      </c>
      <c r="S25" s="591" t="s">
        <v>62</v>
      </c>
      <c r="T25" s="610" t="s">
        <v>107</v>
      </c>
      <c r="U25" s="611"/>
      <c r="V25" s="611"/>
      <c r="W25" s="612"/>
      <c r="X25" s="595" t="s">
        <v>65</v>
      </c>
      <c r="Y25" s="354" t="s">
        <v>66</v>
      </c>
    </row>
    <row r="26" spans="1:27" ht="36" customHeight="1" x14ac:dyDescent="0.35">
      <c r="A26" s="623"/>
      <c r="B26" s="352" t="s">
        <v>93</v>
      </c>
      <c r="C26" s="353" t="str">
        <f>C15</f>
        <v>TARGET 100%</v>
      </c>
      <c r="D26" s="617"/>
      <c r="E26" s="617"/>
      <c r="F26" s="163" t="str">
        <f>F4</f>
        <v>OMSET JUN
 (1-30)</v>
      </c>
      <c r="G26" s="163" t="str">
        <f>G4</f>
        <v>OMSET PRODUK</v>
      </c>
      <c r="H26" s="353" t="s">
        <v>63</v>
      </c>
      <c r="I26" s="353" t="s">
        <v>64</v>
      </c>
      <c r="J26" s="622"/>
      <c r="K26" s="164">
        <f>K15</f>
        <v>1</v>
      </c>
      <c r="O26" s="614"/>
      <c r="P26" s="354" t="s">
        <v>93</v>
      </c>
      <c r="Q26" s="355" t="str">
        <f>Q15</f>
        <v>TARGET 100%</v>
      </c>
      <c r="R26" s="592"/>
      <c r="S26" s="592"/>
      <c r="T26" s="200" t="str">
        <f>T4</f>
        <v>OMSET JUN
 (1-30)</v>
      </c>
      <c r="U26" s="200" t="str">
        <f>G4</f>
        <v>OMSET PRODUK</v>
      </c>
      <c r="V26" s="355" t="s">
        <v>63</v>
      </c>
      <c r="W26" s="355" t="s">
        <v>64</v>
      </c>
      <c r="X26" s="596"/>
      <c r="Y26" s="201">
        <f>K26</f>
        <v>1</v>
      </c>
    </row>
    <row r="27" spans="1:27" ht="14.5" customHeight="1" x14ac:dyDescent="0.35">
      <c r="A27" s="623"/>
      <c r="B27" s="325" t="s">
        <v>96</v>
      </c>
      <c r="C27" s="326">
        <v>361608000</v>
      </c>
      <c r="D27" s="222">
        <v>14</v>
      </c>
      <c r="E27" s="308">
        <v>14</v>
      </c>
      <c r="F27" s="169">
        <v>395130967.7480002</v>
      </c>
      <c r="G27" s="169"/>
      <c r="H27" s="326"/>
      <c r="I27" s="326">
        <f t="shared" ref="I27:I33" si="24">F27-G27</f>
        <v>395130967.7480002</v>
      </c>
      <c r="J27" s="226">
        <f t="shared" ref="J27:J33" si="25">I27-C27</f>
        <v>33522967.748000205</v>
      </c>
      <c r="K27" s="172">
        <f t="shared" ref="K27:K34" si="26">I27/C27</f>
        <v>1.0927052713103698</v>
      </c>
      <c r="L27" s="369" t="str">
        <f>IF(K27&gt;120%,"0,55%",IF(K27&gt;100%,"0,45%",IF(K27&gt;80%,"0,35%",IF(K27&gt;60%,"0,2%",0))))</f>
        <v>0,45%</v>
      </c>
      <c r="M27" s="186">
        <f>L27*I27</f>
        <v>1778089.3548660008</v>
      </c>
      <c r="O27" s="614"/>
      <c r="P27" s="325" t="s">
        <v>96</v>
      </c>
      <c r="Q27" s="326">
        <v>229132800.00000003</v>
      </c>
      <c r="R27" s="222">
        <v>13</v>
      </c>
      <c r="S27" s="308">
        <v>8</v>
      </c>
      <c r="T27" s="169">
        <v>123368272.48620002</v>
      </c>
      <c r="U27" s="169">
        <v>7811936.9367999993</v>
      </c>
      <c r="V27" s="326"/>
      <c r="W27" s="326">
        <f t="shared" ref="W27:W33" si="27">T27-U27</f>
        <v>115556335.54940002</v>
      </c>
      <c r="X27" s="226">
        <f t="shared" ref="X27:X33" si="28">W27-Q27</f>
        <v>-113576464.45060001</v>
      </c>
      <c r="Y27" s="172">
        <f t="shared" ref="Y27:Y33" si="29">W27/Q27</f>
        <v>0.504320357231265</v>
      </c>
      <c r="Z27" s="369">
        <f>IF(Y27&gt;120%,"0,55%",IF(Y27&gt;100%,"0,45%",IF(Y27&gt;80%,"0,35%",IF(Y27&gt;60%,"0,2%",0))))</f>
        <v>0</v>
      </c>
      <c r="AA27" s="186">
        <f>Z27*W27</f>
        <v>0</v>
      </c>
    </row>
    <row r="28" spans="1:27" ht="14.5" customHeight="1" x14ac:dyDescent="0.35">
      <c r="A28" s="623"/>
      <c r="B28" s="325" t="s">
        <v>97</v>
      </c>
      <c r="C28" s="327">
        <v>245893440.00000003</v>
      </c>
      <c r="D28" s="222">
        <v>19</v>
      </c>
      <c r="E28" s="308">
        <v>15</v>
      </c>
      <c r="F28" s="169">
        <v>139550668.0169</v>
      </c>
      <c r="G28" s="328">
        <v>3135135.1351999999</v>
      </c>
      <c r="H28" s="327"/>
      <c r="I28" s="326">
        <f t="shared" si="24"/>
        <v>136415532.88170001</v>
      </c>
      <c r="J28" s="226">
        <f t="shared" si="25"/>
        <v>-109477907.11830002</v>
      </c>
      <c r="K28" s="172">
        <f t="shared" si="26"/>
        <v>0.55477499880314007</v>
      </c>
      <c r="L28" s="369">
        <f t="shared" ref="L28:L32" si="30">IF(K28&gt;120%,"0,55%",IF(K28&gt;100%,"0,45%",IF(K28&gt;80%,"0,35%",IF(K28&gt;60%,"0,2%",0))))</f>
        <v>0</v>
      </c>
      <c r="M28" s="186">
        <f t="shared" ref="M28:M32" si="31">L28*I28</f>
        <v>0</v>
      </c>
      <c r="O28" s="614"/>
      <c r="P28" s="325" t="s">
        <v>97</v>
      </c>
      <c r="Q28" s="327">
        <v>404352000</v>
      </c>
      <c r="R28" s="222">
        <v>14</v>
      </c>
      <c r="S28" s="308">
        <v>13</v>
      </c>
      <c r="T28" s="169">
        <v>313388839.18869996</v>
      </c>
      <c r="U28" s="328">
        <v>3209459.4591999999</v>
      </c>
      <c r="V28" s="327"/>
      <c r="W28" s="326">
        <f t="shared" si="27"/>
        <v>310179379.72949994</v>
      </c>
      <c r="X28" s="226">
        <f t="shared" si="28"/>
        <v>-94172620.270500064</v>
      </c>
      <c r="Y28" s="172">
        <f t="shared" si="29"/>
        <v>0.76710237547854332</v>
      </c>
      <c r="Z28" s="369" t="str">
        <f t="shared" ref="Z28:Z32" si="32">IF(Y28&gt;120%,"0,55%",IF(Y28&gt;100%,"0,45%",IF(Y28&gt;80%,"0,35%",IF(Y28&gt;60%,"0,2%",0))))</f>
        <v>0,2%</v>
      </c>
      <c r="AA28" s="186">
        <f t="shared" ref="AA28:AA32" si="33">Z28*W28</f>
        <v>620358.75945899985</v>
      </c>
    </row>
    <row r="29" spans="1:27" ht="14.5" customHeight="1" x14ac:dyDescent="0.35">
      <c r="A29" s="623"/>
      <c r="B29" s="325" t="s">
        <v>98</v>
      </c>
      <c r="C29" s="327">
        <v>173571840</v>
      </c>
      <c r="D29" s="222">
        <v>22</v>
      </c>
      <c r="E29" s="308">
        <v>19</v>
      </c>
      <c r="F29" s="169">
        <v>260079790.98999992</v>
      </c>
      <c r="G29" s="169">
        <v>2000000</v>
      </c>
      <c r="H29" s="327"/>
      <c r="I29" s="326">
        <f t="shared" si="24"/>
        <v>258079790.98999992</v>
      </c>
      <c r="J29" s="226">
        <f t="shared" si="25"/>
        <v>84507950.98999992</v>
      </c>
      <c r="K29" s="172">
        <f t="shared" si="26"/>
        <v>1.4868759298167256</v>
      </c>
      <c r="L29" s="369" t="str">
        <f t="shared" si="30"/>
        <v>0,55%</v>
      </c>
      <c r="M29" s="186">
        <f t="shared" si="31"/>
        <v>1419438.8504449995</v>
      </c>
      <c r="O29" s="614"/>
      <c r="P29" s="325" t="s">
        <v>98</v>
      </c>
      <c r="Q29" s="327">
        <v>202176000</v>
      </c>
      <c r="R29" s="222">
        <v>10</v>
      </c>
      <c r="S29" s="308">
        <v>7</v>
      </c>
      <c r="T29" s="169">
        <v>59479156.305400014</v>
      </c>
      <c r="U29" s="169">
        <v>2461486.4864000003</v>
      </c>
      <c r="V29" s="327"/>
      <c r="W29" s="326">
        <f t="shared" si="27"/>
        <v>57017669.819000013</v>
      </c>
      <c r="X29" s="226">
        <f t="shared" si="28"/>
        <v>-145158330.18099999</v>
      </c>
      <c r="Y29" s="172">
        <f t="shared" si="29"/>
        <v>0.2820199718017965</v>
      </c>
      <c r="Z29" s="369">
        <f t="shared" si="32"/>
        <v>0</v>
      </c>
      <c r="AA29" s="186">
        <f t="shared" si="33"/>
        <v>0</v>
      </c>
    </row>
    <row r="30" spans="1:27" ht="14.5" customHeight="1" x14ac:dyDescent="0.35">
      <c r="A30" s="623"/>
      <c r="B30" s="325" t="s">
        <v>99</v>
      </c>
      <c r="C30" s="327">
        <v>188036160</v>
      </c>
      <c r="D30" s="222">
        <v>8</v>
      </c>
      <c r="E30" s="308">
        <v>8</v>
      </c>
      <c r="F30" s="169">
        <v>160169645.0501</v>
      </c>
      <c r="G30" s="169">
        <v>702702.70270000002</v>
      </c>
      <c r="H30" s="327"/>
      <c r="I30" s="326">
        <f t="shared" si="24"/>
        <v>159466942.34740001</v>
      </c>
      <c r="J30" s="226">
        <f t="shared" si="25"/>
        <v>-28569217.65259999</v>
      </c>
      <c r="K30" s="172">
        <f t="shared" si="26"/>
        <v>0.84806529950090459</v>
      </c>
      <c r="L30" s="369" t="str">
        <f t="shared" si="30"/>
        <v>0,35%</v>
      </c>
      <c r="M30" s="186">
        <f t="shared" si="31"/>
        <v>558134.29821590008</v>
      </c>
      <c r="O30" s="614"/>
      <c r="P30" s="325" t="s">
        <v>99</v>
      </c>
      <c r="Q30" s="327">
        <v>148262400</v>
      </c>
      <c r="R30" s="222">
        <v>12</v>
      </c>
      <c r="S30" s="308">
        <v>11</v>
      </c>
      <c r="T30" s="169">
        <v>44880552.702499993</v>
      </c>
      <c r="U30" s="169">
        <v>1189189.189</v>
      </c>
      <c r="V30" s="327"/>
      <c r="W30" s="326">
        <f t="shared" si="27"/>
        <v>43691363.51349999</v>
      </c>
      <c r="X30" s="226">
        <f t="shared" si="28"/>
        <v>-104571036.48650001</v>
      </c>
      <c r="Y30" s="172">
        <f t="shared" si="29"/>
        <v>0.29468943922059798</v>
      </c>
      <c r="Z30" s="369">
        <f t="shared" si="32"/>
        <v>0</v>
      </c>
      <c r="AA30" s="186">
        <f t="shared" si="33"/>
        <v>0</v>
      </c>
    </row>
    <row r="31" spans="1:27" ht="14.5" customHeight="1" x14ac:dyDescent="0.35">
      <c r="A31" s="623"/>
      <c r="B31" s="325" t="s">
        <v>100</v>
      </c>
      <c r="C31" s="327">
        <v>159107520</v>
      </c>
      <c r="D31" s="222">
        <v>13</v>
      </c>
      <c r="E31" s="308">
        <v>10</v>
      </c>
      <c r="F31" s="169">
        <v>98160667.387799978</v>
      </c>
      <c r="G31" s="169"/>
      <c r="H31" s="327"/>
      <c r="I31" s="326">
        <f t="shared" si="24"/>
        <v>98160667.387799978</v>
      </c>
      <c r="J31" s="226">
        <f t="shared" si="25"/>
        <v>-60946852.612200022</v>
      </c>
      <c r="K31" s="172">
        <f t="shared" si="26"/>
        <v>0.61694549313445379</v>
      </c>
      <c r="L31" s="369" t="str">
        <f t="shared" si="30"/>
        <v>0,2%</v>
      </c>
      <c r="M31" s="186">
        <f t="shared" si="31"/>
        <v>196321.33477559997</v>
      </c>
      <c r="O31" s="614"/>
      <c r="P31" s="325" t="s">
        <v>100</v>
      </c>
      <c r="Q31" s="327">
        <v>202176000</v>
      </c>
      <c r="R31" s="222">
        <v>13</v>
      </c>
      <c r="S31" s="308">
        <v>12</v>
      </c>
      <c r="T31" s="169">
        <v>125668624.32300001</v>
      </c>
      <c r="U31" s="169">
        <v>3818243.2431999999</v>
      </c>
      <c r="V31" s="327"/>
      <c r="W31" s="326">
        <f t="shared" si="27"/>
        <v>121850381.07980001</v>
      </c>
      <c r="X31" s="226">
        <f t="shared" si="28"/>
        <v>-80325618.92019999</v>
      </c>
      <c r="Y31" s="172">
        <f>W31/Q31</f>
        <v>0.60269458827852962</v>
      </c>
      <c r="Z31" s="369" t="str">
        <f t="shared" si="32"/>
        <v>0,2%</v>
      </c>
      <c r="AA31" s="186">
        <f t="shared" si="33"/>
        <v>243700.76215960004</v>
      </c>
    </row>
    <row r="32" spans="1:27" ht="14.5" customHeight="1" x14ac:dyDescent="0.35">
      <c r="A32" s="623"/>
      <c r="B32" s="325" t="s">
        <v>101</v>
      </c>
      <c r="C32" s="327">
        <v>318215040</v>
      </c>
      <c r="D32" s="222">
        <v>19</v>
      </c>
      <c r="E32" s="308">
        <v>20</v>
      </c>
      <c r="F32" s="169">
        <v>441243105.36000001</v>
      </c>
      <c r="G32" s="169">
        <v>2702702.7027000003</v>
      </c>
      <c r="H32" s="327"/>
      <c r="I32" s="326">
        <f t="shared" si="24"/>
        <v>438540402.6573</v>
      </c>
      <c r="J32" s="226">
        <f t="shared" si="25"/>
        <v>120325362.6573</v>
      </c>
      <c r="K32" s="172">
        <f t="shared" si="26"/>
        <v>1.3781259448242924</v>
      </c>
      <c r="L32" s="369" t="str">
        <f t="shared" si="30"/>
        <v>0,55%</v>
      </c>
      <c r="M32" s="186">
        <f t="shared" si="31"/>
        <v>2411972.2146151499</v>
      </c>
      <c r="O32" s="614"/>
      <c r="P32" s="325" t="s">
        <v>101</v>
      </c>
      <c r="Q32" s="327">
        <v>161740800</v>
      </c>
      <c r="R32" s="222">
        <v>12</v>
      </c>
      <c r="S32" s="308">
        <v>11</v>
      </c>
      <c r="T32" s="169">
        <v>67042363.513599992</v>
      </c>
      <c r="U32" s="169">
        <v>2067342.3422999999</v>
      </c>
      <c r="V32" s="327"/>
      <c r="W32" s="326">
        <f t="shared" si="27"/>
        <v>64975021.171299994</v>
      </c>
      <c r="X32" s="226">
        <f t="shared" si="28"/>
        <v>-96765778.828700006</v>
      </c>
      <c r="Y32" s="172">
        <f t="shared" si="29"/>
        <v>0.40172313461600284</v>
      </c>
      <c r="Z32" s="369">
        <f t="shared" si="32"/>
        <v>0</v>
      </c>
      <c r="AA32" s="186">
        <f t="shared" si="33"/>
        <v>0</v>
      </c>
    </row>
    <row r="33" spans="1:27" ht="14.5" customHeight="1" thickBot="1" x14ac:dyDescent="0.4">
      <c r="A33" s="623"/>
      <c r="B33" s="352" t="s">
        <v>77</v>
      </c>
      <c r="C33" s="329">
        <f t="shared" ref="C33:H33" si="34">SUM(C27:C32)</f>
        <v>1446432000</v>
      </c>
      <c r="D33" s="178">
        <f>SUM(D27:D32)</f>
        <v>95</v>
      </c>
      <c r="E33" s="178">
        <f>SUM(E27:E32)</f>
        <v>86</v>
      </c>
      <c r="F33" s="329">
        <f t="shared" si="34"/>
        <v>1494334844.5528002</v>
      </c>
      <c r="G33" s="330">
        <f t="shared" si="34"/>
        <v>8540540.5405999999</v>
      </c>
      <c r="H33" s="329">
        <f t="shared" si="34"/>
        <v>0</v>
      </c>
      <c r="I33" s="329">
        <f t="shared" si="24"/>
        <v>1485794304.0122001</v>
      </c>
      <c r="J33" s="329">
        <f t="shared" si="25"/>
        <v>39362304.012200117</v>
      </c>
      <c r="K33" s="305">
        <f t="shared" si="26"/>
        <v>1.0272133802433852</v>
      </c>
      <c r="L33" s="369" t="str">
        <f>IF(K33&gt;100%,"CAPAI 100%",IF(K33&gt;90%,"CAPAI 90%","BELUM CAPAI"))</f>
        <v>CAPAI 100%</v>
      </c>
      <c r="M33" s="202">
        <f>SUM(M27:M32)</f>
        <v>6363956.05291765</v>
      </c>
      <c r="O33" s="615"/>
      <c r="P33" s="354" t="s">
        <v>77</v>
      </c>
      <c r="Q33" s="336">
        <f t="shared" ref="Q33:V33" si="35">SUM(Q27:Q32)</f>
        <v>1347840000</v>
      </c>
      <c r="R33" s="207">
        <f>SUM(R27:R32)</f>
        <v>74</v>
      </c>
      <c r="S33" s="207">
        <f t="shared" si="35"/>
        <v>62</v>
      </c>
      <c r="T33" s="336">
        <f>SUM(T27:T32)</f>
        <v>733827808.5194</v>
      </c>
      <c r="U33" s="337">
        <f t="shared" si="35"/>
        <v>20557657.6569</v>
      </c>
      <c r="V33" s="336">
        <f t="shared" si="35"/>
        <v>0</v>
      </c>
      <c r="W33" s="336">
        <f t="shared" si="27"/>
        <v>713270150.86249995</v>
      </c>
      <c r="X33" s="336">
        <f t="shared" si="28"/>
        <v>-634569849.13750005</v>
      </c>
      <c r="Y33" s="313">
        <f t="shared" si="29"/>
        <v>0.52919497185311304</v>
      </c>
      <c r="Z33" s="369" t="str">
        <f>IF(Y33&gt;100%,"CAPAI 100%",IF(Y33&gt;90%,"CAPAI 90%","BELUM CAPAI"))</f>
        <v>BELUM CAPAI</v>
      </c>
      <c r="AA33" s="202">
        <f>SUM(AA27:AA32)</f>
        <v>864059.52161859989</v>
      </c>
    </row>
    <row r="34" spans="1:27" ht="14.5" customHeight="1" x14ac:dyDescent="0.55000000000000004">
      <c r="B34" s="324" t="str">
        <f>$B$12</f>
        <v>TARGET Q2</v>
      </c>
      <c r="C34" s="243">
        <f>C35*C33</f>
        <v>1301788800</v>
      </c>
      <c r="D34" s="597"/>
      <c r="E34" s="598"/>
      <c r="F34" s="598"/>
      <c r="G34" s="598"/>
      <c r="H34" s="599"/>
      <c r="I34" s="243">
        <f>I33</f>
        <v>1485794304.0122001</v>
      </c>
      <c r="J34" s="243">
        <f>I34-C34</f>
        <v>184005504.01220012</v>
      </c>
      <c r="K34" s="183">
        <f t="shared" si="26"/>
        <v>1.141348200270428</v>
      </c>
      <c r="O34" s="309"/>
      <c r="P34" s="324" t="str">
        <f>$B$12</f>
        <v>TARGET Q2</v>
      </c>
      <c r="Q34" s="243">
        <f>Q35*Q33</f>
        <v>1213056000</v>
      </c>
      <c r="R34" s="597"/>
      <c r="S34" s="598"/>
      <c r="T34" s="598"/>
      <c r="U34" s="598"/>
      <c r="V34" s="599"/>
      <c r="W34" s="243">
        <f>W33</f>
        <v>713270150.86249995</v>
      </c>
      <c r="X34" s="243">
        <f>W34-Q34</f>
        <v>-499785849.13750005</v>
      </c>
      <c r="Y34" s="183">
        <f>W34/Q34</f>
        <v>0.58799441317012568</v>
      </c>
      <c r="Z34" s="192"/>
    </row>
    <row r="35" spans="1:27" ht="24" thickBot="1" x14ac:dyDescent="0.6">
      <c r="C35" s="210">
        <v>0.9</v>
      </c>
      <c r="O35" s="309"/>
      <c r="Q35" s="210">
        <v>0.9</v>
      </c>
    </row>
    <row r="36" spans="1:27" ht="19.5" customHeight="1" x14ac:dyDescent="0.35">
      <c r="A36" s="623">
        <v>4</v>
      </c>
      <c r="B36" s="352" t="s">
        <v>57</v>
      </c>
      <c r="C36" s="353" t="s">
        <v>164</v>
      </c>
      <c r="D36" s="616" t="s">
        <v>91</v>
      </c>
      <c r="E36" s="616" t="s">
        <v>62</v>
      </c>
      <c r="F36" s="604" t="s">
        <v>109</v>
      </c>
      <c r="G36" s="605"/>
      <c r="H36" s="605"/>
      <c r="I36" s="606"/>
      <c r="J36" s="621" t="s">
        <v>65</v>
      </c>
      <c r="K36" s="352" t="s">
        <v>66</v>
      </c>
      <c r="O36" s="607">
        <v>4</v>
      </c>
      <c r="P36" s="354" t="s">
        <v>57</v>
      </c>
      <c r="Q36" s="355" t="s">
        <v>53</v>
      </c>
      <c r="R36" s="591" t="s">
        <v>91</v>
      </c>
      <c r="S36" s="591" t="s">
        <v>62</v>
      </c>
      <c r="T36" s="610" t="s">
        <v>109</v>
      </c>
      <c r="U36" s="611"/>
      <c r="V36" s="611"/>
      <c r="W36" s="612"/>
      <c r="X36" s="595" t="s">
        <v>65</v>
      </c>
      <c r="Y36" s="354" t="s">
        <v>66</v>
      </c>
    </row>
    <row r="37" spans="1:27" ht="36" customHeight="1" x14ac:dyDescent="0.35">
      <c r="A37" s="623"/>
      <c r="B37" s="352" t="s">
        <v>93</v>
      </c>
      <c r="C37" s="353" t="str">
        <f>C26</f>
        <v>TARGET 100%</v>
      </c>
      <c r="D37" s="617"/>
      <c r="E37" s="617"/>
      <c r="F37" s="163" t="str">
        <f>F4</f>
        <v>OMSET JUN
 (1-30)</v>
      </c>
      <c r="G37" s="163" t="str">
        <f>G4</f>
        <v>OMSET PRODUK</v>
      </c>
      <c r="H37" s="353" t="s">
        <v>63</v>
      </c>
      <c r="I37" s="353" t="s">
        <v>64</v>
      </c>
      <c r="J37" s="622"/>
      <c r="K37" s="164">
        <f>K26</f>
        <v>1</v>
      </c>
      <c r="L37" s="214"/>
      <c r="M37" s="214"/>
      <c r="O37" s="608"/>
      <c r="P37" s="354" t="s">
        <v>93</v>
      </c>
      <c r="Q37" s="355" t="str">
        <f>Q26</f>
        <v>TARGET 100%</v>
      </c>
      <c r="R37" s="592"/>
      <c r="S37" s="592"/>
      <c r="T37" s="200" t="str">
        <f>T4</f>
        <v>OMSET JUN
 (1-30)</v>
      </c>
      <c r="U37" s="200" t="str">
        <f>G4</f>
        <v>OMSET PRODUK</v>
      </c>
      <c r="V37" s="355" t="s">
        <v>63</v>
      </c>
      <c r="W37" s="355" t="s">
        <v>64</v>
      </c>
      <c r="X37" s="596"/>
      <c r="Y37" s="201">
        <f>K37</f>
        <v>1</v>
      </c>
    </row>
    <row r="38" spans="1:27" x14ac:dyDescent="0.35">
      <c r="A38" s="623"/>
      <c r="B38" s="325" t="s">
        <v>96</v>
      </c>
      <c r="C38" s="326">
        <v>117237120.00000001</v>
      </c>
      <c r="D38" s="222">
        <v>18</v>
      </c>
      <c r="E38" s="308">
        <v>18</v>
      </c>
      <c r="F38" s="169">
        <v>109115261.4232</v>
      </c>
      <c r="G38" s="169">
        <v>1455675.6757</v>
      </c>
      <c r="H38" s="326"/>
      <c r="I38" s="326">
        <f t="shared" ref="I38:I44" si="36">F38-G38</f>
        <v>107659585.7475</v>
      </c>
      <c r="J38" s="226">
        <f t="shared" ref="J38:J44" si="37">I38-C38</f>
        <v>-9577534.2525000125</v>
      </c>
      <c r="K38" s="172">
        <f t="shared" ref="K38:K45" si="38">I38/C38</f>
        <v>0.91830629878574288</v>
      </c>
      <c r="L38" s="369" t="str">
        <f>IF(K38&gt;120%,"0,55%",IF(K38&gt;100%,"0,45%",IF(K38&gt;80%,"0,35%",IF(K38&gt;60%,"0,2%",0))))</f>
        <v>0,35%</v>
      </c>
      <c r="M38" s="186">
        <f>L38*I38</f>
        <v>376808.55011625</v>
      </c>
      <c r="N38" s="216">
        <f>108820437-443914</f>
        <v>108376523</v>
      </c>
      <c r="O38" s="608"/>
      <c r="P38" s="325" t="s">
        <v>96</v>
      </c>
      <c r="Q38" s="326">
        <v>318240000</v>
      </c>
      <c r="R38" s="222">
        <v>11</v>
      </c>
      <c r="S38" s="308">
        <v>10</v>
      </c>
      <c r="T38" s="169">
        <v>321351184.68410021</v>
      </c>
      <c r="U38" s="169">
        <v>443243.24320000003</v>
      </c>
      <c r="V38" s="326"/>
      <c r="W38" s="326">
        <f>T38-U38</f>
        <v>320907941.44090021</v>
      </c>
      <c r="X38" s="226">
        <f t="shared" ref="X38:X44" si="39">W38-Q38</f>
        <v>2667941.4409002066</v>
      </c>
      <c r="Y38" s="172">
        <f t="shared" ref="Y38:Y44" si="40">W38/Q38</f>
        <v>1.0083834258449604</v>
      </c>
      <c r="Z38" s="369" t="str">
        <f>IF(Y38&gt;120%,"0,55%",IF(Y38&gt;100%,"0,45%",IF(Y38&gt;80%,"0,35%",IF(Y38&gt;60%,"0,2%",0))))</f>
        <v>0,45%</v>
      </c>
      <c r="AA38" s="186">
        <f>Z38*W38</f>
        <v>1444085.7364840508</v>
      </c>
    </row>
    <row r="39" spans="1:27" x14ac:dyDescent="0.35">
      <c r="A39" s="623"/>
      <c r="B39" s="325" t="s">
        <v>97</v>
      </c>
      <c r="C39" s="327">
        <v>502444800</v>
      </c>
      <c r="D39" s="222">
        <v>14</v>
      </c>
      <c r="E39" s="308">
        <v>11</v>
      </c>
      <c r="F39" s="169">
        <v>358820970.82079995</v>
      </c>
      <c r="G39" s="328">
        <v>5135135.1352000004</v>
      </c>
      <c r="H39" s="327"/>
      <c r="I39" s="326">
        <f t="shared" si="36"/>
        <v>353685835.68559992</v>
      </c>
      <c r="J39" s="226">
        <f t="shared" si="37"/>
        <v>-148758964.31440008</v>
      </c>
      <c r="K39" s="172">
        <f t="shared" si="38"/>
        <v>0.70392973653145563</v>
      </c>
      <c r="L39" s="369" t="str">
        <f t="shared" ref="L39:L43" si="41">IF(K39&gt;120%,"0,55%",IF(K39&gt;100%,"0,45%",IF(K39&gt;80%,"0,35%",IF(K39&gt;60%,"0,2%",0))))</f>
        <v>0,2%</v>
      </c>
      <c r="M39" s="186">
        <f t="shared" ref="M39:M43" si="42">L39*I39</f>
        <v>707371.67137119989</v>
      </c>
      <c r="N39" s="216">
        <f>357812637-325000</f>
        <v>357487637</v>
      </c>
      <c r="O39" s="608"/>
      <c r="P39" s="325" t="s">
        <v>97</v>
      </c>
      <c r="Q39" s="327">
        <v>187200000</v>
      </c>
      <c r="R39" s="222">
        <v>7</v>
      </c>
      <c r="S39" s="308">
        <v>7</v>
      </c>
      <c r="T39" s="169">
        <v>38830279.278800003</v>
      </c>
      <c r="U39" s="328"/>
      <c r="V39" s="327"/>
      <c r="W39" s="326">
        <f>T39-U39</f>
        <v>38830279.278800003</v>
      </c>
      <c r="X39" s="226">
        <f t="shared" si="39"/>
        <v>-148369720.72119999</v>
      </c>
      <c r="Y39" s="172">
        <f t="shared" si="40"/>
        <v>0.20742670554914533</v>
      </c>
      <c r="Z39" s="369">
        <f t="shared" ref="Z39:Z43" si="43">IF(Y39&gt;120%,"0,55%",IF(Y39&gt;100%,"0,45%",IF(Y39&gt;80%,"0,35%",IF(Y39&gt;60%,"0,2%",0))))</f>
        <v>0</v>
      </c>
      <c r="AA39" s="186">
        <f t="shared" ref="AA39:AA43" si="44">Z39*W39</f>
        <v>0</v>
      </c>
    </row>
    <row r="40" spans="1:27" x14ac:dyDescent="0.35">
      <c r="A40" s="623"/>
      <c r="B40" s="325" t="s">
        <v>98</v>
      </c>
      <c r="C40" s="327">
        <v>485696639.99999994</v>
      </c>
      <c r="D40" s="222">
        <v>15</v>
      </c>
      <c r="E40" s="308">
        <v>15</v>
      </c>
      <c r="F40" s="169">
        <v>334716764.81079978</v>
      </c>
      <c r="G40" s="169">
        <v>12243243.2434</v>
      </c>
      <c r="H40" s="327"/>
      <c r="I40" s="326">
        <f t="shared" si="36"/>
        <v>322473521.5673998</v>
      </c>
      <c r="J40" s="226">
        <f t="shared" si="37"/>
        <v>-163223118.43260014</v>
      </c>
      <c r="K40" s="172">
        <f t="shared" si="38"/>
        <v>0.6639401943719434</v>
      </c>
      <c r="L40" s="369" t="str">
        <f t="shared" si="41"/>
        <v>0,2%</v>
      </c>
      <c r="M40" s="186">
        <f t="shared" si="42"/>
        <v>644947.04313479958</v>
      </c>
      <c r="N40" s="216"/>
      <c r="O40" s="608"/>
      <c r="P40" s="325" t="s">
        <v>98</v>
      </c>
      <c r="Q40" s="327">
        <v>299520000</v>
      </c>
      <c r="R40" s="222">
        <v>15</v>
      </c>
      <c r="S40" s="308">
        <v>12</v>
      </c>
      <c r="T40" s="169">
        <v>102012855.40470001</v>
      </c>
      <c r="U40" s="169">
        <v>4250000</v>
      </c>
      <c r="V40" s="327"/>
      <c r="W40" s="326">
        <f t="shared" ref="W40:W44" si="45">T40-U40</f>
        <v>97762855.404700011</v>
      </c>
      <c r="X40" s="226">
        <f t="shared" si="39"/>
        <v>-201757144.59529999</v>
      </c>
      <c r="Y40" s="172">
        <f t="shared" si="40"/>
        <v>0.32639842215778581</v>
      </c>
      <c r="Z40" s="369">
        <f t="shared" si="43"/>
        <v>0</v>
      </c>
      <c r="AA40" s="186">
        <f t="shared" si="44"/>
        <v>0</v>
      </c>
    </row>
    <row r="41" spans="1:27" x14ac:dyDescent="0.35">
      <c r="A41" s="623"/>
      <c r="B41" s="325" t="s">
        <v>99</v>
      </c>
      <c r="C41" s="327">
        <v>217726080</v>
      </c>
      <c r="D41" s="222">
        <v>12</v>
      </c>
      <c r="E41" s="308">
        <v>13</v>
      </c>
      <c r="F41" s="169">
        <v>219794750.62480009</v>
      </c>
      <c r="G41" s="169">
        <v>648648.82880000002</v>
      </c>
      <c r="H41" s="327"/>
      <c r="I41" s="326">
        <f t="shared" si="36"/>
        <v>219146101.79600009</v>
      </c>
      <c r="J41" s="226">
        <f t="shared" si="37"/>
        <v>1420021.7960000932</v>
      </c>
      <c r="K41" s="172">
        <f t="shared" si="38"/>
        <v>1.0065220565032911</v>
      </c>
      <c r="L41" s="369" t="str">
        <f t="shared" si="41"/>
        <v>0,45%</v>
      </c>
      <c r="M41" s="186">
        <f t="shared" si="42"/>
        <v>986157.45808200038</v>
      </c>
      <c r="N41" s="216">
        <f>219895751-1101000</f>
        <v>218794751</v>
      </c>
      <c r="O41" s="608"/>
      <c r="P41" s="325" t="s">
        <v>99</v>
      </c>
      <c r="Q41" s="327">
        <v>655200000</v>
      </c>
      <c r="R41" s="222">
        <v>18</v>
      </c>
      <c r="S41" s="308">
        <v>14</v>
      </c>
      <c r="T41" s="169">
        <v>590529966.21560001</v>
      </c>
      <c r="U41" s="169">
        <v>1500000</v>
      </c>
      <c r="V41" s="327"/>
      <c r="W41" s="326">
        <f t="shared" si="45"/>
        <v>589029966.21560001</v>
      </c>
      <c r="X41" s="226">
        <f t="shared" si="39"/>
        <v>-66170033.784399986</v>
      </c>
      <c r="Y41" s="172">
        <f t="shared" si="40"/>
        <v>0.8990078849444445</v>
      </c>
      <c r="Z41" s="369" t="str">
        <f t="shared" si="43"/>
        <v>0,35%</v>
      </c>
      <c r="AA41" s="186">
        <f t="shared" si="44"/>
        <v>2061604.8817546</v>
      </c>
    </row>
    <row r="42" spans="1:27" x14ac:dyDescent="0.35">
      <c r="A42" s="623"/>
      <c r="B42" s="325" t="s">
        <v>100</v>
      </c>
      <c r="C42" s="327">
        <v>167481600</v>
      </c>
      <c r="D42" s="222">
        <v>12</v>
      </c>
      <c r="E42" s="308">
        <v>12</v>
      </c>
      <c r="F42" s="169">
        <v>128321491.10819995</v>
      </c>
      <c r="G42" s="169">
        <v>1378378.3784</v>
      </c>
      <c r="H42" s="327"/>
      <c r="I42" s="326">
        <f t="shared" si="36"/>
        <v>126943112.72979996</v>
      </c>
      <c r="J42" s="226">
        <f t="shared" si="37"/>
        <v>-40538487.270200044</v>
      </c>
      <c r="K42" s="172">
        <f t="shared" si="38"/>
        <v>0.75795259138794924</v>
      </c>
      <c r="L42" s="369" t="str">
        <f t="shared" si="41"/>
        <v>0,2%</v>
      </c>
      <c r="M42" s="186">
        <f t="shared" si="42"/>
        <v>253886.22545959993</v>
      </c>
      <c r="N42" s="216"/>
      <c r="O42" s="608"/>
      <c r="P42" s="325" t="s">
        <v>100</v>
      </c>
      <c r="Q42" s="327">
        <v>224640000</v>
      </c>
      <c r="R42" s="222">
        <v>10</v>
      </c>
      <c r="S42" s="308">
        <v>6</v>
      </c>
      <c r="T42" s="169">
        <v>157553675.6752001</v>
      </c>
      <c r="U42" s="169"/>
      <c r="V42" s="327"/>
      <c r="W42" s="326">
        <f t="shared" si="45"/>
        <v>157553675.6752001</v>
      </c>
      <c r="X42" s="226">
        <f t="shared" si="39"/>
        <v>-67086324.324799895</v>
      </c>
      <c r="Y42" s="172">
        <f t="shared" si="40"/>
        <v>0.70136073573361868</v>
      </c>
      <c r="Z42" s="369" t="str">
        <f t="shared" si="43"/>
        <v>0,2%</v>
      </c>
      <c r="AA42" s="186">
        <f t="shared" si="44"/>
        <v>315107.35135040019</v>
      </c>
    </row>
    <row r="43" spans="1:27" x14ac:dyDescent="0.35">
      <c r="A43" s="623"/>
      <c r="B43" s="325" t="s">
        <v>101</v>
      </c>
      <c r="C43" s="327">
        <v>184229760</v>
      </c>
      <c r="D43" s="222">
        <v>13</v>
      </c>
      <c r="E43" s="308">
        <v>12</v>
      </c>
      <c r="F43" s="169">
        <v>175014046.92889997</v>
      </c>
      <c r="G43" s="169">
        <v>648648.82880000002</v>
      </c>
      <c r="H43" s="327"/>
      <c r="I43" s="326">
        <f t="shared" si="36"/>
        <v>174365398.10009998</v>
      </c>
      <c r="J43" s="226">
        <f t="shared" si="37"/>
        <v>-9864361.8999000192</v>
      </c>
      <c r="K43" s="172">
        <f t="shared" si="38"/>
        <v>0.94645619741403331</v>
      </c>
      <c r="L43" s="369" t="str">
        <f t="shared" si="41"/>
        <v>0,35%</v>
      </c>
      <c r="M43" s="186">
        <f t="shared" si="42"/>
        <v>610278.89335034997</v>
      </c>
      <c r="N43" s="216">
        <f>179513714-5833000</f>
        <v>173680714</v>
      </c>
      <c r="O43" s="608"/>
      <c r="P43" s="325" t="s">
        <v>101</v>
      </c>
      <c r="Q43" s="327">
        <v>187200000</v>
      </c>
      <c r="R43" s="222">
        <v>6</v>
      </c>
      <c r="S43" s="308">
        <v>6</v>
      </c>
      <c r="T43" s="169">
        <v>133128691.60330002</v>
      </c>
      <c r="U43" s="169"/>
      <c r="V43" s="327"/>
      <c r="W43" s="326">
        <f t="shared" si="45"/>
        <v>133128691.60330002</v>
      </c>
      <c r="X43" s="226">
        <f t="shared" si="39"/>
        <v>-54071308.39669998</v>
      </c>
      <c r="Y43" s="172">
        <f t="shared" si="40"/>
        <v>0.71115754061591896</v>
      </c>
      <c r="Z43" s="369" t="str">
        <f t="shared" si="43"/>
        <v>0,2%</v>
      </c>
      <c r="AA43" s="186">
        <f t="shared" si="44"/>
        <v>266257.38320660003</v>
      </c>
    </row>
    <row r="44" spans="1:27" ht="14.5" customHeight="1" thickBot="1" x14ac:dyDescent="0.4">
      <c r="A44" s="623"/>
      <c r="B44" s="352" t="s">
        <v>77</v>
      </c>
      <c r="C44" s="329">
        <f>SUM(C38:C43)</f>
        <v>1674816000</v>
      </c>
      <c r="D44" s="178">
        <f>SUM(D38:D43)</f>
        <v>84</v>
      </c>
      <c r="E44" s="178">
        <f t="shared" ref="E44:H44" si="46">SUM(E38:E43)</f>
        <v>81</v>
      </c>
      <c r="F44" s="329">
        <f>SUM(F38:F43)</f>
        <v>1325783285.7166998</v>
      </c>
      <c r="G44" s="330">
        <f>SUM(G38:G43)</f>
        <v>21509730.090300005</v>
      </c>
      <c r="H44" s="329">
        <f t="shared" si="46"/>
        <v>0</v>
      </c>
      <c r="I44" s="329">
        <f t="shared" si="36"/>
        <v>1304273555.6263998</v>
      </c>
      <c r="J44" s="329">
        <f t="shared" si="37"/>
        <v>-370542444.37360024</v>
      </c>
      <c r="K44" s="305">
        <f t="shared" si="38"/>
        <v>0.77875632644206871</v>
      </c>
      <c r="L44" s="369" t="str">
        <f>IF(K44&gt;100%,"CAPAI 100%",IF(K44&gt;90%,"CAPAI 90%","BELUM CAPAI"))</f>
        <v>BELUM CAPAI</v>
      </c>
      <c r="M44" s="202">
        <f>SUM(M38:M43)</f>
        <v>3579449.8415142</v>
      </c>
      <c r="O44" s="609"/>
      <c r="P44" s="354" t="s">
        <v>77</v>
      </c>
      <c r="Q44" s="336">
        <f t="shared" ref="Q44:V44" si="47">SUM(Q38:Q43)</f>
        <v>1872000000</v>
      </c>
      <c r="R44" s="207">
        <f>SUM(R38:R43)</f>
        <v>67</v>
      </c>
      <c r="S44" s="207">
        <f t="shared" si="47"/>
        <v>55</v>
      </c>
      <c r="T44" s="336">
        <f t="shared" si="47"/>
        <v>1343406652.8617005</v>
      </c>
      <c r="U44" s="337">
        <f>SUM(U38:U43)</f>
        <v>6193243.2432000004</v>
      </c>
      <c r="V44" s="336">
        <f t="shared" si="47"/>
        <v>0</v>
      </c>
      <c r="W44" s="336">
        <f t="shared" si="45"/>
        <v>1337213409.6185005</v>
      </c>
      <c r="X44" s="336">
        <f t="shared" si="39"/>
        <v>-534786590.38149953</v>
      </c>
      <c r="Y44" s="313">
        <f t="shared" si="40"/>
        <v>0.7143234025739853</v>
      </c>
      <c r="Z44" s="369" t="str">
        <f>IF(Y44&gt;100%,"CAPAI 100%",IF(Y44&gt;90%,"CAPAI 90%","BELUM CAPAI"))</f>
        <v>BELUM CAPAI</v>
      </c>
      <c r="AA44" s="202">
        <f>SUM(AA38:AA43)</f>
        <v>4087055.3527956507</v>
      </c>
    </row>
    <row r="45" spans="1:27" ht="14.5" customHeight="1" x14ac:dyDescent="0.55000000000000004">
      <c r="B45" s="324" t="str">
        <f>$B$12</f>
        <v>TARGET Q2</v>
      </c>
      <c r="C45" s="243">
        <f>C46*C44</f>
        <v>1507334400</v>
      </c>
      <c r="D45" s="597"/>
      <c r="E45" s="598"/>
      <c r="F45" s="598"/>
      <c r="G45" s="598"/>
      <c r="H45" s="599"/>
      <c r="I45" s="243">
        <f>I44</f>
        <v>1304273555.6263998</v>
      </c>
      <c r="J45" s="243">
        <f>I45-C45</f>
        <v>-203060844.37360024</v>
      </c>
      <c r="K45" s="183">
        <f t="shared" si="38"/>
        <v>0.86528480715785416</v>
      </c>
      <c r="O45" s="309"/>
      <c r="P45" s="324" t="str">
        <f>$B$12</f>
        <v>TARGET Q2</v>
      </c>
      <c r="Q45" s="243">
        <f>Q46*Q44</f>
        <v>1684800000</v>
      </c>
      <c r="R45" s="597"/>
      <c r="S45" s="598"/>
      <c r="T45" s="598"/>
      <c r="U45" s="598"/>
      <c r="V45" s="599"/>
      <c r="W45" s="243">
        <f>W44</f>
        <v>1337213409.6185005</v>
      </c>
      <c r="X45" s="243">
        <f>W45-Q45</f>
        <v>-347586590.38149953</v>
      </c>
      <c r="Y45" s="183">
        <f>W45/Q45</f>
        <v>0.7936926695266503</v>
      </c>
      <c r="Z45" s="192"/>
    </row>
    <row r="46" spans="1:27" ht="24" thickBot="1" x14ac:dyDescent="0.6">
      <c r="C46" s="210">
        <v>0.9</v>
      </c>
      <c r="O46" s="309"/>
      <c r="Q46" s="210">
        <v>0.9</v>
      </c>
    </row>
    <row r="47" spans="1:27" ht="19.5" customHeight="1" x14ac:dyDescent="0.35">
      <c r="A47" s="627">
        <v>5</v>
      </c>
      <c r="B47" s="352" t="s">
        <v>57</v>
      </c>
      <c r="C47" s="353" t="s">
        <v>35</v>
      </c>
      <c r="D47" s="616" t="s">
        <v>91</v>
      </c>
      <c r="E47" s="616" t="s">
        <v>62</v>
      </c>
      <c r="F47" s="604" t="s">
        <v>110</v>
      </c>
      <c r="G47" s="605"/>
      <c r="H47" s="605"/>
      <c r="I47" s="606"/>
      <c r="J47" s="621" t="s">
        <v>65</v>
      </c>
      <c r="K47" s="352" t="s">
        <v>66</v>
      </c>
      <c r="O47" s="613">
        <v>5</v>
      </c>
      <c r="P47" s="354" t="s">
        <v>57</v>
      </c>
      <c r="Q47" s="355" t="s">
        <v>54</v>
      </c>
      <c r="R47" s="591" t="s">
        <v>91</v>
      </c>
      <c r="S47" s="591" t="s">
        <v>62</v>
      </c>
      <c r="T47" s="610" t="s">
        <v>110</v>
      </c>
      <c r="U47" s="611"/>
      <c r="V47" s="611"/>
      <c r="W47" s="612"/>
      <c r="X47" s="603" t="s">
        <v>65</v>
      </c>
      <c r="Y47" s="354" t="s">
        <v>66</v>
      </c>
    </row>
    <row r="48" spans="1:27" ht="36" customHeight="1" x14ac:dyDescent="0.35">
      <c r="A48" s="628"/>
      <c r="B48" s="352" t="s">
        <v>93</v>
      </c>
      <c r="C48" s="353" t="str">
        <f>C37</f>
        <v>TARGET 100%</v>
      </c>
      <c r="D48" s="617"/>
      <c r="E48" s="617"/>
      <c r="F48" s="163" t="str">
        <f>F4</f>
        <v>OMSET JUN
 (1-30)</v>
      </c>
      <c r="G48" s="163" t="str">
        <f>G4</f>
        <v>OMSET PRODUK</v>
      </c>
      <c r="H48" s="353" t="s">
        <v>63</v>
      </c>
      <c r="I48" s="353" t="s">
        <v>64</v>
      </c>
      <c r="J48" s="622"/>
      <c r="K48" s="164">
        <f>K37</f>
        <v>1</v>
      </c>
      <c r="L48" s="211"/>
      <c r="M48" s="214"/>
      <c r="O48" s="614"/>
      <c r="P48" s="354" t="s">
        <v>93</v>
      </c>
      <c r="Q48" s="355" t="str">
        <f>Q37</f>
        <v>TARGET 100%</v>
      </c>
      <c r="R48" s="592"/>
      <c r="S48" s="592"/>
      <c r="T48" s="200" t="str">
        <f>T4</f>
        <v>OMSET JUN
 (1-30)</v>
      </c>
      <c r="U48" s="200" t="str">
        <f>G4</f>
        <v>OMSET PRODUK</v>
      </c>
      <c r="V48" s="355" t="s">
        <v>63</v>
      </c>
      <c r="W48" s="355" t="s">
        <v>64</v>
      </c>
      <c r="X48" s="603"/>
      <c r="Y48" s="201">
        <f>K48</f>
        <v>1</v>
      </c>
    </row>
    <row r="49" spans="1:27" x14ac:dyDescent="0.35">
      <c r="A49" s="628"/>
      <c r="B49" s="325" t="s">
        <v>96</v>
      </c>
      <c r="C49" s="326">
        <v>159868800</v>
      </c>
      <c r="D49" s="222">
        <v>21</v>
      </c>
      <c r="E49" s="308">
        <v>16</v>
      </c>
      <c r="F49" s="169">
        <v>176840570.04499996</v>
      </c>
      <c r="G49" s="169">
        <v>3135135.2253</v>
      </c>
      <c r="H49" s="326"/>
      <c r="I49" s="326">
        <f t="shared" ref="I49:I55" si="48">F49-G49</f>
        <v>173705434.81969994</v>
      </c>
      <c r="J49" s="226">
        <f t="shared" ref="J49:J55" si="49">I49-C49</f>
        <v>13836634.819699943</v>
      </c>
      <c r="K49" s="172">
        <f t="shared" ref="K49:K56" si="50">I49/C49</f>
        <v>1.0865499385727544</v>
      </c>
      <c r="L49" s="369" t="str">
        <f>IF(K49&gt;120%,"0,55%",IF(K49&gt;100%,"0,45%",IF(K49&gt;80%,"0,35%",IF(K49&gt;60%,"0,2%",0))))</f>
        <v>0,45%</v>
      </c>
      <c r="M49" s="186">
        <f>L49*I49</f>
        <v>781674.45668864972</v>
      </c>
      <c r="O49" s="614"/>
      <c r="P49" s="325" t="s">
        <v>96</v>
      </c>
      <c r="Q49" s="326">
        <v>688896000</v>
      </c>
      <c r="R49" s="222">
        <v>24</v>
      </c>
      <c r="S49" s="308">
        <v>19</v>
      </c>
      <c r="T49" s="169">
        <v>767992309.91029978</v>
      </c>
      <c r="U49" s="169">
        <v>19057432.432399999</v>
      </c>
      <c r="V49" s="326"/>
      <c r="W49" s="326">
        <f t="shared" ref="W49:W55" si="51">T49-U49</f>
        <v>748934877.47789979</v>
      </c>
      <c r="X49" s="226">
        <f t="shared" ref="X49:X55" si="52">W49-Q49</f>
        <v>60038877.47789979</v>
      </c>
      <c r="Y49" s="172">
        <f t="shared" ref="Y49:Y55" si="53">W49/Q49</f>
        <v>1.0871523096053683</v>
      </c>
      <c r="Z49" s="369" t="str">
        <f>IF(Y49&gt;120%,"0,55%",IF(Y49&gt;100%,"0,45%",IF(Y49&gt;80%,"0,35%",IF(Y49&gt;60%,"0,2%",0))))</f>
        <v>0,45%</v>
      </c>
      <c r="AA49" s="186">
        <f>Z49*W49</f>
        <v>3370206.9486505487</v>
      </c>
    </row>
    <row r="50" spans="1:27" x14ac:dyDescent="0.35">
      <c r="A50" s="628"/>
      <c r="B50" s="325" t="s">
        <v>97</v>
      </c>
      <c r="C50" s="327">
        <v>623488320</v>
      </c>
      <c r="D50" s="222">
        <v>32</v>
      </c>
      <c r="E50" s="308">
        <v>26</v>
      </c>
      <c r="F50" s="169">
        <v>709889219.8202002</v>
      </c>
      <c r="G50" s="328">
        <v>3108108.1082000001</v>
      </c>
      <c r="H50" s="327"/>
      <c r="I50" s="326">
        <f t="shared" si="48"/>
        <v>706781111.71200025</v>
      </c>
      <c r="J50" s="226">
        <f t="shared" si="49"/>
        <v>83292791.712000251</v>
      </c>
      <c r="K50" s="172">
        <f t="shared" si="50"/>
        <v>1.1335915830981409</v>
      </c>
      <c r="L50" s="369" t="str">
        <f t="shared" ref="L50:L54" si="54">IF(K50&gt;120%,"0,55%",IF(K50&gt;100%,"0,45%",IF(K50&gt;80%,"0,35%",IF(K50&gt;60%,"0,2%",0))))</f>
        <v>0,45%</v>
      </c>
      <c r="M50" s="186">
        <f t="shared" ref="M50:M54" si="55">L50*I50</f>
        <v>3180515.002704001</v>
      </c>
      <c r="N50" s="216"/>
      <c r="O50" s="614"/>
      <c r="P50" s="325" t="s">
        <v>97</v>
      </c>
      <c r="Q50" s="327">
        <v>310003200</v>
      </c>
      <c r="R50" s="222">
        <v>15</v>
      </c>
      <c r="S50" s="308">
        <v>11</v>
      </c>
      <c r="T50" s="169">
        <v>107754738.28800006</v>
      </c>
      <c r="U50" s="328">
        <v>6304054.0540000005</v>
      </c>
      <c r="V50" s="327"/>
      <c r="W50" s="326">
        <f t="shared" si="51"/>
        <v>101450684.23400006</v>
      </c>
      <c r="X50" s="226">
        <f t="shared" si="52"/>
        <v>-208552515.76599994</v>
      </c>
      <c r="Y50" s="172">
        <f t="shared" si="53"/>
        <v>0.32725689358690507</v>
      </c>
      <c r="Z50" s="369">
        <f t="shared" ref="Z50:Z54" si="56">IF(Y50&gt;120%,"0,55%",IF(Y50&gt;100%,"0,45%",IF(Y50&gt;80%,"0,35%",IF(Y50&gt;60%,"0,2%",0))))</f>
        <v>0</v>
      </c>
      <c r="AA50" s="186">
        <f t="shared" ref="AA50:AA54" si="57">Z50*W50</f>
        <v>0</v>
      </c>
    </row>
    <row r="51" spans="1:27" x14ac:dyDescent="0.35">
      <c r="A51" s="628"/>
      <c r="B51" s="325" t="s">
        <v>98</v>
      </c>
      <c r="C51" s="327">
        <v>335724480</v>
      </c>
      <c r="D51" s="222">
        <v>21</v>
      </c>
      <c r="E51" s="308">
        <v>18</v>
      </c>
      <c r="F51" s="169">
        <v>344397716.21579993</v>
      </c>
      <c r="G51" s="169">
        <v>1972972.973</v>
      </c>
      <c r="H51" s="327"/>
      <c r="I51" s="326">
        <f t="shared" si="48"/>
        <v>342424743.24279994</v>
      </c>
      <c r="J51" s="226">
        <f t="shared" si="49"/>
        <v>6700263.2427999377</v>
      </c>
      <c r="K51" s="172">
        <f t="shared" si="50"/>
        <v>1.0199576249036113</v>
      </c>
      <c r="L51" s="369" t="str">
        <f t="shared" si="54"/>
        <v>0,45%</v>
      </c>
      <c r="M51" s="186">
        <f t="shared" si="55"/>
        <v>1540911.3445925997</v>
      </c>
      <c r="N51" s="216"/>
      <c r="O51" s="614"/>
      <c r="P51" s="325" t="s">
        <v>98</v>
      </c>
      <c r="Q51" s="327">
        <v>172224000</v>
      </c>
      <c r="R51" s="222">
        <v>11</v>
      </c>
      <c r="S51" s="308">
        <v>11</v>
      </c>
      <c r="T51" s="169">
        <v>88046092.792700008</v>
      </c>
      <c r="U51" s="169">
        <v>9256756.7567000017</v>
      </c>
      <c r="V51" s="327"/>
      <c r="W51" s="326">
        <f t="shared" si="51"/>
        <v>78789336.036000013</v>
      </c>
      <c r="X51" s="226">
        <f t="shared" si="52"/>
        <v>-93434663.963999987</v>
      </c>
      <c r="Y51" s="172">
        <f t="shared" si="53"/>
        <v>0.457481744913601</v>
      </c>
      <c r="Z51" s="369">
        <f t="shared" si="56"/>
        <v>0</v>
      </c>
      <c r="AA51" s="186">
        <f t="shared" si="57"/>
        <v>0</v>
      </c>
    </row>
    <row r="52" spans="1:27" x14ac:dyDescent="0.35">
      <c r="A52" s="628"/>
      <c r="B52" s="325" t="s">
        <v>99</v>
      </c>
      <c r="C52" s="327">
        <v>207829440</v>
      </c>
      <c r="D52" s="222">
        <v>14</v>
      </c>
      <c r="E52" s="308">
        <v>11</v>
      </c>
      <c r="F52" s="169">
        <v>158655618.83439997</v>
      </c>
      <c r="G52" s="169">
        <v>3351351.3513000002</v>
      </c>
      <c r="H52" s="327"/>
      <c r="I52" s="326">
        <f t="shared" si="48"/>
        <v>155304267.48309997</v>
      </c>
      <c r="J52" s="226">
        <f t="shared" si="49"/>
        <v>-52525172.516900033</v>
      </c>
      <c r="K52" s="172">
        <f t="shared" si="50"/>
        <v>0.74726789180156561</v>
      </c>
      <c r="L52" s="369" t="str">
        <f t="shared" si="54"/>
        <v>0,2%</v>
      </c>
      <c r="M52" s="186">
        <f t="shared" si="55"/>
        <v>310608.53496619995</v>
      </c>
      <c r="N52" s="216"/>
      <c r="O52" s="614"/>
      <c r="P52" s="325" t="s">
        <v>99</v>
      </c>
      <c r="Q52" s="327">
        <v>172224000</v>
      </c>
      <c r="R52" s="222">
        <v>13</v>
      </c>
      <c r="S52" s="308">
        <v>9</v>
      </c>
      <c r="T52" s="169">
        <v>62784446.846699998</v>
      </c>
      <c r="U52" s="169">
        <v>6136486.4863999998</v>
      </c>
      <c r="V52" s="327"/>
      <c r="W52" s="326">
        <f t="shared" si="51"/>
        <v>56647960.360299997</v>
      </c>
      <c r="X52" s="226">
        <f t="shared" si="52"/>
        <v>-115576039.6397</v>
      </c>
      <c r="Y52" s="172">
        <f t="shared" si="53"/>
        <v>0.32892024549598198</v>
      </c>
      <c r="Z52" s="369">
        <f t="shared" si="56"/>
        <v>0</v>
      </c>
      <c r="AA52" s="186">
        <f t="shared" si="57"/>
        <v>0</v>
      </c>
    </row>
    <row r="53" spans="1:27" x14ac:dyDescent="0.35">
      <c r="A53" s="628"/>
      <c r="B53" s="325" t="s">
        <v>100</v>
      </c>
      <c r="C53" s="327">
        <v>111908160.00000001</v>
      </c>
      <c r="D53" s="222">
        <v>16</v>
      </c>
      <c r="E53" s="308">
        <v>15</v>
      </c>
      <c r="F53" s="169">
        <v>85224132.874200046</v>
      </c>
      <c r="G53" s="169">
        <v>2518108.1083</v>
      </c>
      <c r="H53" s="327"/>
      <c r="I53" s="326">
        <f t="shared" si="48"/>
        <v>82706024.765900046</v>
      </c>
      <c r="J53" s="226">
        <f t="shared" si="49"/>
        <v>-29202135.234099969</v>
      </c>
      <c r="K53" s="172">
        <f t="shared" si="50"/>
        <v>0.73905267288730359</v>
      </c>
      <c r="L53" s="369" t="str">
        <f t="shared" si="54"/>
        <v>0,2%</v>
      </c>
      <c r="M53" s="186">
        <f t="shared" si="55"/>
        <v>165412.04953180009</v>
      </c>
      <c r="N53" s="216"/>
      <c r="O53" s="614"/>
      <c r="P53" s="325" t="s">
        <v>100</v>
      </c>
      <c r="Q53" s="327">
        <v>189446400</v>
      </c>
      <c r="R53" s="222">
        <v>10</v>
      </c>
      <c r="S53" s="308">
        <v>11</v>
      </c>
      <c r="T53" s="169">
        <v>72081672.071800053</v>
      </c>
      <c r="U53" s="169">
        <v>2522972.9729000004</v>
      </c>
      <c r="V53" s="327"/>
      <c r="W53" s="326">
        <f t="shared" si="51"/>
        <v>69558699.09890005</v>
      </c>
      <c r="X53" s="226">
        <f t="shared" si="52"/>
        <v>-119887700.90109995</v>
      </c>
      <c r="Y53" s="172">
        <f t="shared" si="53"/>
        <v>0.36716822858022136</v>
      </c>
      <c r="Z53" s="369">
        <f t="shared" si="56"/>
        <v>0</v>
      </c>
      <c r="AA53" s="186">
        <f t="shared" si="57"/>
        <v>0</v>
      </c>
    </row>
    <row r="54" spans="1:27" x14ac:dyDescent="0.35">
      <c r="A54" s="628"/>
      <c r="B54" s="325" t="s">
        <v>101</v>
      </c>
      <c r="C54" s="327">
        <v>159868800</v>
      </c>
      <c r="D54" s="222">
        <v>9</v>
      </c>
      <c r="E54" s="308">
        <v>12</v>
      </c>
      <c r="F54" s="169">
        <v>144410398.3251</v>
      </c>
      <c r="G54" s="169">
        <v>1774774.7749999999</v>
      </c>
      <c r="H54" s="327"/>
      <c r="I54" s="326">
        <f t="shared" si="48"/>
        <v>142635623.5501</v>
      </c>
      <c r="J54" s="226">
        <f t="shared" si="49"/>
        <v>-17233176.449900001</v>
      </c>
      <c r="K54" s="172">
        <f t="shared" si="50"/>
        <v>0.89220425467696007</v>
      </c>
      <c r="L54" s="369" t="str">
        <f t="shared" si="54"/>
        <v>0,35%</v>
      </c>
      <c r="M54" s="186">
        <f t="shared" si="55"/>
        <v>499224.68242535001</v>
      </c>
      <c r="N54" s="216"/>
      <c r="O54" s="614"/>
      <c r="P54" s="325" t="s">
        <v>101</v>
      </c>
      <c r="Q54" s="327">
        <v>189446400</v>
      </c>
      <c r="R54" s="222">
        <v>10</v>
      </c>
      <c r="S54" s="308">
        <v>8</v>
      </c>
      <c r="T54" s="169">
        <v>61251996.351100013</v>
      </c>
      <c r="U54" s="169">
        <v>18886486.486399993</v>
      </c>
      <c r="V54" s="327"/>
      <c r="W54" s="326">
        <f t="shared" si="51"/>
        <v>42365509.864700019</v>
      </c>
      <c r="X54" s="226">
        <f t="shared" si="52"/>
        <v>-147080890.13529998</v>
      </c>
      <c r="Y54" s="172">
        <f t="shared" si="53"/>
        <v>0.22362794893278531</v>
      </c>
      <c r="Z54" s="369">
        <f t="shared" si="56"/>
        <v>0</v>
      </c>
      <c r="AA54" s="186">
        <f t="shared" si="57"/>
        <v>0</v>
      </c>
    </row>
    <row r="55" spans="1:27" ht="14.5" customHeight="1" thickBot="1" x14ac:dyDescent="0.4">
      <c r="A55" s="628"/>
      <c r="B55" s="352" t="s">
        <v>77</v>
      </c>
      <c r="C55" s="329">
        <f t="shared" ref="C55:H55" si="58">SUM(C49:C54)</f>
        <v>1598688000</v>
      </c>
      <c r="D55" s="178">
        <f t="shared" si="58"/>
        <v>113</v>
      </c>
      <c r="E55" s="178">
        <f t="shared" si="58"/>
        <v>98</v>
      </c>
      <c r="F55" s="329">
        <f t="shared" si="58"/>
        <v>1619417656.1147001</v>
      </c>
      <c r="G55" s="330">
        <f t="shared" si="58"/>
        <v>15860450.541100001</v>
      </c>
      <c r="H55" s="329">
        <f t="shared" si="58"/>
        <v>0</v>
      </c>
      <c r="I55" s="329">
        <f t="shared" si="48"/>
        <v>1603557205.5736001</v>
      </c>
      <c r="J55" s="329">
        <f t="shared" si="49"/>
        <v>4869205.5736000538</v>
      </c>
      <c r="K55" s="305">
        <f t="shared" si="50"/>
        <v>1.0030457509993196</v>
      </c>
      <c r="L55" s="369" t="str">
        <f>IF(K55&gt;100%,"CAPAI 100%",IF(K55&gt;90%,"CAPAI 90%","BELUM CAPAI"))</f>
        <v>CAPAI 100%</v>
      </c>
      <c r="M55" s="202">
        <f>SUM(M49:M54)</f>
        <v>6478346.0709086005</v>
      </c>
      <c r="O55" s="615"/>
      <c r="P55" s="354" t="s">
        <v>77</v>
      </c>
      <c r="Q55" s="336">
        <f t="shared" ref="Q55:V55" si="59">SUM(Q49:Q54)</f>
        <v>1722240000</v>
      </c>
      <c r="R55" s="207">
        <f>SUM(R49:R54)</f>
        <v>83</v>
      </c>
      <c r="S55" s="207">
        <f t="shared" si="59"/>
        <v>69</v>
      </c>
      <c r="T55" s="336">
        <f>SUM(T49:T54)</f>
        <v>1159911256.2605999</v>
      </c>
      <c r="U55" s="337">
        <f t="shared" si="59"/>
        <v>62164189.1888</v>
      </c>
      <c r="V55" s="336">
        <f t="shared" si="59"/>
        <v>0</v>
      </c>
      <c r="W55" s="336">
        <f t="shared" si="51"/>
        <v>1097747067.0717998</v>
      </c>
      <c r="X55" s="336">
        <f t="shared" si="52"/>
        <v>-624492932.92820024</v>
      </c>
      <c r="Y55" s="313">
        <f t="shared" si="53"/>
        <v>0.6373949432551792</v>
      </c>
      <c r="Z55" s="369" t="str">
        <f>IF(Y55&gt;100%,"CAPAI 100%",IF(Y55&gt;90%,"CAPAI 90%","BELUM CAPAI"))</f>
        <v>BELUM CAPAI</v>
      </c>
      <c r="AA55" s="202">
        <f>SUM(AA49:AA54)</f>
        <v>3370206.9486505487</v>
      </c>
    </row>
    <row r="56" spans="1:27" ht="14.5" customHeight="1" x14ac:dyDescent="0.55000000000000004">
      <c r="B56" s="324" t="str">
        <f>$B$12</f>
        <v>TARGET Q2</v>
      </c>
      <c r="C56" s="243">
        <f>C57*C55</f>
        <v>1438819200</v>
      </c>
      <c r="D56" s="597"/>
      <c r="E56" s="598"/>
      <c r="F56" s="598"/>
      <c r="G56" s="598"/>
      <c r="H56" s="599"/>
      <c r="I56" s="243">
        <f>I55</f>
        <v>1603557205.5736001</v>
      </c>
      <c r="J56" s="243">
        <f>I56-C56</f>
        <v>164738005.57360005</v>
      </c>
      <c r="K56" s="183">
        <f t="shared" si="50"/>
        <v>1.1144952788881328</v>
      </c>
      <c r="O56" s="309"/>
      <c r="P56" s="324" t="str">
        <f>$B$12</f>
        <v>TARGET Q2</v>
      </c>
      <c r="Q56" s="243">
        <f>Q57*Q55</f>
        <v>1550016000</v>
      </c>
      <c r="R56" s="597"/>
      <c r="S56" s="598"/>
      <c r="T56" s="598"/>
      <c r="U56" s="598"/>
      <c r="V56" s="599"/>
      <c r="W56" s="243">
        <f>W55</f>
        <v>1097747067.0717998</v>
      </c>
      <c r="X56" s="243">
        <f>W56-Q56</f>
        <v>-452268932.92820024</v>
      </c>
      <c r="Y56" s="183">
        <f>W56/Q56</f>
        <v>0.70821660361686578</v>
      </c>
      <c r="Z56" s="192"/>
    </row>
    <row r="57" spans="1:27" ht="24" thickBot="1" x14ac:dyDescent="0.6">
      <c r="C57" s="210">
        <v>0.9</v>
      </c>
      <c r="O57" s="309"/>
      <c r="Q57" s="210">
        <v>0.9</v>
      </c>
    </row>
    <row r="58" spans="1:27" ht="19.5" customHeight="1" x14ac:dyDescent="0.35">
      <c r="A58" s="626">
        <v>6</v>
      </c>
      <c r="B58" s="352" t="s">
        <v>57</v>
      </c>
      <c r="C58" s="353" t="s">
        <v>34</v>
      </c>
      <c r="D58" s="616" t="s">
        <v>91</v>
      </c>
      <c r="E58" s="616" t="s">
        <v>62</v>
      </c>
      <c r="F58" s="604" t="s">
        <v>112</v>
      </c>
      <c r="G58" s="605"/>
      <c r="H58" s="605"/>
      <c r="I58" s="606"/>
      <c r="J58" s="621" t="s">
        <v>65</v>
      </c>
      <c r="K58" s="352" t="s">
        <v>66</v>
      </c>
      <c r="O58" s="618">
        <v>6</v>
      </c>
      <c r="P58" s="354" t="s">
        <v>57</v>
      </c>
      <c r="Q58" s="355" t="s">
        <v>51</v>
      </c>
      <c r="R58" s="591" t="s">
        <v>91</v>
      </c>
      <c r="S58" s="591" t="s">
        <v>62</v>
      </c>
      <c r="T58" s="610" t="s">
        <v>112</v>
      </c>
      <c r="U58" s="611"/>
      <c r="V58" s="611"/>
      <c r="W58" s="612"/>
      <c r="X58" s="595" t="s">
        <v>65</v>
      </c>
      <c r="Y58" s="354" t="s">
        <v>66</v>
      </c>
    </row>
    <row r="59" spans="1:27" ht="36" customHeight="1" x14ac:dyDescent="0.35">
      <c r="A59" s="626"/>
      <c r="B59" s="352" t="s">
        <v>93</v>
      </c>
      <c r="C59" s="353" t="str">
        <f>C48</f>
        <v>TARGET 100%</v>
      </c>
      <c r="D59" s="617"/>
      <c r="E59" s="617"/>
      <c r="F59" s="163" t="str">
        <f>F4</f>
        <v>OMSET JUN
 (1-30)</v>
      </c>
      <c r="G59" s="163" t="str">
        <f>G4</f>
        <v>OMSET PRODUK</v>
      </c>
      <c r="H59" s="353" t="s">
        <v>63</v>
      </c>
      <c r="I59" s="353" t="s">
        <v>64</v>
      </c>
      <c r="J59" s="622"/>
      <c r="K59" s="164">
        <f>K48</f>
        <v>1</v>
      </c>
      <c r="O59" s="619"/>
      <c r="P59" s="354" t="s">
        <v>93</v>
      </c>
      <c r="Q59" s="355" t="str">
        <f>Q48</f>
        <v>TARGET 100%</v>
      </c>
      <c r="R59" s="592"/>
      <c r="S59" s="592"/>
      <c r="T59" s="200" t="str">
        <f>T4</f>
        <v>OMSET JUN
 (1-30)</v>
      </c>
      <c r="U59" s="200" t="str">
        <f>G4</f>
        <v>OMSET PRODUK</v>
      </c>
      <c r="V59" s="355" t="s">
        <v>63</v>
      </c>
      <c r="W59" s="355" t="s">
        <v>64</v>
      </c>
      <c r="X59" s="596"/>
      <c r="Y59" s="201">
        <f>K59</f>
        <v>1</v>
      </c>
    </row>
    <row r="60" spans="1:27" ht="14.5" customHeight="1" x14ac:dyDescent="0.35">
      <c r="A60" s="626"/>
      <c r="B60" s="325" t="s">
        <v>96</v>
      </c>
      <c r="C60" s="326">
        <v>120219840</v>
      </c>
      <c r="D60" s="222">
        <v>15</v>
      </c>
      <c r="E60" s="308">
        <v>13</v>
      </c>
      <c r="F60" s="169">
        <v>52805298.198199987</v>
      </c>
      <c r="G60" s="169"/>
      <c r="H60" s="326"/>
      <c r="I60" s="326">
        <f>F60-G60</f>
        <v>52805298.198199987</v>
      </c>
      <c r="J60" s="226">
        <f t="shared" ref="J60:J66" si="60">I60-C60</f>
        <v>-67414541.801800013</v>
      </c>
      <c r="K60" s="172">
        <f t="shared" ref="K60:K67" si="61">I60/C60</f>
        <v>0.43923946495187471</v>
      </c>
      <c r="L60" s="369">
        <f>IF(K60&gt;120%,"0,55%",IF(K60&gt;100%,"0,45%",IF(K60&gt;80%,"0,35%",IF(K60&gt;60%,"0,2%",0))))</f>
        <v>0</v>
      </c>
      <c r="M60" s="186">
        <f>L60*I60</f>
        <v>0</v>
      </c>
      <c r="O60" s="619"/>
      <c r="P60" s="325" t="s">
        <v>96</v>
      </c>
      <c r="Q60" s="326">
        <v>206668800</v>
      </c>
      <c r="R60" s="222">
        <v>15</v>
      </c>
      <c r="S60" s="308">
        <v>11</v>
      </c>
      <c r="T60" s="169">
        <v>116547554.95470004</v>
      </c>
      <c r="U60" s="169">
        <v>1926351.3511999997</v>
      </c>
      <c r="V60" s="326"/>
      <c r="W60" s="326">
        <f>T60-U60</f>
        <v>114621203.60350004</v>
      </c>
      <c r="X60" s="226">
        <f t="shared" ref="X60:X66" si="62">W60-Q60</f>
        <v>-92047596.396499962</v>
      </c>
      <c r="Y60" s="172">
        <f t="shared" ref="Y60:Y66" si="63">W60/Q60</f>
        <v>0.55461300207626907</v>
      </c>
      <c r="Z60" s="369">
        <f>IF(Y60&gt;120%,"0,55%",IF(Y60&gt;100%,"0,45%",IF(Y60&gt;80%,"0,35%",IF(Y60&gt;60%,"0,2%",0))))</f>
        <v>0</v>
      </c>
      <c r="AA60" s="186">
        <f>Z60*W60</f>
        <v>0</v>
      </c>
    </row>
    <row r="61" spans="1:27" ht="14.5" customHeight="1" x14ac:dyDescent="0.35">
      <c r="A61" s="626"/>
      <c r="B61" s="325" t="s">
        <v>97</v>
      </c>
      <c r="C61" s="327">
        <v>138715200</v>
      </c>
      <c r="D61" s="222">
        <v>9</v>
      </c>
      <c r="E61" s="308">
        <v>9</v>
      </c>
      <c r="F61" s="169">
        <v>84358136.036199927</v>
      </c>
      <c r="G61" s="328">
        <v>351351.35139999999</v>
      </c>
      <c r="H61" s="327"/>
      <c r="I61" s="326">
        <f t="shared" ref="I61:I66" si="64">F61-G61</f>
        <v>84006784.684799924</v>
      </c>
      <c r="J61" s="226">
        <f t="shared" si="60"/>
        <v>-54708415.315200076</v>
      </c>
      <c r="K61" s="172">
        <f>I61/C61</f>
        <v>0.60560619661579929</v>
      </c>
      <c r="L61" s="369" t="str">
        <f t="shared" ref="L61:L65" si="65">IF(K61&gt;120%,"0,55%",IF(K61&gt;100%,"0,45%",IF(K61&gt;80%,"0,35%",IF(K61&gt;60%,"0,2%",0))))</f>
        <v>0,2%</v>
      </c>
      <c r="M61" s="186">
        <f t="shared" ref="M61:M65" si="66">L61*I61</f>
        <v>168013.56936959986</v>
      </c>
      <c r="O61" s="619"/>
      <c r="P61" s="325" t="s">
        <v>97</v>
      </c>
      <c r="Q61" s="327">
        <v>195187200</v>
      </c>
      <c r="R61" s="222">
        <v>21</v>
      </c>
      <c r="S61" s="308">
        <v>14</v>
      </c>
      <c r="T61" s="169">
        <v>103212373.87329997</v>
      </c>
      <c r="U61" s="328">
        <v>765765.76580000005</v>
      </c>
      <c r="V61" s="327"/>
      <c r="W61" s="326">
        <f>T61-U61</f>
        <v>102446608.10749997</v>
      </c>
      <c r="X61" s="226">
        <f t="shared" si="62"/>
        <v>-92740591.892500028</v>
      </c>
      <c r="Y61" s="172">
        <f>W61/Q61</f>
        <v>0.52486335224594627</v>
      </c>
      <c r="Z61" s="369">
        <f t="shared" ref="Z61:Z65" si="67">IF(Y61&gt;120%,"0,55%",IF(Y61&gt;100%,"0,45%",IF(Y61&gt;80%,"0,35%",IF(Y61&gt;60%,"0,2%",0))))</f>
        <v>0</v>
      </c>
      <c r="AA61" s="186">
        <f t="shared" ref="AA61:AA65" si="68">Z61*W61</f>
        <v>0</v>
      </c>
    </row>
    <row r="62" spans="1:27" ht="14.5" customHeight="1" x14ac:dyDescent="0.35">
      <c r="A62" s="626"/>
      <c r="B62" s="325" t="s">
        <v>98</v>
      </c>
      <c r="C62" s="327">
        <v>212696640</v>
      </c>
      <c r="D62" s="222">
        <v>22</v>
      </c>
      <c r="E62" s="308">
        <v>14</v>
      </c>
      <c r="F62" s="169">
        <v>82886099.999299988</v>
      </c>
      <c r="G62" s="169"/>
      <c r="H62" s="327"/>
      <c r="I62" s="326">
        <f t="shared" si="64"/>
        <v>82886099.999299988</v>
      </c>
      <c r="J62" s="226">
        <f t="shared" si="60"/>
        <v>-129810540.00070001</v>
      </c>
      <c r="K62" s="172">
        <f t="shared" si="61"/>
        <v>0.38969162841171345</v>
      </c>
      <c r="L62" s="369">
        <f t="shared" si="65"/>
        <v>0</v>
      </c>
      <c r="M62" s="186">
        <f t="shared" si="66"/>
        <v>0</v>
      </c>
      <c r="O62" s="619"/>
      <c r="P62" s="325" t="s">
        <v>98</v>
      </c>
      <c r="Q62" s="327">
        <v>252595200</v>
      </c>
      <c r="R62" s="222">
        <v>14</v>
      </c>
      <c r="S62" s="308">
        <v>9</v>
      </c>
      <c r="T62" s="169">
        <v>220809883.33279985</v>
      </c>
      <c r="U62" s="169">
        <v>11189864.864700001</v>
      </c>
      <c r="V62" s="327"/>
      <c r="W62" s="326">
        <f>T62-U62</f>
        <v>209620018.46809986</v>
      </c>
      <c r="X62" s="226">
        <f t="shared" si="62"/>
        <v>-42975181.531900138</v>
      </c>
      <c r="Y62" s="172">
        <f t="shared" si="63"/>
        <v>0.82986540705484457</v>
      </c>
      <c r="Z62" s="369" t="str">
        <f t="shared" si="67"/>
        <v>0,35%</v>
      </c>
      <c r="AA62" s="186">
        <f t="shared" si="68"/>
        <v>733670.06463834958</v>
      </c>
    </row>
    <row r="63" spans="1:27" ht="14.5" customHeight="1" x14ac:dyDescent="0.35">
      <c r="A63" s="626"/>
      <c r="B63" s="325" t="s">
        <v>99</v>
      </c>
      <c r="C63" s="327">
        <v>194201280</v>
      </c>
      <c r="D63" s="222">
        <v>15</v>
      </c>
      <c r="E63" s="308">
        <v>12</v>
      </c>
      <c r="F63" s="169">
        <v>57873588.288599983</v>
      </c>
      <c r="G63" s="169"/>
      <c r="H63" s="327"/>
      <c r="I63" s="326">
        <f t="shared" si="64"/>
        <v>57873588.288599983</v>
      </c>
      <c r="J63" s="226">
        <f t="shared" si="60"/>
        <v>-136327691.71140003</v>
      </c>
      <c r="K63" s="172">
        <f t="shared" si="61"/>
        <v>0.29800827414010855</v>
      </c>
      <c r="L63" s="369">
        <f t="shared" si="65"/>
        <v>0</v>
      </c>
      <c r="M63" s="186">
        <f t="shared" si="66"/>
        <v>0</v>
      </c>
      <c r="O63" s="619"/>
      <c r="P63" s="325" t="s">
        <v>99</v>
      </c>
      <c r="Q63" s="327">
        <v>229632000</v>
      </c>
      <c r="R63" s="222">
        <v>14</v>
      </c>
      <c r="S63" s="308">
        <v>12</v>
      </c>
      <c r="T63" s="169">
        <v>200607897.65779996</v>
      </c>
      <c r="U63" s="169">
        <v>6465540.5402999995</v>
      </c>
      <c r="V63" s="327"/>
      <c r="W63" s="326">
        <f>T63-U63</f>
        <v>194142357.11749995</v>
      </c>
      <c r="X63" s="226">
        <f t="shared" si="62"/>
        <v>-35489642.882500052</v>
      </c>
      <c r="Y63" s="172">
        <f t="shared" si="63"/>
        <v>0.84544992473827663</v>
      </c>
      <c r="Z63" s="369" t="str">
        <f t="shared" si="67"/>
        <v>0,35%</v>
      </c>
      <c r="AA63" s="186">
        <f t="shared" si="68"/>
        <v>679498.24991124985</v>
      </c>
    </row>
    <row r="64" spans="1:27" ht="14.5" customHeight="1" x14ac:dyDescent="0.35">
      <c r="A64" s="626"/>
      <c r="B64" s="325" t="s">
        <v>100</v>
      </c>
      <c r="C64" s="327">
        <v>120219840</v>
      </c>
      <c r="D64" s="222">
        <v>13</v>
      </c>
      <c r="E64" s="308">
        <v>13</v>
      </c>
      <c r="F64" s="169">
        <v>108578377.9444</v>
      </c>
      <c r="G64" s="169"/>
      <c r="H64" s="327"/>
      <c r="I64" s="326">
        <f t="shared" si="64"/>
        <v>108578377.9444</v>
      </c>
      <c r="J64" s="226">
        <f t="shared" si="60"/>
        <v>-11641462.055600002</v>
      </c>
      <c r="K64" s="172">
        <f t="shared" si="61"/>
        <v>0.90316521752482781</v>
      </c>
      <c r="L64" s="369" t="str">
        <f t="shared" si="65"/>
        <v>0,35%</v>
      </c>
      <c r="M64" s="186">
        <f t="shared" si="66"/>
        <v>380024.32280540001</v>
      </c>
      <c r="O64" s="619"/>
      <c r="P64" s="325" t="s">
        <v>100</v>
      </c>
      <c r="Q64" s="327">
        <v>126297600</v>
      </c>
      <c r="R64" s="222">
        <v>9</v>
      </c>
      <c r="S64" s="308">
        <v>6</v>
      </c>
      <c r="T64" s="169">
        <v>68952274.774800003</v>
      </c>
      <c r="U64" s="169"/>
      <c r="V64" s="327"/>
      <c r="W64" s="326">
        <f>T64-U64</f>
        <v>68952274.774800003</v>
      </c>
      <c r="X64" s="226">
        <f t="shared" si="62"/>
        <v>-57345325.225199997</v>
      </c>
      <c r="Y64" s="172">
        <f t="shared" si="63"/>
        <v>0.54595079221457887</v>
      </c>
      <c r="Z64" s="369">
        <f t="shared" si="67"/>
        <v>0</v>
      </c>
      <c r="AA64" s="186">
        <f t="shared" si="68"/>
        <v>0</v>
      </c>
    </row>
    <row r="65" spans="1:27" ht="14.5" customHeight="1" x14ac:dyDescent="0.35">
      <c r="A65" s="626"/>
      <c r="B65" s="325" t="s">
        <v>101</v>
      </c>
      <c r="C65" s="327">
        <v>138715200</v>
      </c>
      <c r="D65" s="222">
        <v>10</v>
      </c>
      <c r="E65" s="308">
        <v>8</v>
      </c>
      <c r="F65" s="169">
        <v>68662123.873600006</v>
      </c>
      <c r="G65" s="169">
        <v>8873873.8738000002</v>
      </c>
      <c r="H65" s="327"/>
      <c r="I65" s="326">
        <f t="shared" si="64"/>
        <v>59788249.999800004</v>
      </c>
      <c r="J65" s="226">
        <f t="shared" si="60"/>
        <v>-78926950.000200003</v>
      </c>
      <c r="K65" s="172">
        <f t="shared" si="61"/>
        <v>0.43101440937835223</v>
      </c>
      <c r="L65" s="369">
        <f t="shared" si="65"/>
        <v>0</v>
      </c>
      <c r="M65" s="186">
        <f t="shared" si="66"/>
        <v>0</v>
      </c>
      <c r="O65" s="619"/>
      <c r="P65" s="325" t="s">
        <v>101</v>
      </c>
      <c r="Q65" s="327">
        <v>137779200</v>
      </c>
      <c r="R65" s="222">
        <v>12</v>
      </c>
      <c r="S65" s="308">
        <v>11</v>
      </c>
      <c r="T65" s="169">
        <v>39407851.522700004</v>
      </c>
      <c r="U65" s="169">
        <v>850000</v>
      </c>
      <c r="V65" s="327"/>
      <c r="W65" s="326">
        <f t="shared" ref="W65:W66" si="69">T65-U65</f>
        <v>38557851.522700004</v>
      </c>
      <c r="X65" s="226">
        <f t="shared" si="62"/>
        <v>-99221348.477299988</v>
      </c>
      <c r="Y65" s="172">
        <f t="shared" si="63"/>
        <v>0.27985248515523392</v>
      </c>
      <c r="Z65" s="369">
        <f t="shared" si="67"/>
        <v>0</v>
      </c>
      <c r="AA65" s="186">
        <f t="shared" si="68"/>
        <v>0</v>
      </c>
    </row>
    <row r="66" spans="1:27" ht="15" customHeight="1" thickBot="1" x14ac:dyDescent="0.4">
      <c r="A66" s="626"/>
      <c r="B66" s="352" t="s">
        <v>77</v>
      </c>
      <c r="C66" s="329">
        <f t="shared" ref="C66:H66" si="70">SUM(C60:C65)</f>
        <v>924768000</v>
      </c>
      <c r="D66" s="178">
        <f t="shared" si="70"/>
        <v>84</v>
      </c>
      <c r="E66" s="178">
        <f t="shared" si="70"/>
        <v>69</v>
      </c>
      <c r="F66" s="329">
        <f t="shared" si="70"/>
        <v>455163624.3402999</v>
      </c>
      <c r="G66" s="330">
        <f t="shared" si="70"/>
        <v>9225225.2251999993</v>
      </c>
      <c r="H66" s="329">
        <f t="shared" si="70"/>
        <v>0</v>
      </c>
      <c r="I66" s="329">
        <f t="shared" si="64"/>
        <v>445938399.11509991</v>
      </c>
      <c r="J66" s="329">
        <f t="shared" si="60"/>
        <v>-478829600.88490009</v>
      </c>
      <c r="K66" s="305">
        <f t="shared" si="61"/>
        <v>0.48221651172521096</v>
      </c>
      <c r="L66" s="369" t="str">
        <f>IF(K66&gt;100%,"CAPAI 100%",IF(K66&gt;90%,"CAPAI 90%","BELUM CAPAI"))</f>
        <v>BELUM CAPAI</v>
      </c>
      <c r="M66" s="202">
        <f>SUM(M60:M65)</f>
        <v>548037.89217499993</v>
      </c>
      <c r="O66" s="620"/>
      <c r="P66" s="354" t="s">
        <v>77</v>
      </c>
      <c r="Q66" s="336">
        <f t="shared" ref="Q66:V66" si="71">SUM(Q60:Q65)</f>
        <v>1148160000</v>
      </c>
      <c r="R66" s="207">
        <f>SUM(R60:R65)</f>
        <v>85</v>
      </c>
      <c r="S66" s="207">
        <f t="shared" si="71"/>
        <v>63</v>
      </c>
      <c r="T66" s="336">
        <f t="shared" si="71"/>
        <v>749537836.11609972</v>
      </c>
      <c r="U66" s="337">
        <f>SUM(U60:U65)</f>
        <v>21197522.522</v>
      </c>
      <c r="V66" s="336">
        <f t="shared" si="71"/>
        <v>0</v>
      </c>
      <c r="W66" s="336">
        <f t="shared" si="69"/>
        <v>728340313.59409976</v>
      </c>
      <c r="X66" s="336">
        <f t="shared" si="62"/>
        <v>-419819686.40590024</v>
      </c>
      <c r="Y66" s="313">
        <f t="shared" si="63"/>
        <v>0.63435437011749207</v>
      </c>
      <c r="Z66" s="369" t="str">
        <f>IF(Y66&gt;100%,"CAPAI 100%",IF(Y66&gt;90%,"CAPAI 90%","BELUM CAPAI"))</f>
        <v>BELUM CAPAI</v>
      </c>
      <c r="AA66" s="202">
        <f>SUM(AA60:AA65)</f>
        <v>1413168.3145495993</v>
      </c>
    </row>
    <row r="67" spans="1:27" ht="14.5" customHeight="1" x14ac:dyDescent="0.55000000000000004">
      <c r="B67" s="324" t="str">
        <f>$B$12</f>
        <v>TARGET Q2</v>
      </c>
      <c r="C67" s="243">
        <f>C68*C66</f>
        <v>832291200</v>
      </c>
      <c r="D67" s="373"/>
      <c r="E67" s="374"/>
      <c r="F67" s="374"/>
      <c r="G67" s="374"/>
      <c r="H67" s="375"/>
      <c r="I67" s="243">
        <f>I66</f>
        <v>445938399.11509991</v>
      </c>
      <c r="J67" s="243">
        <f>I67-C67</f>
        <v>-386352800.88490009</v>
      </c>
      <c r="K67" s="183">
        <f t="shared" si="61"/>
        <v>0.53579612413912336</v>
      </c>
      <c r="O67" s="309"/>
      <c r="P67" s="324" t="str">
        <f>$B$12</f>
        <v>TARGET Q2</v>
      </c>
      <c r="Q67" s="243">
        <f>Q68*Q66</f>
        <v>1033344000</v>
      </c>
      <c r="R67" s="597"/>
      <c r="S67" s="598"/>
      <c r="T67" s="598"/>
      <c r="U67" s="598"/>
      <c r="V67" s="599"/>
      <c r="W67" s="243">
        <f>W66</f>
        <v>728340313.59409976</v>
      </c>
      <c r="X67" s="243">
        <f>W67-Q67</f>
        <v>-305003686.40590024</v>
      </c>
      <c r="Y67" s="183">
        <f>W67/Q67</f>
        <v>0.70483818901943573</v>
      </c>
      <c r="Z67" s="192"/>
    </row>
    <row r="68" spans="1:27" ht="24" thickBot="1" x14ac:dyDescent="0.6">
      <c r="C68" s="210">
        <v>0.9</v>
      </c>
      <c r="O68" s="309"/>
      <c r="Q68" s="210">
        <v>0.9</v>
      </c>
    </row>
    <row r="69" spans="1:27" ht="19.5" customHeight="1" x14ac:dyDescent="0.35">
      <c r="A69" s="623">
        <v>7</v>
      </c>
      <c r="B69" s="352" t="s">
        <v>57</v>
      </c>
      <c r="C69" s="353" t="s">
        <v>166</v>
      </c>
      <c r="D69" s="616" t="s">
        <v>91</v>
      </c>
      <c r="E69" s="616" t="s">
        <v>62</v>
      </c>
      <c r="F69" s="604" t="s">
        <v>114</v>
      </c>
      <c r="G69" s="605"/>
      <c r="H69" s="605"/>
      <c r="I69" s="606"/>
      <c r="J69" s="621" t="s">
        <v>65</v>
      </c>
      <c r="K69" s="352" t="s">
        <v>66</v>
      </c>
      <c r="O69" s="607">
        <v>7</v>
      </c>
      <c r="P69" s="354" t="s">
        <v>57</v>
      </c>
      <c r="Q69" s="355" t="s">
        <v>115</v>
      </c>
      <c r="R69" s="591" t="s">
        <v>91</v>
      </c>
      <c r="S69" s="591" t="s">
        <v>62</v>
      </c>
      <c r="T69" s="610" t="s">
        <v>114</v>
      </c>
      <c r="U69" s="611"/>
      <c r="V69" s="611"/>
      <c r="W69" s="612"/>
      <c r="X69" s="603" t="s">
        <v>65</v>
      </c>
      <c r="Y69" s="354" t="s">
        <v>66</v>
      </c>
    </row>
    <row r="70" spans="1:27" ht="36" customHeight="1" x14ac:dyDescent="0.35">
      <c r="A70" s="623"/>
      <c r="B70" s="352" t="s">
        <v>93</v>
      </c>
      <c r="C70" s="353" t="str">
        <f>C59</f>
        <v>TARGET 100%</v>
      </c>
      <c r="D70" s="617"/>
      <c r="E70" s="617"/>
      <c r="F70" s="163" t="str">
        <f>F4</f>
        <v>OMSET JUN
 (1-30)</v>
      </c>
      <c r="G70" s="163" t="str">
        <f>G4</f>
        <v>OMSET PRODUK</v>
      </c>
      <c r="H70" s="353" t="s">
        <v>63</v>
      </c>
      <c r="I70" s="353" t="s">
        <v>64</v>
      </c>
      <c r="J70" s="622"/>
      <c r="K70" s="164">
        <f>K59</f>
        <v>1</v>
      </c>
      <c r="O70" s="608"/>
      <c r="P70" s="354" t="s">
        <v>93</v>
      </c>
      <c r="Q70" s="355" t="str">
        <f>Q59</f>
        <v>TARGET 100%</v>
      </c>
      <c r="R70" s="592"/>
      <c r="S70" s="592"/>
      <c r="T70" s="200" t="str">
        <f>T4</f>
        <v>OMSET JUN
 (1-30)</v>
      </c>
      <c r="U70" s="200" t="str">
        <f>G4</f>
        <v>OMSET PRODUK</v>
      </c>
      <c r="V70" s="355" t="s">
        <v>63</v>
      </c>
      <c r="W70" s="355" t="s">
        <v>64</v>
      </c>
      <c r="X70" s="603"/>
      <c r="Y70" s="201">
        <f>K70</f>
        <v>1</v>
      </c>
    </row>
    <row r="71" spans="1:27" ht="14.5" customHeight="1" x14ac:dyDescent="0.35">
      <c r="A71" s="623"/>
      <c r="B71" s="325" t="s">
        <v>96</v>
      </c>
      <c r="C71" s="326">
        <v>121680000</v>
      </c>
      <c r="D71" s="222">
        <v>16</v>
      </c>
      <c r="E71" s="308">
        <v>14</v>
      </c>
      <c r="F71" s="169">
        <v>39049117.117200002</v>
      </c>
      <c r="G71" s="169">
        <v>738738.73880000005</v>
      </c>
      <c r="H71" s="326"/>
      <c r="I71" s="326">
        <f t="shared" ref="I71:I77" si="72">F71-G71</f>
        <v>38310378.378400005</v>
      </c>
      <c r="J71" s="226">
        <f t="shared" ref="J71:J77" si="73">I71-C71</f>
        <v>-83369621.621600002</v>
      </c>
      <c r="K71" s="172">
        <f t="shared" ref="K71:K78" si="74">I71/C71</f>
        <v>0.31484531869165028</v>
      </c>
      <c r="L71" s="369">
        <f>IF(K71&gt;120%,"0,55%",IF(K71&gt;100%,"0,45%",IF(K71&gt;80%,"0,35%",IF(K71&gt;60%,"0,2%",0))))</f>
        <v>0</v>
      </c>
      <c r="M71" s="186">
        <f>L71*I71</f>
        <v>0</v>
      </c>
      <c r="N71" s="191"/>
      <c r="O71" s="608"/>
      <c r="P71" s="325" t="s">
        <v>96</v>
      </c>
      <c r="Q71" s="326">
        <v>206668800</v>
      </c>
      <c r="R71" s="222">
        <v>22</v>
      </c>
      <c r="S71" s="308">
        <v>19</v>
      </c>
      <c r="T71" s="169">
        <v>206933466.66639984</v>
      </c>
      <c r="U71" s="169">
        <v>850000</v>
      </c>
      <c r="V71" s="326"/>
      <c r="W71" s="326">
        <f>T71-U71</f>
        <v>206083466.66639984</v>
      </c>
      <c r="X71" s="226">
        <f t="shared" ref="X71:X77" si="75">W71-Q71</f>
        <v>-585333.33360016346</v>
      </c>
      <c r="Y71" s="172">
        <f t="shared" ref="Y71:Y77" si="76">W71/Q71</f>
        <v>0.99716777117010325</v>
      </c>
      <c r="Z71" s="369" t="str">
        <f>IF(Y71&gt;120%,"0,55%",IF(Y71&gt;100%,"0,45%",IF(Y71&gt;80%,"0,35%",IF(Y71&gt;60%,"0,2%",0))))</f>
        <v>0,35%</v>
      </c>
      <c r="AA71" s="186">
        <f>Z71*W71</f>
        <v>721292.13333239942</v>
      </c>
    </row>
    <row r="72" spans="1:27" ht="14.5" customHeight="1" x14ac:dyDescent="0.35">
      <c r="A72" s="623"/>
      <c r="B72" s="325" t="s">
        <v>97</v>
      </c>
      <c r="C72" s="327">
        <v>146016000</v>
      </c>
      <c r="D72" s="222">
        <v>17</v>
      </c>
      <c r="E72" s="308">
        <v>10</v>
      </c>
      <c r="F72" s="169">
        <v>97782838.973299995</v>
      </c>
      <c r="G72" s="328">
        <v>1333333.3333000001</v>
      </c>
      <c r="H72" s="327"/>
      <c r="I72" s="326">
        <f t="shared" si="72"/>
        <v>96449505.640000001</v>
      </c>
      <c r="J72" s="226">
        <f t="shared" si="73"/>
        <v>-49566494.359999999</v>
      </c>
      <c r="K72" s="172">
        <f t="shared" si="74"/>
        <v>0.66054066431076042</v>
      </c>
      <c r="L72" s="369" t="str">
        <f t="shared" ref="L72:L76" si="77">IF(K72&gt;120%,"0,55%",IF(K72&gt;100%,"0,45%",IF(K72&gt;80%,"0,35%",IF(K72&gt;60%,"0,2%",0))))</f>
        <v>0,2%</v>
      </c>
      <c r="M72" s="186">
        <f t="shared" ref="M72:M76" si="78">L72*I72</f>
        <v>192899.01128000001</v>
      </c>
      <c r="N72" s="191"/>
      <c r="O72" s="608"/>
      <c r="P72" s="325" t="s">
        <v>97</v>
      </c>
      <c r="Q72" s="327">
        <v>149260800</v>
      </c>
      <c r="R72" s="222">
        <v>21</v>
      </c>
      <c r="S72" s="308">
        <v>15</v>
      </c>
      <c r="T72" s="169">
        <v>75237453.153300002</v>
      </c>
      <c r="U72" s="328">
        <v>1425675.6755999997</v>
      </c>
      <c r="V72" s="327"/>
      <c r="W72" s="326">
        <f t="shared" ref="W72:W77" si="79">T72-U72</f>
        <v>73811777.477699995</v>
      </c>
      <c r="X72" s="226">
        <f t="shared" si="75"/>
        <v>-75449022.522300005</v>
      </c>
      <c r="Y72" s="172">
        <f t="shared" si="76"/>
        <v>0.49451548884703816</v>
      </c>
      <c r="Z72" s="369">
        <f t="shared" ref="Z72:Z76" si="80">IF(Y72&gt;120%,"0,55%",IF(Y72&gt;100%,"0,45%",IF(Y72&gt;80%,"0,35%",IF(Y72&gt;60%,"0,2%",0))))</f>
        <v>0</v>
      </c>
      <c r="AA72" s="186">
        <f t="shared" ref="AA72:AA76" si="81">Z72*W72</f>
        <v>0</v>
      </c>
    </row>
    <row r="73" spans="1:27" ht="14.5" customHeight="1" x14ac:dyDescent="0.35">
      <c r="A73" s="623"/>
      <c r="B73" s="325" t="s">
        <v>98</v>
      </c>
      <c r="C73" s="327">
        <v>206856000</v>
      </c>
      <c r="D73" s="222">
        <v>19</v>
      </c>
      <c r="E73" s="308">
        <v>14</v>
      </c>
      <c r="F73" s="169">
        <v>109108349.53199998</v>
      </c>
      <c r="G73" s="169">
        <v>684684.68469999998</v>
      </c>
      <c r="H73" s="327"/>
      <c r="I73" s="326">
        <f t="shared" si="72"/>
        <v>108423664.84729998</v>
      </c>
      <c r="J73" s="226">
        <f t="shared" si="73"/>
        <v>-98432335.152700022</v>
      </c>
      <c r="K73" s="172">
        <f t="shared" si="74"/>
        <v>0.52415044691621215</v>
      </c>
      <c r="L73" s="369">
        <f t="shared" si="77"/>
        <v>0</v>
      </c>
      <c r="M73" s="186">
        <f t="shared" si="78"/>
        <v>0</v>
      </c>
      <c r="N73" s="191"/>
      <c r="O73" s="608"/>
      <c r="P73" s="325" t="s">
        <v>98</v>
      </c>
      <c r="Q73" s="327">
        <v>229632000</v>
      </c>
      <c r="R73" s="222">
        <v>15</v>
      </c>
      <c r="S73" s="308">
        <v>13</v>
      </c>
      <c r="T73" s="169">
        <v>159879397.59960002</v>
      </c>
      <c r="U73" s="169">
        <v>646621.62159999995</v>
      </c>
      <c r="V73" s="327"/>
      <c r="W73" s="326">
        <f t="shared" si="79"/>
        <v>159232775.97800002</v>
      </c>
      <c r="X73" s="226">
        <f t="shared" si="75"/>
        <v>-70399224.021999985</v>
      </c>
      <c r="Y73" s="172">
        <f t="shared" si="76"/>
        <v>0.69342589873362603</v>
      </c>
      <c r="Z73" s="369" t="str">
        <f t="shared" si="80"/>
        <v>0,2%</v>
      </c>
      <c r="AA73" s="186">
        <f t="shared" si="81"/>
        <v>318465.55195600004</v>
      </c>
    </row>
    <row r="74" spans="1:27" ht="14.5" customHeight="1" x14ac:dyDescent="0.35">
      <c r="A74" s="623"/>
      <c r="B74" s="325" t="s">
        <v>99</v>
      </c>
      <c r="C74" s="327">
        <v>243360000</v>
      </c>
      <c r="D74" s="222">
        <v>22</v>
      </c>
      <c r="E74" s="308">
        <v>16</v>
      </c>
      <c r="F74" s="169">
        <v>169625207.25659996</v>
      </c>
      <c r="G74" s="169">
        <v>1000000</v>
      </c>
      <c r="H74" s="327"/>
      <c r="I74" s="326">
        <f t="shared" si="72"/>
        <v>168625207.25659996</v>
      </c>
      <c r="J74" s="226">
        <f t="shared" si="73"/>
        <v>-74734792.743400037</v>
      </c>
      <c r="K74" s="172">
        <f t="shared" si="74"/>
        <v>0.69290436906886899</v>
      </c>
      <c r="L74" s="369" t="str">
        <f t="shared" si="77"/>
        <v>0,2%</v>
      </c>
      <c r="M74" s="186">
        <f t="shared" si="78"/>
        <v>337250.41451319994</v>
      </c>
      <c r="N74" s="191"/>
      <c r="O74" s="608"/>
      <c r="P74" s="325" t="s">
        <v>99</v>
      </c>
      <c r="Q74" s="327">
        <v>114816000</v>
      </c>
      <c r="R74" s="222">
        <v>11</v>
      </c>
      <c r="S74" s="308">
        <v>11</v>
      </c>
      <c r="T74" s="169">
        <v>128987220.7208</v>
      </c>
      <c r="U74" s="169">
        <v>360360.36040000001</v>
      </c>
      <c r="V74" s="327"/>
      <c r="W74" s="326">
        <f t="shared" si="79"/>
        <v>128626860.36039999</v>
      </c>
      <c r="X74" s="226">
        <f t="shared" si="75"/>
        <v>13810860.360399991</v>
      </c>
      <c r="Y74" s="172">
        <f t="shared" si="76"/>
        <v>1.1202868969516442</v>
      </c>
      <c r="Z74" s="369" t="str">
        <f t="shared" si="80"/>
        <v>0,45%</v>
      </c>
      <c r="AA74" s="186">
        <f t="shared" si="81"/>
        <v>578820.87162179989</v>
      </c>
    </row>
    <row r="75" spans="1:27" ht="14.5" customHeight="1" x14ac:dyDescent="0.35">
      <c r="A75" s="623"/>
      <c r="B75" s="325" t="s">
        <v>100</v>
      </c>
      <c r="C75" s="327">
        <v>219024000</v>
      </c>
      <c r="D75" s="222">
        <v>17</v>
      </c>
      <c r="E75" s="308">
        <v>15</v>
      </c>
      <c r="F75" s="169">
        <v>205390267.53459978</v>
      </c>
      <c r="G75" s="169">
        <v>1774774.7748</v>
      </c>
      <c r="H75" s="327"/>
      <c r="I75" s="326">
        <f t="shared" si="72"/>
        <v>203615492.75979978</v>
      </c>
      <c r="J75" s="226">
        <f t="shared" si="73"/>
        <v>-15408507.240200222</v>
      </c>
      <c r="K75" s="172">
        <f t="shared" si="74"/>
        <v>0.92964922912466108</v>
      </c>
      <c r="L75" s="369" t="str">
        <f t="shared" si="77"/>
        <v>0,35%</v>
      </c>
      <c r="M75" s="186">
        <f t="shared" si="78"/>
        <v>712654.22465929925</v>
      </c>
      <c r="N75" s="191"/>
      <c r="O75" s="608"/>
      <c r="P75" s="325" t="s">
        <v>100</v>
      </c>
      <c r="Q75" s="327">
        <v>206668800</v>
      </c>
      <c r="R75" s="222">
        <v>17</v>
      </c>
      <c r="S75" s="308">
        <v>15</v>
      </c>
      <c r="T75" s="169">
        <v>167876835.13559997</v>
      </c>
      <c r="U75" s="169">
        <v>1228603.6036</v>
      </c>
      <c r="V75" s="327"/>
      <c r="W75" s="326">
        <f t="shared" si="79"/>
        <v>166648231.53199998</v>
      </c>
      <c r="X75" s="226">
        <f t="shared" si="75"/>
        <v>-40020568.468000025</v>
      </c>
      <c r="Y75" s="172">
        <f t="shared" si="76"/>
        <v>0.8063540869836181</v>
      </c>
      <c r="Z75" s="369" t="str">
        <f t="shared" si="80"/>
        <v>0,35%</v>
      </c>
      <c r="AA75" s="186">
        <f t="shared" si="81"/>
        <v>583268.8103619999</v>
      </c>
    </row>
    <row r="76" spans="1:27" ht="14.5" customHeight="1" x14ac:dyDescent="0.35">
      <c r="A76" s="623"/>
      <c r="B76" s="325" t="s">
        <v>101</v>
      </c>
      <c r="C76" s="327">
        <v>279864000</v>
      </c>
      <c r="D76" s="222">
        <v>14</v>
      </c>
      <c r="E76" s="308">
        <v>10</v>
      </c>
      <c r="F76" s="169">
        <v>166021906.19830003</v>
      </c>
      <c r="G76" s="169">
        <v>1333333.3333999999</v>
      </c>
      <c r="H76" s="327"/>
      <c r="I76" s="326">
        <f t="shared" si="72"/>
        <v>164688572.86490002</v>
      </c>
      <c r="J76" s="226">
        <f t="shared" si="73"/>
        <v>-115175427.13509998</v>
      </c>
      <c r="K76" s="172">
        <f t="shared" si="74"/>
        <v>0.58845929760490823</v>
      </c>
      <c r="L76" s="369">
        <f t="shared" si="77"/>
        <v>0</v>
      </c>
      <c r="M76" s="186">
        <f t="shared" si="78"/>
        <v>0</v>
      </c>
      <c r="N76" s="191"/>
      <c r="O76" s="608"/>
      <c r="P76" s="325" t="s">
        <v>101</v>
      </c>
      <c r="Q76" s="327">
        <v>241113600</v>
      </c>
      <c r="R76" s="222">
        <v>10</v>
      </c>
      <c r="S76" s="308">
        <v>8</v>
      </c>
      <c r="T76" s="169">
        <v>307461737.83860034</v>
      </c>
      <c r="U76" s="169"/>
      <c r="V76" s="327"/>
      <c r="W76" s="326">
        <f t="shared" si="79"/>
        <v>307461737.83860034</v>
      </c>
      <c r="X76" s="226">
        <f t="shared" si="75"/>
        <v>66348137.838600338</v>
      </c>
      <c r="Y76" s="172">
        <f t="shared" si="76"/>
        <v>1.2751737680437782</v>
      </c>
      <c r="Z76" s="369" t="str">
        <f t="shared" si="80"/>
        <v>0,55%</v>
      </c>
      <c r="AA76" s="186">
        <f t="shared" si="81"/>
        <v>1691039.5581123019</v>
      </c>
    </row>
    <row r="77" spans="1:27" ht="14.5" customHeight="1" thickBot="1" x14ac:dyDescent="0.4">
      <c r="A77" s="623"/>
      <c r="B77" s="352" t="s">
        <v>77</v>
      </c>
      <c r="C77" s="329">
        <f t="shared" ref="C77:H77" si="82">SUM(C71:C76)</f>
        <v>1216800000</v>
      </c>
      <c r="D77" s="178">
        <f t="shared" si="82"/>
        <v>105</v>
      </c>
      <c r="E77" s="178">
        <f t="shared" si="82"/>
        <v>79</v>
      </c>
      <c r="F77" s="329">
        <f t="shared" si="82"/>
        <v>786977686.61199975</v>
      </c>
      <c r="G77" s="330">
        <f t="shared" si="82"/>
        <v>6864864.8650000002</v>
      </c>
      <c r="H77" s="329">
        <f t="shared" si="82"/>
        <v>0</v>
      </c>
      <c r="I77" s="329">
        <f t="shared" si="72"/>
        <v>780112821.74699974</v>
      </c>
      <c r="J77" s="329">
        <f t="shared" si="73"/>
        <v>-436687178.25300026</v>
      </c>
      <c r="K77" s="305">
        <f t="shared" si="74"/>
        <v>0.64111836106755404</v>
      </c>
      <c r="L77" s="369" t="str">
        <f>IF(K77&gt;100%,"CAPAI 100%",IF(K77&gt;90%,"CAPAI 90%","BELUM CAPAI"))</f>
        <v>BELUM CAPAI</v>
      </c>
      <c r="M77" s="202">
        <f>SUM(M71:M76)</f>
        <v>1242803.6504524993</v>
      </c>
      <c r="N77" s="191"/>
      <c r="O77" s="609"/>
      <c r="P77" s="354" t="s">
        <v>77</v>
      </c>
      <c r="Q77" s="336">
        <f t="shared" ref="Q77:V77" si="83">SUM(Q71:Q76)</f>
        <v>1148160000</v>
      </c>
      <c r="R77" s="207">
        <f>SUM(R71:R76)</f>
        <v>96</v>
      </c>
      <c r="S77" s="207">
        <f t="shared" si="83"/>
        <v>81</v>
      </c>
      <c r="T77" s="336">
        <f t="shared" si="83"/>
        <v>1046376111.1143003</v>
      </c>
      <c r="U77" s="337">
        <f t="shared" si="83"/>
        <v>4511261.2611999996</v>
      </c>
      <c r="V77" s="336">
        <f t="shared" si="83"/>
        <v>0</v>
      </c>
      <c r="W77" s="336">
        <f t="shared" si="79"/>
        <v>1041864849.8531003</v>
      </c>
      <c r="X77" s="336">
        <f t="shared" si="75"/>
        <v>-106295150.1468997</v>
      </c>
      <c r="Y77" s="313">
        <f t="shared" si="76"/>
        <v>0.90742130874886806</v>
      </c>
      <c r="Z77" s="369" t="str">
        <f>IF(Y77&gt;100%,"CAPAI 100%",IF(Y77&gt;90%,"CAPAI 90%","BELUM CAPAI"))</f>
        <v>CAPAI 90%</v>
      </c>
      <c r="AA77" s="202">
        <f>SUM(AA71:AA76)</f>
        <v>3892886.925384501</v>
      </c>
    </row>
    <row r="78" spans="1:27" ht="14.5" customHeight="1" x14ac:dyDescent="0.55000000000000004">
      <c r="B78" s="324" t="str">
        <f>$B$12</f>
        <v>TARGET Q2</v>
      </c>
      <c r="C78" s="243">
        <f>C79*C77</f>
        <v>1095120000</v>
      </c>
      <c r="D78" s="597"/>
      <c r="E78" s="598"/>
      <c r="F78" s="598"/>
      <c r="G78" s="598"/>
      <c r="H78" s="599"/>
      <c r="I78" s="243">
        <f>I77</f>
        <v>780112821.74699974</v>
      </c>
      <c r="J78" s="243">
        <f>I78-C78</f>
        <v>-315007178.25300026</v>
      </c>
      <c r="K78" s="183">
        <f t="shared" si="74"/>
        <v>0.71235373451950446</v>
      </c>
      <c r="O78" s="309"/>
      <c r="P78" s="324" t="str">
        <f>$B$12</f>
        <v>TARGET Q2</v>
      </c>
      <c r="Q78" s="243">
        <f>Q79*Q77</f>
        <v>1033344000</v>
      </c>
      <c r="R78" s="597"/>
      <c r="S78" s="598"/>
      <c r="T78" s="598"/>
      <c r="U78" s="598"/>
      <c r="V78" s="599"/>
      <c r="W78" s="243">
        <f>W77</f>
        <v>1041864849.8531003</v>
      </c>
      <c r="X78" s="243">
        <f>W78-Q78</f>
        <v>8520849.8531002998</v>
      </c>
      <c r="Y78" s="183">
        <f>W78/Q78</f>
        <v>1.0082458986098533</v>
      </c>
      <c r="Z78" s="192"/>
    </row>
    <row r="79" spans="1:27" ht="14.5" customHeight="1" thickBot="1" x14ac:dyDescent="0.6">
      <c r="C79" s="210">
        <v>0.9</v>
      </c>
      <c r="O79" s="309"/>
      <c r="Q79" s="210">
        <v>0.9</v>
      </c>
    </row>
    <row r="80" spans="1:27" ht="20.149999999999999" customHeight="1" x14ac:dyDescent="0.35">
      <c r="A80" s="623">
        <v>8</v>
      </c>
      <c r="B80" s="352" t="s">
        <v>57</v>
      </c>
      <c r="C80" s="353" t="s">
        <v>116</v>
      </c>
      <c r="D80" s="616" t="s">
        <v>91</v>
      </c>
      <c r="E80" s="616" t="s">
        <v>62</v>
      </c>
      <c r="F80" s="604" t="s">
        <v>117</v>
      </c>
      <c r="G80" s="605"/>
      <c r="H80" s="605"/>
      <c r="I80" s="606"/>
      <c r="J80" s="621" t="s">
        <v>65</v>
      </c>
      <c r="K80" s="352" t="s">
        <v>66</v>
      </c>
      <c r="O80" s="607">
        <v>8</v>
      </c>
      <c r="P80" s="354" t="s">
        <v>57</v>
      </c>
      <c r="Q80" s="355" t="s">
        <v>118</v>
      </c>
      <c r="R80" s="591" t="s">
        <v>91</v>
      </c>
      <c r="S80" s="591" t="s">
        <v>62</v>
      </c>
      <c r="T80" s="610" t="s">
        <v>117</v>
      </c>
      <c r="U80" s="611"/>
      <c r="V80" s="611"/>
      <c r="W80" s="612"/>
      <c r="X80" s="603" t="s">
        <v>65</v>
      </c>
      <c r="Y80" s="354" t="s">
        <v>66</v>
      </c>
    </row>
    <row r="81" spans="1:27" ht="33" customHeight="1" x14ac:dyDescent="0.35">
      <c r="A81" s="623"/>
      <c r="B81" s="352" t="s">
        <v>93</v>
      </c>
      <c r="C81" s="353" t="str">
        <f>C70</f>
        <v>TARGET 100%</v>
      </c>
      <c r="D81" s="617"/>
      <c r="E81" s="617"/>
      <c r="F81" s="163" t="str">
        <f>F4</f>
        <v>OMSET JUN
 (1-30)</v>
      </c>
      <c r="G81" s="163" t="str">
        <f>G4</f>
        <v>OMSET PRODUK</v>
      </c>
      <c r="H81" s="353" t="s">
        <v>63</v>
      </c>
      <c r="I81" s="353" t="s">
        <v>64</v>
      </c>
      <c r="J81" s="622"/>
      <c r="K81" s="164">
        <f>K70</f>
        <v>1</v>
      </c>
      <c r="O81" s="608"/>
      <c r="P81" s="354" t="s">
        <v>93</v>
      </c>
      <c r="Q81" s="355" t="str">
        <f>Q70</f>
        <v>TARGET 100%</v>
      </c>
      <c r="R81" s="592"/>
      <c r="S81" s="592"/>
      <c r="T81" s="200" t="str">
        <f>T4</f>
        <v>OMSET JUN
 (1-30)</v>
      </c>
      <c r="U81" s="200" t="str">
        <f>G4</f>
        <v>OMSET PRODUK</v>
      </c>
      <c r="V81" s="355" t="s">
        <v>63</v>
      </c>
      <c r="W81" s="355" t="s">
        <v>64</v>
      </c>
      <c r="X81" s="603"/>
      <c r="Y81" s="201">
        <f>K81</f>
        <v>1</v>
      </c>
    </row>
    <row r="82" spans="1:27" ht="14.5" customHeight="1" x14ac:dyDescent="0.35">
      <c r="A82" s="623"/>
      <c r="B82" s="325" t="s">
        <v>96</v>
      </c>
      <c r="C82" s="326">
        <v>113892480</v>
      </c>
      <c r="D82" s="222">
        <v>4</v>
      </c>
      <c r="E82" s="308">
        <v>3</v>
      </c>
      <c r="F82" s="169">
        <v>25353183.332699995</v>
      </c>
      <c r="G82" s="169">
        <v>738738.73880000005</v>
      </c>
      <c r="H82" s="326"/>
      <c r="I82" s="326">
        <f>F82-G82</f>
        <v>24614444.593899995</v>
      </c>
      <c r="J82" s="226">
        <f t="shared" ref="J82:J88" si="84">I82-C82</f>
        <v>-89278035.406100005</v>
      </c>
      <c r="K82" s="172">
        <f t="shared" ref="K82:K89" si="85">I82/C82</f>
        <v>0.21612001594749711</v>
      </c>
      <c r="L82" s="369">
        <f>IF(K82&gt;120%,"0,55%",IF(K82&gt;100%,"0,45%",IF(K82&gt;80%,"0,35%",IF(K82&gt;60%,"0,2%",0))))</f>
        <v>0</v>
      </c>
      <c r="M82" s="186">
        <f>L82*I82</f>
        <v>0</v>
      </c>
      <c r="O82" s="608"/>
      <c r="P82" s="325" t="s">
        <v>96</v>
      </c>
      <c r="Q82" s="326">
        <v>101836800.00000001</v>
      </c>
      <c r="R82" s="222">
        <v>10</v>
      </c>
      <c r="S82" s="308">
        <v>7</v>
      </c>
      <c r="T82" s="169">
        <v>41076344.594499998</v>
      </c>
      <c r="U82" s="169">
        <v>425000</v>
      </c>
      <c r="V82" s="326"/>
      <c r="W82" s="326">
        <f t="shared" ref="W82:W88" si="86">T82-U82</f>
        <v>40651344.594499998</v>
      </c>
      <c r="X82" s="226">
        <f t="shared" ref="X82:X87" si="87">T82-Q82</f>
        <v>-60760455.405500017</v>
      </c>
      <c r="Y82" s="172">
        <f t="shared" ref="Y82:Y88" si="88">W82/Q82</f>
        <v>0.39918128411831472</v>
      </c>
      <c r="Z82" s="369">
        <f>IF(Y82&gt;120%,"0,55%",IF(Y82&gt;100%,"0,45%",IF(Y82&gt;80%,"0,35%",IF(Y82&gt;60%,"0,2%",0))))</f>
        <v>0</v>
      </c>
      <c r="AA82" s="186">
        <f>Z82*W82</f>
        <v>0</v>
      </c>
    </row>
    <row r="83" spans="1:27" ht="16" customHeight="1" x14ac:dyDescent="0.35">
      <c r="A83" s="623"/>
      <c r="B83" s="325" t="s">
        <v>97</v>
      </c>
      <c r="C83" s="327">
        <v>96370560</v>
      </c>
      <c r="D83" s="222">
        <v>9</v>
      </c>
      <c r="E83" s="308">
        <v>6</v>
      </c>
      <c r="F83" s="169">
        <v>57899086.486600019</v>
      </c>
      <c r="G83" s="328">
        <v>333333.3333</v>
      </c>
      <c r="H83" s="327"/>
      <c r="I83" s="326">
        <f t="shared" ref="I83:I88" si="89">F83-G83</f>
        <v>57565753.153300017</v>
      </c>
      <c r="J83" s="226">
        <f t="shared" si="84"/>
        <v>-38804806.846699983</v>
      </c>
      <c r="K83" s="172">
        <f t="shared" si="85"/>
        <v>0.59733753911256737</v>
      </c>
      <c r="L83" s="369">
        <f t="shared" ref="L83:L87" si="90">IF(K83&gt;120%,"0,55%",IF(K83&gt;100%,"0,45%",IF(K83&gt;80%,"0,35%",IF(K83&gt;60%,"0,2%",0))))</f>
        <v>0</v>
      </c>
      <c r="M83" s="186">
        <f t="shared" ref="M83:M87" si="91">L83*I83</f>
        <v>0</v>
      </c>
      <c r="O83" s="608"/>
      <c r="P83" s="325" t="s">
        <v>97</v>
      </c>
      <c r="Q83" s="327">
        <v>84864000.000000015</v>
      </c>
      <c r="R83" s="222">
        <v>4</v>
      </c>
      <c r="S83" s="308">
        <v>3</v>
      </c>
      <c r="T83" s="169">
        <v>10967648.648600001</v>
      </c>
      <c r="U83" s="328"/>
      <c r="V83" s="327"/>
      <c r="W83" s="326">
        <f t="shared" si="86"/>
        <v>10967648.648600001</v>
      </c>
      <c r="X83" s="226">
        <f t="shared" si="87"/>
        <v>-73896351.351400018</v>
      </c>
      <c r="Y83" s="172">
        <f>W83/Q83</f>
        <v>0.12923794127780919</v>
      </c>
      <c r="Z83" s="369">
        <f t="shared" ref="Z83:Z87" si="92">IF(Y83&gt;120%,"0,55%",IF(Y83&gt;100%,"0,45%",IF(Y83&gt;80%,"0,35%",IF(Y83&gt;60%,"0,2%",0))))</f>
        <v>0</v>
      </c>
      <c r="AA83" s="186">
        <f t="shared" ref="AA83:AA87" si="93">Z83*W83</f>
        <v>0</v>
      </c>
    </row>
    <row r="84" spans="1:27" ht="14.5" customHeight="1" x14ac:dyDescent="0.35">
      <c r="A84" s="623"/>
      <c r="B84" s="325" t="s">
        <v>98</v>
      </c>
      <c r="C84" s="327">
        <v>122653440.00000001</v>
      </c>
      <c r="D84" s="222">
        <v>13</v>
      </c>
      <c r="E84" s="308">
        <v>8</v>
      </c>
      <c r="F84" s="169">
        <v>36899871.171099983</v>
      </c>
      <c r="G84" s="169"/>
      <c r="H84" s="327"/>
      <c r="I84" s="326">
        <f t="shared" si="89"/>
        <v>36899871.171099983</v>
      </c>
      <c r="J84" s="226">
        <f t="shared" si="84"/>
        <v>-85753568.828900039</v>
      </c>
      <c r="K84" s="172">
        <f t="shared" si="85"/>
        <v>0.30084660626803439</v>
      </c>
      <c r="L84" s="369">
        <f t="shared" si="90"/>
        <v>0</v>
      </c>
      <c r="M84" s="186">
        <f t="shared" si="91"/>
        <v>0</v>
      </c>
      <c r="O84" s="608"/>
      <c r="P84" s="325" t="s">
        <v>98</v>
      </c>
      <c r="Q84" s="327">
        <v>93350400.000000015</v>
      </c>
      <c r="R84" s="222">
        <v>7</v>
      </c>
      <c r="S84" s="308">
        <v>3</v>
      </c>
      <c r="T84" s="169">
        <v>11843132.306300001</v>
      </c>
      <c r="U84" s="169"/>
      <c r="V84" s="327"/>
      <c r="W84" s="326">
        <f t="shared" si="86"/>
        <v>11843132.306300001</v>
      </c>
      <c r="X84" s="226">
        <f t="shared" si="87"/>
        <v>-81507267.693700016</v>
      </c>
      <c r="Y84" s="172">
        <f t="shared" si="88"/>
        <v>0.12686750465236357</v>
      </c>
      <c r="Z84" s="369">
        <f t="shared" si="92"/>
        <v>0</v>
      </c>
      <c r="AA84" s="186">
        <f t="shared" si="93"/>
        <v>0</v>
      </c>
    </row>
    <row r="85" spans="1:27" ht="14.5" customHeight="1" x14ac:dyDescent="0.35">
      <c r="A85" s="623"/>
      <c r="B85" s="325" t="s">
        <v>99</v>
      </c>
      <c r="C85" s="327">
        <v>96370560</v>
      </c>
      <c r="D85" s="222">
        <v>3</v>
      </c>
      <c r="E85" s="308">
        <v>5</v>
      </c>
      <c r="F85" s="169">
        <v>8201482.8828999996</v>
      </c>
      <c r="G85" s="169"/>
      <c r="H85" s="327"/>
      <c r="I85" s="326">
        <f t="shared" si="89"/>
        <v>8201482.8828999996</v>
      </c>
      <c r="J85" s="226">
        <f t="shared" si="84"/>
        <v>-88169077.1171</v>
      </c>
      <c r="K85" s="172">
        <f t="shared" si="85"/>
        <v>8.510361341575684E-2</v>
      </c>
      <c r="L85" s="369">
        <f t="shared" si="90"/>
        <v>0</v>
      </c>
      <c r="M85" s="186">
        <f t="shared" si="91"/>
        <v>0</v>
      </c>
      <c r="O85" s="608"/>
      <c r="P85" s="325" t="s">
        <v>99</v>
      </c>
      <c r="Q85" s="327">
        <v>84864000.000000015</v>
      </c>
      <c r="R85" s="222">
        <v>7</v>
      </c>
      <c r="S85" s="308">
        <v>7</v>
      </c>
      <c r="T85" s="169">
        <v>39365673.243399993</v>
      </c>
      <c r="U85" s="169"/>
      <c r="V85" s="327"/>
      <c r="W85" s="326">
        <f t="shared" si="86"/>
        <v>39365673.243399993</v>
      </c>
      <c r="X85" s="226">
        <f t="shared" si="87"/>
        <v>-45498326.756600022</v>
      </c>
      <c r="Y85" s="172">
        <f t="shared" si="88"/>
        <v>0.46386775597897795</v>
      </c>
      <c r="Z85" s="369">
        <f t="shared" si="92"/>
        <v>0</v>
      </c>
      <c r="AA85" s="186">
        <f t="shared" si="93"/>
        <v>0</v>
      </c>
    </row>
    <row r="86" spans="1:27" ht="14.5" customHeight="1" x14ac:dyDescent="0.35">
      <c r="A86" s="623"/>
      <c r="B86" s="325" t="s">
        <v>100</v>
      </c>
      <c r="C86" s="327">
        <v>219024000</v>
      </c>
      <c r="D86" s="222">
        <v>11</v>
      </c>
      <c r="E86" s="308">
        <v>9</v>
      </c>
      <c r="F86" s="169">
        <v>71443273.873799995</v>
      </c>
      <c r="G86" s="169">
        <v>333333.3333</v>
      </c>
      <c r="H86" s="327"/>
      <c r="I86" s="326">
        <f t="shared" si="89"/>
        <v>71109940.5405</v>
      </c>
      <c r="J86" s="226">
        <f t="shared" si="84"/>
        <v>-147914059.45950001</v>
      </c>
      <c r="K86" s="172">
        <f t="shared" si="85"/>
        <v>0.32466734485946747</v>
      </c>
      <c r="L86" s="369">
        <f t="shared" si="90"/>
        <v>0</v>
      </c>
      <c r="M86" s="186">
        <f t="shared" si="91"/>
        <v>0</v>
      </c>
      <c r="O86" s="608"/>
      <c r="P86" s="325" t="s">
        <v>100</v>
      </c>
      <c r="Q86" s="327">
        <v>271564800.00000006</v>
      </c>
      <c r="R86" s="222">
        <v>15</v>
      </c>
      <c r="S86" s="308">
        <v>11</v>
      </c>
      <c r="T86" s="169">
        <v>147970724.32430002</v>
      </c>
      <c r="U86" s="169">
        <v>1232882.8829000001</v>
      </c>
      <c r="V86" s="327"/>
      <c r="W86" s="326">
        <f t="shared" si="86"/>
        <v>146737841.44140002</v>
      </c>
      <c r="X86" s="226">
        <f t="shared" si="87"/>
        <v>-123594075.67570004</v>
      </c>
      <c r="Y86" s="172">
        <f t="shared" si="88"/>
        <v>0.54034190528890336</v>
      </c>
      <c r="Z86" s="369">
        <f t="shared" si="92"/>
        <v>0</v>
      </c>
      <c r="AA86" s="186">
        <f t="shared" si="93"/>
        <v>0</v>
      </c>
    </row>
    <row r="87" spans="1:27" ht="14.5" customHeight="1" x14ac:dyDescent="0.35">
      <c r="A87" s="623"/>
      <c r="B87" s="325" t="s">
        <v>101</v>
      </c>
      <c r="C87" s="327">
        <v>227784960</v>
      </c>
      <c r="D87" s="222">
        <v>14</v>
      </c>
      <c r="E87" s="308">
        <v>11</v>
      </c>
      <c r="F87" s="169">
        <v>93918435.135399997</v>
      </c>
      <c r="G87" s="169"/>
      <c r="H87" s="327"/>
      <c r="I87" s="326">
        <f t="shared" si="89"/>
        <v>93918435.135399997</v>
      </c>
      <c r="J87" s="226">
        <f t="shared" si="84"/>
        <v>-133866524.8646</v>
      </c>
      <c r="K87" s="172">
        <f t="shared" si="85"/>
        <v>0.4123118362836598</v>
      </c>
      <c r="L87" s="369">
        <f t="shared" si="90"/>
        <v>0</v>
      </c>
      <c r="M87" s="186">
        <f t="shared" si="91"/>
        <v>0</v>
      </c>
      <c r="O87" s="608"/>
      <c r="P87" s="325" t="s">
        <v>101</v>
      </c>
      <c r="Q87" s="327">
        <v>212160000.00000003</v>
      </c>
      <c r="R87" s="222">
        <v>8</v>
      </c>
      <c r="S87" s="308">
        <v>8</v>
      </c>
      <c r="T87" s="169">
        <v>77029941.440799981</v>
      </c>
      <c r="U87" s="169">
        <v>8307882.8828999996</v>
      </c>
      <c r="V87" s="327"/>
      <c r="W87" s="326">
        <f t="shared" si="86"/>
        <v>68722058.557899982</v>
      </c>
      <c r="X87" s="226">
        <f t="shared" si="87"/>
        <v>-135130058.55920005</v>
      </c>
      <c r="Y87" s="172">
        <f>W87/Q87</f>
        <v>0.32391618852705489</v>
      </c>
      <c r="Z87" s="369">
        <f t="shared" si="92"/>
        <v>0</v>
      </c>
      <c r="AA87" s="186">
        <f t="shared" si="93"/>
        <v>0</v>
      </c>
    </row>
    <row r="88" spans="1:27" ht="14.5" customHeight="1" thickBot="1" x14ac:dyDescent="0.4">
      <c r="A88" s="623"/>
      <c r="B88" s="352" t="s">
        <v>77</v>
      </c>
      <c r="C88" s="329">
        <f t="shared" ref="C88:H88" si="94">SUM(C82:C87)</f>
        <v>876096000</v>
      </c>
      <c r="D88" s="178">
        <f t="shared" si="94"/>
        <v>54</v>
      </c>
      <c r="E88" s="178">
        <f t="shared" si="94"/>
        <v>42</v>
      </c>
      <c r="F88" s="329">
        <f t="shared" si="94"/>
        <v>293715332.88249999</v>
      </c>
      <c r="G88" s="330">
        <f t="shared" si="94"/>
        <v>1405405.4054</v>
      </c>
      <c r="H88" s="329">
        <f t="shared" si="94"/>
        <v>0</v>
      </c>
      <c r="I88" s="329">
        <f t="shared" si="89"/>
        <v>292309927.47710001</v>
      </c>
      <c r="J88" s="329">
        <f t="shared" si="84"/>
        <v>-583786072.52289999</v>
      </c>
      <c r="K88" s="305">
        <f>I88/C88</f>
        <v>0.33365056737743354</v>
      </c>
      <c r="L88" s="369" t="str">
        <f>IF(K88&gt;100%,"CAPAI 100%",IF(K88&gt;90%,"CAPAI 90%","BELUM CAPAI"))</f>
        <v>BELUM CAPAI</v>
      </c>
      <c r="M88" s="202">
        <f>SUM(M82:M87)</f>
        <v>0</v>
      </c>
      <c r="O88" s="609"/>
      <c r="P88" s="354" t="s">
        <v>77</v>
      </c>
      <c r="Q88" s="336">
        <f t="shared" ref="Q88:V88" si="95">SUM(Q82:Q87)</f>
        <v>848640000.00000012</v>
      </c>
      <c r="R88" s="207">
        <f>SUM(R82:R87)</f>
        <v>51</v>
      </c>
      <c r="S88" s="207">
        <f t="shared" si="95"/>
        <v>39</v>
      </c>
      <c r="T88" s="336">
        <f t="shared" si="95"/>
        <v>328253464.55789995</v>
      </c>
      <c r="U88" s="337">
        <f t="shared" si="95"/>
        <v>9965765.7657999992</v>
      </c>
      <c r="V88" s="336">
        <f t="shared" si="95"/>
        <v>0</v>
      </c>
      <c r="W88" s="336">
        <f t="shared" si="86"/>
        <v>318287698.79209995</v>
      </c>
      <c r="X88" s="336">
        <f>W88-Q88</f>
        <v>-530352301.20790017</v>
      </c>
      <c r="Y88" s="313">
        <f t="shared" si="88"/>
        <v>0.37505620615584923</v>
      </c>
      <c r="Z88" s="369" t="str">
        <f>IF(Y88&gt;100%,"CAPAI 100%",IF(Y88&gt;90%,"CAPAI 90%","BELUM CAPAI"))</f>
        <v>BELUM CAPAI</v>
      </c>
      <c r="AA88" s="202">
        <f>SUM(AA82:AA87)</f>
        <v>0</v>
      </c>
    </row>
    <row r="89" spans="1:27" ht="14.5" customHeight="1" x14ac:dyDescent="0.55000000000000004">
      <c r="B89" s="324" t="str">
        <f>$B$12</f>
        <v>TARGET Q2</v>
      </c>
      <c r="C89" s="243">
        <f>C90*C88</f>
        <v>788486400</v>
      </c>
      <c r="D89" s="597"/>
      <c r="E89" s="598"/>
      <c r="F89" s="598"/>
      <c r="G89" s="598"/>
      <c r="H89" s="599"/>
      <c r="I89" s="243">
        <f>I88</f>
        <v>292309927.47710001</v>
      </c>
      <c r="J89" s="243">
        <f>I89-C89</f>
        <v>-496176472.52289999</v>
      </c>
      <c r="K89" s="183">
        <f t="shared" si="85"/>
        <v>0.37072285264159283</v>
      </c>
      <c r="O89" s="309"/>
      <c r="P89" s="324" t="str">
        <f>$B$12</f>
        <v>TARGET Q2</v>
      </c>
      <c r="Q89" s="243">
        <f>Q90*Q88</f>
        <v>763776000.00000012</v>
      </c>
      <c r="R89" s="597"/>
      <c r="S89" s="598"/>
      <c r="T89" s="598"/>
      <c r="U89" s="598"/>
      <c r="V89" s="599"/>
      <c r="W89" s="243">
        <f>W88</f>
        <v>318287698.79209995</v>
      </c>
      <c r="X89" s="243">
        <f>W89-Q89</f>
        <v>-445488301.20790017</v>
      </c>
      <c r="Y89" s="183">
        <f>W89/Q89</f>
        <v>0.41672911795094358</v>
      </c>
      <c r="Z89" s="192"/>
    </row>
    <row r="90" spans="1:27" ht="24" thickBot="1" x14ac:dyDescent="0.6">
      <c r="C90" s="210">
        <v>0.9</v>
      </c>
      <c r="O90" s="309"/>
      <c r="Q90" s="210">
        <v>0.9</v>
      </c>
    </row>
    <row r="91" spans="1:27" ht="20.5" customHeight="1" x14ac:dyDescent="0.35">
      <c r="A91" s="624">
        <v>9</v>
      </c>
      <c r="B91" s="352" t="s">
        <v>57</v>
      </c>
      <c r="C91" s="353" t="s">
        <v>43</v>
      </c>
      <c r="D91" s="616" t="s">
        <v>91</v>
      </c>
      <c r="E91" s="616" t="s">
        <v>62</v>
      </c>
      <c r="F91" s="604" t="s">
        <v>119</v>
      </c>
      <c r="G91" s="605"/>
      <c r="H91" s="605"/>
      <c r="I91" s="606"/>
      <c r="J91" s="621" t="s">
        <v>65</v>
      </c>
      <c r="K91" s="352" t="s">
        <v>66</v>
      </c>
      <c r="O91" s="607">
        <v>9</v>
      </c>
      <c r="P91" s="354" t="s">
        <v>57</v>
      </c>
      <c r="Q91" s="355" t="s">
        <v>165</v>
      </c>
      <c r="R91" s="591" t="s">
        <v>91</v>
      </c>
      <c r="S91" s="591" t="s">
        <v>62</v>
      </c>
      <c r="T91" s="610" t="s">
        <v>119</v>
      </c>
      <c r="U91" s="611"/>
      <c r="V91" s="611"/>
      <c r="W91" s="612"/>
      <c r="X91" s="603" t="s">
        <v>65</v>
      </c>
      <c r="Y91" s="354" t="s">
        <v>66</v>
      </c>
    </row>
    <row r="92" spans="1:27" ht="33.65" customHeight="1" x14ac:dyDescent="0.35">
      <c r="A92" s="625"/>
      <c r="B92" s="352" t="s">
        <v>93</v>
      </c>
      <c r="C92" s="353" t="str">
        <f>C81</f>
        <v>TARGET 100%</v>
      </c>
      <c r="D92" s="617"/>
      <c r="E92" s="617"/>
      <c r="F92" s="163" t="str">
        <f>F4</f>
        <v>OMSET JUN
 (1-30)</v>
      </c>
      <c r="G92" s="163" t="str">
        <f>G4</f>
        <v>OMSET PRODUK</v>
      </c>
      <c r="H92" s="353" t="s">
        <v>63</v>
      </c>
      <c r="I92" s="353" t="s">
        <v>64</v>
      </c>
      <c r="J92" s="622"/>
      <c r="K92" s="164">
        <f>K81</f>
        <v>1</v>
      </c>
      <c r="O92" s="608"/>
      <c r="P92" s="354" t="s">
        <v>93</v>
      </c>
      <c r="Q92" s="355" t="str">
        <f>Q81</f>
        <v>TARGET 100%</v>
      </c>
      <c r="R92" s="592"/>
      <c r="S92" s="592"/>
      <c r="T92" s="200" t="str">
        <f>T15</f>
        <v>OMSET JUN
 (1-30)</v>
      </c>
      <c r="U92" s="200" t="str">
        <f>G4</f>
        <v>OMSET PRODUK</v>
      </c>
      <c r="V92" s="355" t="s">
        <v>63</v>
      </c>
      <c r="W92" s="355" t="s">
        <v>64</v>
      </c>
      <c r="X92" s="603"/>
      <c r="Y92" s="201">
        <f>K92</f>
        <v>1</v>
      </c>
    </row>
    <row r="93" spans="1:27" ht="14.5" customHeight="1" x14ac:dyDescent="0.35">
      <c r="A93" s="625"/>
      <c r="B93" s="325" t="s">
        <v>96</v>
      </c>
      <c r="C93" s="326">
        <v>194201280</v>
      </c>
      <c r="D93" s="222">
        <v>22</v>
      </c>
      <c r="E93" s="308">
        <v>19</v>
      </c>
      <c r="F93" s="169">
        <v>193224044.32399994</v>
      </c>
      <c r="G93" s="169">
        <v>2131351.3514</v>
      </c>
      <c r="H93" s="326"/>
      <c r="I93" s="326">
        <f t="shared" ref="I93:I99" si="96">F93-G93</f>
        <v>191092692.97259995</v>
      </c>
      <c r="J93" s="226">
        <f t="shared" ref="J93:J99" si="97">I93-C93</f>
        <v>-3108587.0274000466</v>
      </c>
      <c r="K93" s="172">
        <f t="shared" ref="K93:K100" si="98">I93/C93</f>
        <v>0.98399296324205465</v>
      </c>
      <c r="L93" s="369" t="str">
        <f>IF(K93&gt;120%,"0,55%",IF(K93&gt;100%,"0,45%",IF(K93&gt;80%,"0,35%",IF(K93&gt;60%,"0,2%",0))))</f>
        <v>0,35%</v>
      </c>
      <c r="M93" s="186">
        <f>L93*I93</f>
        <v>668824.42540409986</v>
      </c>
      <c r="O93" s="608"/>
      <c r="P93" s="325" t="s">
        <v>96</v>
      </c>
      <c r="Q93" s="326">
        <v>89856000</v>
      </c>
      <c r="R93" s="222">
        <v>13</v>
      </c>
      <c r="S93" s="308">
        <v>8</v>
      </c>
      <c r="T93" s="169">
        <v>51872578.828499988</v>
      </c>
      <c r="U93" s="169">
        <v>6829279.2792000007</v>
      </c>
      <c r="V93" s="326"/>
      <c r="W93" s="326">
        <f t="shared" ref="W93:W99" si="99">T93-U93</f>
        <v>45043299.549299985</v>
      </c>
      <c r="X93" s="226">
        <f t="shared" ref="X93:X98" si="100">T93-Q93</f>
        <v>-37983421.171500012</v>
      </c>
      <c r="Y93" s="172">
        <f t="shared" ref="Y93:Y99" si="101">W93/Q93</f>
        <v>0.50128315915798594</v>
      </c>
      <c r="Z93" s="369">
        <f>IF(Y93&gt;120%,"0,55%",IF(Y93&gt;100%,"0,45%",IF(Y93&gt;80%,"0,35%",IF(Y93&gt;60%,"0,2%",0))))</f>
        <v>0</v>
      </c>
      <c r="AA93" s="186">
        <f>Z93*W93</f>
        <v>0</v>
      </c>
    </row>
    <row r="94" spans="1:27" ht="14.5" customHeight="1" x14ac:dyDescent="0.35">
      <c r="A94" s="625"/>
      <c r="B94" s="325" t="s">
        <v>97</v>
      </c>
      <c r="C94" s="327">
        <v>157210560</v>
      </c>
      <c r="D94" s="222">
        <v>13</v>
      </c>
      <c r="E94" s="308">
        <v>12</v>
      </c>
      <c r="F94" s="169">
        <v>114751160.85519999</v>
      </c>
      <c r="G94" s="328">
        <v>702702.70279999997</v>
      </c>
      <c r="H94" s="327"/>
      <c r="I94" s="326">
        <f t="shared" si="96"/>
        <v>114048458.15239999</v>
      </c>
      <c r="J94" s="226">
        <f t="shared" si="97"/>
        <v>-43162101.847600013</v>
      </c>
      <c r="K94" s="172">
        <f t="shared" si="98"/>
        <v>0.72545036511796657</v>
      </c>
      <c r="L94" s="369" t="str">
        <f t="shared" ref="L94:L98" si="102">IF(K94&gt;120%,"0,55%",IF(K94&gt;100%,"0,45%",IF(K94&gt;80%,"0,35%",IF(K94&gt;60%,"0,2%",0))))</f>
        <v>0,2%</v>
      </c>
      <c r="M94" s="186">
        <f t="shared" ref="M94:M98" si="103">L94*I94</f>
        <v>228096.91630479999</v>
      </c>
      <c r="O94" s="608"/>
      <c r="P94" s="325" t="s">
        <v>97</v>
      </c>
      <c r="Q94" s="327">
        <v>323481600</v>
      </c>
      <c r="R94" s="222">
        <v>14</v>
      </c>
      <c r="S94" s="308">
        <v>14</v>
      </c>
      <c r="T94" s="169">
        <v>253679613.51320001</v>
      </c>
      <c r="U94" s="328">
        <v>3414189.1890999996</v>
      </c>
      <c r="V94" s="327"/>
      <c r="W94" s="326">
        <f t="shared" si="99"/>
        <v>250265424.32410002</v>
      </c>
      <c r="X94" s="226">
        <f t="shared" si="100"/>
        <v>-69801986.486799985</v>
      </c>
      <c r="Y94" s="172">
        <f t="shared" si="101"/>
        <v>0.77366200836183574</v>
      </c>
      <c r="Z94" s="369" t="str">
        <f t="shared" ref="Z94:Z98" si="104">IF(Y94&gt;120%,"0,55%",IF(Y94&gt;100%,"0,45%",IF(Y94&gt;80%,"0,35%",IF(Y94&gt;60%,"0,2%",0))))</f>
        <v>0,2%</v>
      </c>
      <c r="AA94" s="186">
        <f t="shared" ref="AA94:AA98" si="105">Z94*W94</f>
        <v>500530.84864820004</v>
      </c>
    </row>
    <row r="95" spans="1:27" ht="14.5" customHeight="1" x14ac:dyDescent="0.35">
      <c r="A95" s="625"/>
      <c r="B95" s="325" t="s">
        <v>98</v>
      </c>
      <c r="C95" s="327">
        <v>175705920</v>
      </c>
      <c r="D95" s="222">
        <v>18</v>
      </c>
      <c r="E95" s="308">
        <v>16</v>
      </c>
      <c r="F95" s="169">
        <v>172382667.41749996</v>
      </c>
      <c r="G95" s="169">
        <v>702702.70279999997</v>
      </c>
      <c r="H95" s="327"/>
      <c r="I95" s="326">
        <f>F95-G95</f>
        <v>171679964.71469995</v>
      </c>
      <c r="J95" s="226">
        <f t="shared" si="97"/>
        <v>-4025955.2853000462</v>
      </c>
      <c r="K95" s="172">
        <f t="shared" si="98"/>
        <v>0.97708696846810827</v>
      </c>
      <c r="L95" s="369" t="str">
        <f t="shared" si="102"/>
        <v>0,35%</v>
      </c>
      <c r="M95" s="186">
        <f t="shared" si="103"/>
        <v>600879.87650144985</v>
      </c>
      <c r="O95" s="608"/>
      <c r="P95" s="325" t="s">
        <v>98</v>
      </c>
      <c r="Q95" s="327">
        <v>125798400.00000001</v>
      </c>
      <c r="R95" s="222">
        <v>15</v>
      </c>
      <c r="S95" s="308">
        <v>12</v>
      </c>
      <c r="T95" s="169">
        <v>56169250.900700003</v>
      </c>
      <c r="U95" s="169">
        <v>3050000</v>
      </c>
      <c r="V95" s="327"/>
      <c r="W95" s="326">
        <f t="shared" si="99"/>
        <v>53119250.900700003</v>
      </c>
      <c r="X95" s="226">
        <f t="shared" si="100"/>
        <v>-69629149.099300012</v>
      </c>
      <c r="Y95" s="172">
        <f t="shared" si="101"/>
        <v>0.42225696750276631</v>
      </c>
      <c r="Z95" s="369">
        <f t="shared" si="104"/>
        <v>0</v>
      </c>
      <c r="AA95" s="186">
        <f t="shared" si="105"/>
        <v>0</v>
      </c>
    </row>
    <row r="96" spans="1:27" ht="14.5" customHeight="1" x14ac:dyDescent="0.35">
      <c r="A96" s="625"/>
      <c r="B96" s="325" t="s">
        <v>99</v>
      </c>
      <c r="C96" s="327">
        <v>157210560</v>
      </c>
      <c r="D96" s="222">
        <v>16</v>
      </c>
      <c r="E96" s="308">
        <v>15</v>
      </c>
      <c r="F96" s="169">
        <v>100212273.33319999</v>
      </c>
      <c r="G96" s="169">
        <v>351351.35139999999</v>
      </c>
      <c r="H96" s="327"/>
      <c r="I96" s="326">
        <f>F96-G96</f>
        <v>99860921.98179999</v>
      </c>
      <c r="J96" s="226">
        <f t="shared" si="97"/>
        <v>-57349638.01820001</v>
      </c>
      <c r="K96" s="172">
        <f t="shared" si="98"/>
        <v>0.63520492504956405</v>
      </c>
      <c r="L96" s="369" t="str">
        <f t="shared" si="102"/>
        <v>0,2%</v>
      </c>
      <c r="M96" s="186">
        <f t="shared" si="103"/>
        <v>199721.8439636</v>
      </c>
      <c r="O96" s="608"/>
      <c r="P96" s="325" t="s">
        <v>99</v>
      </c>
      <c r="Q96" s="327">
        <v>107827200</v>
      </c>
      <c r="R96" s="222">
        <v>12</v>
      </c>
      <c r="S96" s="308">
        <v>9</v>
      </c>
      <c r="T96" s="169">
        <v>56008873.874099992</v>
      </c>
      <c r="U96" s="169">
        <v>1875000</v>
      </c>
      <c r="V96" s="327"/>
      <c r="W96" s="326">
        <f t="shared" si="99"/>
        <v>54133873.874099992</v>
      </c>
      <c r="X96" s="226">
        <f t="shared" si="100"/>
        <v>-51818326.125900008</v>
      </c>
      <c r="Y96" s="172">
        <f t="shared" si="101"/>
        <v>0.50204284145466072</v>
      </c>
      <c r="Z96" s="369">
        <f t="shared" si="104"/>
        <v>0</v>
      </c>
      <c r="AA96" s="186">
        <f t="shared" si="105"/>
        <v>0</v>
      </c>
    </row>
    <row r="97" spans="1:27" ht="14.5" customHeight="1" x14ac:dyDescent="0.35">
      <c r="A97" s="625"/>
      <c r="B97" s="325" t="s">
        <v>100</v>
      </c>
      <c r="C97" s="327">
        <v>110972160</v>
      </c>
      <c r="D97" s="222">
        <v>16</v>
      </c>
      <c r="E97" s="308">
        <v>13</v>
      </c>
      <c r="F97" s="169">
        <v>122652931.19930002</v>
      </c>
      <c r="G97" s="169">
        <v>2675675.6757</v>
      </c>
      <c r="H97" s="327"/>
      <c r="I97" s="326">
        <f t="shared" si="96"/>
        <v>119977255.52360003</v>
      </c>
      <c r="J97" s="226">
        <f t="shared" si="97"/>
        <v>9005095.523600027</v>
      </c>
      <c r="K97" s="172">
        <f t="shared" si="98"/>
        <v>1.0811473393290716</v>
      </c>
      <c r="L97" s="369" t="str">
        <f t="shared" si="102"/>
        <v>0,45%</v>
      </c>
      <c r="M97" s="186">
        <f t="shared" si="103"/>
        <v>539897.64985620009</v>
      </c>
      <c r="O97" s="608"/>
      <c r="P97" s="325" t="s">
        <v>100</v>
      </c>
      <c r="Q97" s="327">
        <v>116812800</v>
      </c>
      <c r="R97" s="222">
        <v>8</v>
      </c>
      <c r="S97" s="308">
        <v>6</v>
      </c>
      <c r="T97" s="169">
        <v>53723572.071799949</v>
      </c>
      <c r="U97" s="169">
        <v>1125000</v>
      </c>
      <c r="V97" s="327"/>
      <c r="W97" s="326">
        <f t="shared" si="99"/>
        <v>52598572.071799949</v>
      </c>
      <c r="X97" s="226">
        <f t="shared" si="100"/>
        <v>-63089227.928200051</v>
      </c>
      <c r="Y97" s="172">
        <f t="shared" si="101"/>
        <v>0.45028089448930209</v>
      </c>
      <c r="Z97" s="369">
        <f t="shared" si="104"/>
        <v>0</v>
      </c>
      <c r="AA97" s="186">
        <f t="shared" si="105"/>
        <v>0</v>
      </c>
    </row>
    <row r="98" spans="1:27" ht="14.5" customHeight="1" x14ac:dyDescent="0.35">
      <c r="A98" s="625"/>
      <c r="B98" s="325" t="s">
        <v>101</v>
      </c>
      <c r="C98" s="327">
        <v>129467520.00000001</v>
      </c>
      <c r="D98" s="222">
        <v>11</v>
      </c>
      <c r="E98" s="308">
        <v>10</v>
      </c>
      <c r="F98" s="169">
        <v>141367110.97279996</v>
      </c>
      <c r="G98" s="169">
        <v>1000000</v>
      </c>
      <c r="H98" s="327"/>
      <c r="I98" s="326">
        <f t="shared" si="96"/>
        <v>140367110.97279996</v>
      </c>
      <c r="J98" s="226">
        <f t="shared" si="97"/>
        <v>10899590.972799942</v>
      </c>
      <c r="K98" s="172">
        <f t="shared" si="98"/>
        <v>1.0841878408793182</v>
      </c>
      <c r="L98" s="369" t="str">
        <f t="shared" si="102"/>
        <v>0,45%</v>
      </c>
      <c r="M98" s="186">
        <f t="shared" si="103"/>
        <v>631651.9993775998</v>
      </c>
      <c r="O98" s="608"/>
      <c r="P98" s="325" t="s">
        <v>101</v>
      </c>
      <c r="Q98" s="327">
        <v>134784000</v>
      </c>
      <c r="R98" s="222">
        <v>9</v>
      </c>
      <c r="S98" s="308">
        <v>8</v>
      </c>
      <c r="T98" s="169">
        <v>78259990.990499988</v>
      </c>
      <c r="U98" s="169">
        <v>375000</v>
      </c>
      <c r="V98" s="327"/>
      <c r="W98" s="326">
        <f t="shared" si="99"/>
        <v>77884990.990499988</v>
      </c>
      <c r="X98" s="226">
        <f t="shared" si="100"/>
        <v>-56524009.009500012</v>
      </c>
      <c r="Y98" s="172">
        <f t="shared" si="101"/>
        <v>0.57785041986066588</v>
      </c>
      <c r="Z98" s="369">
        <f t="shared" si="104"/>
        <v>0</v>
      </c>
      <c r="AA98" s="186">
        <f t="shared" si="105"/>
        <v>0</v>
      </c>
    </row>
    <row r="99" spans="1:27" s="187" customFormat="1" ht="14.5" customHeight="1" thickBot="1" x14ac:dyDescent="0.4">
      <c r="A99" s="625"/>
      <c r="B99" s="352" t="s">
        <v>77</v>
      </c>
      <c r="C99" s="329">
        <f t="shared" ref="C99:H99" si="106">SUM(C93:C98)</f>
        <v>924768000</v>
      </c>
      <c r="D99" s="178">
        <f t="shared" si="106"/>
        <v>96</v>
      </c>
      <c r="E99" s="178">
        <f t="shared" si="106"/>
        <v>85</v>
      </c>
      <c r="F99" s="329">
        <f t="shared" si="106"/>
        <v>844590188.102</v>
      </c>
      <c r="G99" s="330">
        <f t="shared" si="106"/>
        <v>7563783.7840999998</v>
      </c>
      <c r="H99" s="329">
        <f t="shared" si="106"/>
        <v>0</v>
      </c>
      <c r="I99" s="329">
        <f t="shared" si="96"/>
        <v>837026404.31789994</v>
      </c>
      <c r="J99" s="329">
        <f t="shared" si="97"/>
        <v>-87741595.682100058</v>
      </c>
      <c r="K99" s="305">
        <f t="shared" si="98"/>
        <v>0.90512042406084547</v>
      </c>
      <c r="L99" s="369" t="str">
        <f>IF(K99&gt;100%,"CAPAI 100%",IF(K99&gt;90%,"CAPAI 90%","BELUM CAPAI"))</f>
        <v>CAPAI 90%</v>
      </c>
      <c r="M99" s="202">
        <f>SUM(M93:M98)</f>
        <v>2869072.7114077499</v>
      </c>
      <c r="O99" s="609"/>
      <c r="P99" s="354" t="s">
        <v>77</v>
      </c>
      <c r="Q99" s="336">
        <f t="shared" ref="Q99:V99" si="107">SUM(Q93:Q98)</f>
        <v>898560000</v>
      </c>
      <c r="R99" s="207">
        <f t="shared" si="107"/>
        <v>71</v>
      </c>
      <c r="S99" s="207">
        <f>SUM(S93:S98)</f>
        <v>57</v>
      </c>
      <c r="T99" s="336">
        <f t="shared" si="107"/>
        <v>549713880.17879999</v>
      </c>
      <c r="U99" s="337">
        <f t="shared" si="107"/>
        <v>16668468.4683</v>
      </c>
      <c r="V99" s="336">
        <f t="shared" si="107"/>
        <v>0</v>
      </c>
      <c r="W99" s="336">
        <f t="shared" si="99"/>
        <v>533045411.7105</v>
      </c>
      <c r="X99" s="336">
        <f>W99-Q99</f>
        <v>-365514588.2895</v>
      </c>
      <c r="Y99" s="313">
        <f t="shared" si="101"/>
        <v>0.59322183461371525</v>
      </c>
      <c r="Z99" s="369" t="str">
        <f>IF(Y99&gt;100%,"CAPAI 100%",IF(Y99&gt;90%,"CAPAI 90%","BELUM CAPAI"))</f>
        <v>BELUM CAPAI</v>
      </c>
      <c r="AA99" s="202">
        <f>SUM(AA93:AA98)</f>
        <v>500530.84864820004</v>
      </c>
    </row>
    <row r="100" spans="1:27" ht="15" customHeight="1" x14ac:dyDescent="0.55000000000000004">
      <c r="A100" s="219"/>
      <c r="B100" s="324" t="str">
        <f>$B$12</f>
        <v>TARGET Q2</v>
      </c>
      <c r="C100" s="243">
        <f>C101*C99</f>
        <v>832291200</v>
      </c>
      <c r="D100" s="597"/>
      <c r="E100" s="598"/>
      <c r="F100" s="598"/>
      <c r="G100" s="598"/>
      <c r="H100" s="599"/>
      <c r="I100" s="243">
        <f>I99</f>
        <v>837026404.31789994</v>
      </c>
      <c r="J100" s="243">
        <f>I100-C100</f>
        <v>4735204.3178999424</v>
      </c>
      <c r="K100" s="183">
        <f t="shared" si="98"/>
        <v>1.005689360067606</v>
      </c>
      <c r="O100" s="309"/>
      <c r="P100" s="324" t="str">
        <f>$B$12</f>
        <v>TARGET Q2</v>
      </c>
      <c r="Q100" s="243">
        <f>Q101*Q99</f>
        <v>808704000</v>
      </c>
      <c r="R100" s="597"/>
      <c r="S100" s="598"/>
      <c r="T100" s="598"/>
      <c r="U100" s="598"/>
      <c r="V100" s="599"/>
      <c r="W100" s="243">
        <f>W99</f>
        <v>533045411.7105</v>
      </c>
      <c r="X100" s="243">
        <f>W100-Q100</f>
        <v>-275658588.2895</v>
      </c>
      <c r="Y100" s="183">
        <f>W100/Q100</f>
        <v>0.65913537179301696</v>
      </c>
      <c r="Z100" s="192"/>
    </row>
    <row r="101" spans="1:27" ht="24" thickBot="1" x14ac:dyDescent="0.6">
      <c r="C101" s="210">
        <v>0.9</v>
      </c>
      <c r="O101" s="309"/>
      <c r="Q101" s="210">
        <v>0.9</v>
      </c>
    </row>
    <row r="102" spans="1:27" ht="17.149999999999999" customHeight="1" x14ac:dyDescent="0.35">
      <c r="A102" s="623">
        <v>10</v>
      </c>
      <c r="B102" s="352" t="s">
        <v>57</v>
      </c>
      <c r="C102" s="353" t="s">
        <v>37</v>
      </c>
      <c r="D102" s="616" t="s">
        <v>91</v>
      </c>
      <c r="E102" s="616" t="s">
        <v>62</v>
      </c>
      <c r="F102" s="604" t="s">
        <v>121</v>
      </c>
      <c r="G102" s="605"/>
      <c r="H102" s="605"/>
      <c r="I102" s="606"/>
      <c r="J102" s="587" t="s">
        <v>65</v>
      </c>
      <c r="K102" s="352" t="s">
        <v>66</v>
      </c>
      <c r="O102" s="613">
        <v>10</v>
      </c>
      <c r="P102" s="354" t="s">
        <v>57</v>
      </c>
      <c r="Q102" s="355" t="s">
        <v>122</v>
      </c>
      <c r="R102" s="591" t="s">
        <v>91</v>
      </c>
      <c r="S102" s="591" t="s">
        <v>62</v>
      </c>
      <c r="T102" s="610" t="s">
        <v>121</v>
      </c>
      <c r="U102" s="611"/>
      <c r="V102" s="611"/>
      <c r="W102" s="612"/>
      <c r="X102" s="595" t="s">
        <v>65</v>
      </c>
      <c r="Y102" s="354" t="s">
        <v>66</v>
      </c>
    </row>
    <row r="103" spans="1:27" ht="37.5" customHeight="1" x14ac:dyDescent="0.35">
      <c r="A103" s="623"/>
      <c r="B103" s="352" t="s">
        <v>93</v>
      </c>
      <c r="C103" s="353" t="str">
        <f>C92</f>
        <v>TARGET 100%</v>
      </c>
      <c r="D103" s="617"/>
      <c r="E103" s="617"/>
      <c r="F103" s="163" t="str">
        <f>F4</f>
        <v>OMSET JUN
 (1-30)</v>
      </c>
      <c r="G103" s="163" t="str">
        <f>G4</f>
        <v>OMSET PRODUK</v>
      </c>
      <c r="H103" s="353" t="s">
        <v>63</v>
      </c>
      <c r="I103" s="353" t="s">
        <v>64</v>
      </c>
      <c r="J103" s="587"/>
      <c r="K103" s="164">
        <f>K92</f>
        <v>1</v>
      </c>
      <c r="O103" s="614"/>
      <c r="P103" s="354" t="s">
        <v>93</v>
      </c>
      <c r="Q103" s="355" t="str">
        <f>Q92</f>
        <v>TARGET 100%</v>
      </c>
      <c r="R103" s="592"/>
      <c r="S103" s="592"/>
      <c r="T103" s="200" t="str">
        <f>T4</f>
        <v>OMSET JUN
 (1-30)</v>
      </c>
      <c r="U103" s="200" t="str">
        <f>G4</f>
        <v>OMSET PRODUK</v>
      </c>
      <c r="V103" s="355" t="s">
        <v>63</v>
      </c>
      <c r="W103" s="355" t="s">
        <v>64</v>
      </c>
      <c r="X103" s="596"/>
      <c r="Y103" s="201">
        <f>K103</f>
        <v>1</v>
      </c>
    </row>
    <row r="104" spans="1:27" ht="14.5" customHeight="1" x14ac:dyDescent="0.35">
      <c r="A104" s="623"/>
      <c r="B104" s="325" t="s">
        <v>96</v>
      </c>
      <c r="C104" s="326">
        <v>369907200</v>
      </c>
      <c r="D104" s="222">
        <v>26</v>
      </c>
      <c r="E104" s="308">
        <v>22</v>
      </c>
      <c r="F104" s="169">
        <v>245031519.64010006</v>
      </c>
      <c r="G104" s="169">
        <v>684684.68469999998</v>
      </c>
      <c r="H104" s="326"/>
      <c r="I104" s="326">
        <f t="shared" ref="I104:I110" si="108">F104-G104</f>
        <v>244346834.95540005</v>
      </c>
      <c r="J104" s="226">
        <f t="shared" ref="J104:J110" si="109">I104-C104</f>
        <v>-125560365.04459995</v>
      </c>
      <c r="K104" s="172">
        <f>I104/C104</f>
        <v>0.66056252745391286</v>
      </c>
      <c r="L104" s="369" t="str">
        <f>IF(K104&gt;120%,"0,55%",IF(K104&gt;100%,"0,45%",IF(K104&gt;80%,"0,35%",IF(K104&gt;60%,"0,2%",0))))</f>
        <v>0,2%</v>
      </c>
      <c r="M104" s="186">
        <f>L104*I104</f>
        <v>488693.66991080012</v>
      </c>
      <c r="O104" s="614"/>
      <c r="P104" s="325" t="s">
        <v>96</v>
      </c>
      <c r="Q104" s="326">
        <v>123302400</v>
      </c>
      <c r="R104" s="222">
        <v>11</v>
      </c>
      <c r="S104" s="308">
        <v>12</v>
      </c>
      <c r="T104" s="169">
        <v>54546955.856000014</v>
      </c>
      <c r="U104" s="169">
        <v>1402027.027</v>
      </c>
      <c r="V104" s="326"/>
      <c r="W104" s="326">
        <f t="shared" ref="W104:W110" si="110">T104-U104</f>
        <v>53144928.829000011</v>
      </c>
      <c r="X104" s="226">
        <f t="shared" ref="X104:X109" si="111">T104-Q104</f>
        <v>-68755444.143999994</v>
      </c>
      <c r="Y104" s="172">
        <f t="shared" ref="Y104:Y111" si="112">W104/Q104</f>
        <v>0.4310129310459489</v>
      </c>
      <c r="Z104" s="369">
        <f>IF(Y104&gt;120%,"0,55%",IF(Y104&gt;100%,"0,45%",IF(Y104&gt;80%,"0,35%",IF(Y104&gt;60%,"0,2%",0))))</f>
        <v>0</v>
      </c>
      <c r="AA104" s="186">
        <f>Z104*W104</f>
        <v>0</v>
      </c>
    </row>
    <row r="105" spans="1:27" ht="14.5" customHeight="1" x14ac:dyDescent="0.35">
      <c r="A105" s="623"/>
      <c r="B105" s="325" t="s">
        <v>97</v>
      </c>
      <c r="C105" s="327">
        <v>0</v>
      </c>
      <c r="D105" s="222"/>
      <c r="E105" s="308"/>
      <c r="F105" s="169"/>
      <c r="G105" s="328"/>
      <c r="H105" s="327"/>
      <c r="I105" s="326">
        <f t="shared" si="108"/>
        <v>0</v>
      </c>
      <c r="J105" s="226">
        <f t="shared" si="109"/>
        <v>0</v>
      </c>
      <c r="K105" s="172">
        <v>0</v>
      </c>
      <c r="L105" s="369">
        <f t="shared" ref="L105:L106" si="113">IF(K105&gt;120%,"0,55%",IF(K105&gt;100%,"0,45%",IF(K105&gt;80%,"0,35%",IF(K105&gt;60%,"0,2%",0))))</f>
        <v>0</v>
      </c>
      <c r="M105" s="186">
        <f t="shared" ref="M105:M106" si="114">L105*I105</f>
        <v>0</v>
      </c>
      <c r="O105" s="614"/>
      <c r="P105" s="325" t="s">
        <v>97</v>
      </c>
      <c r="Q105" s="327">
        <v>426816000</v>
      </c>
      <c r="R105" s="222">
        <v>25</v>
      </c>
      <c r="S105" s="308">
        <v>23</v>
      </c>
      <c r="T105" s="169">
        <v>345536401.35049999</v>
      </c>
      <c r="U105" s="328">
        <v>20130666.666499998</v>
      </c>
      <c r="V105" s="327"/>
      <c r="W105" s="326">
        <f>T105-U105</f>
        <v>325405734.68400002</v>
      </c>
      <c r="X105" s="226">
        <f>T105-Q105</f>
        <v>-81279598.649500012</v>
      </c>
      <c r="Y105" s="172">
        <f t="shared" si="112"/>
        <v>0.76240284966824112</v>
      </c>
      <c r="Z105" s="369" t="str">
        <f t="shared" ref="Z105:Z109" si="115">IF(Y105&gt;120%,"0,55%",IF(Y105&gt;100%,"0,45%",IF(Y105&gt;80%,"0,35%",IF(Y105&gt;60%,"0,2%",0))))</f>
        <v>0,2%</v>
      </c>
      <c r="AA105" s="186">
        <f t="shared" ref="AA105:AA109" si="116">Z105*W105</f>
        <v>650811.46936800005</v>
      </c>
    </row>
    <row r="106" spans="1:27" ht="14.5" customHeight="1" x14ac:dyDescent="0.35">
      <c r="A106" s="623"/>
      <c r="B106" s="325" t="s">
        <v>98</v>
      </c>
      <c r="C106" s="327">
        <v>138715200</v>
      </c>
      <c r="D106" s="222">
        <v>11</v>
      </c>
      <c r="E106" s="308">
        <v>10</v>
      </c>
      <c r="F106" s="169">
        <v>23277999.891900007</v>
      </c>
      <c r="G106" s="169">
        <v>278018.01809999993</v>
      </c>
      <c r="H106" s="327"/>
      <c r="I106" s="326">
        <f t="shared" si="108"/>
        <v>22999981.873800006</v>
      </c>
      <c r="J106" s="226">
        <f t="shared" si="109"/>
        <v>-115715218.12619999</v>
      </c>
      <c r="K106" s="172">
        <f t="shared" ref="K106:K109" si="117">I106/C106</f>
        <v>0.16580722137011666</v>
      </c>
      <c r="L106" s="369">
        <f t="shared" si="113"/>
        <v>0</v>
      </c>
      <c r="M106" s="186">
        <f t="shared" si="114"/>
        <v>0</v>
      </c>
      <c r="O106" s="614"/>
      <c r="P106" s="325" t="s">
        <v>98</v>
      </c>
      <c r="Q106" s="327">
        <v>0</v>
      </c>
      <c r="R106" s="222"/>
      <c r="S106" s="308"/>
      <c r="T106" s="169"/>
      <c r="U106" s="169"/>
      <c r="V106" s="327"/>
      <c r="W106" s="326">
        <f t="shared" si="110"/>
        <v>0</v>
      </c>
      <c r="X106" s="226">
        <f t="shared" si="111"/>
        <v>0</v>
      </c>
      <c r="Y106" s="172">
        <v>0</v>
      </c>
      <c r="Z106" s="369">
        <f t="shared" si="115"/>
        <v>0</v>
      </c>
      <c r="AA106" s="186">
        <f t="shared" si="116"/>
        <v>0</v>
      </c>
    </row>
    <row r="107" spans="1:27" ht="14.5" customHeight="1" x14ac:dyDescent="0.35">
      <c r="A107" s="623"/>
      <c r="B107" s="325" t="s">
        <v>99</v>
      </c>
      <c r="C107" s="327">
        <v>138715200</v>
      </c>
      <c r="D107" s="222">
        <v>8</v>
      </c>
      <c r="E107" s="308">
        <v>7</v>
      </c>
      <c r="F107" s="169">
        <v>109944476.57649998</v>
      </c>
      <c r="G107" s="169">
        <v>1621621.6216</v>
      </c>
      <c r="H107" s="327"/>
      <c r="I107" s="326">
        <f t="shared" si="108"/>
        <v>108322854.95489998</v>
      </c>
      <c r="J107" s="226">
        <f t="shared" si="109"/>
        <v>-30392345.045100018</v>
      </c>
      <c r="K107" s="172">
        <f t="shared" si="117"/>
        <v>0.78090111937913065</v>
      </c>
      <c r="L107" s="369" t="str">
        <f t="shared" ref="L107:L109" si="118">IF(K107&gt;120%,"0,55%",IF(K107&gt;100%,"0,45%",IF(K107&gt;80%,"0,35%",IF(K107&gt;60%,"0,2%",0))))</f>
        <v>0,2%</v>
      </c>
      <c r="M107" s="186">
        <f t="shared" ref="M107:M109" si="119">L107*I107</f>
        <v>216645.70990979997</v>
      </c>
      <c r="O107" s="614"/>
      <c r="P107" s="325" t="s">
        <v>99</v>
      </c>
      <c r="Q107" s="327">
        <v>151756800</v>
      </c>
      <c r="R107" s="222">
        <v>20</v>
      </c>
      <c r="S107" s="308">
        <v>15</v>
      </c>
      <c r="T107" s="169">
        <v>60061391.891800009</v>
      </c>
      <c r="U107" s="169">
        <v>1081081.081</v>
      </c>
      <c r="V107" s="327"/>
      <c r="W107" s="326">
        <f t="shared" si="110"/>
        <v>58980310.810800008</v>
      </c>
      <c r="X107" s="226">
        <f t="shared" si="111"/>
        <v>-91695408.108199984</v>
      </c>
      <c r="Y107" s="172">
        <f t="shared" si="112"/>
        <v>0.38865020091883862</v>
      </c>
      <c r="Z107" s="369">
        <f t="shared" si="115"/>
        <v>0</v>
      </c>
      <c r="AA107" s="186">
        <f t="shared" si="116"/>
        <v>0</v>
      </c>
    </row>
    <row r="108" spans="1:27" ht="14.5" customHeight="1" x14ac:dyDescent="0.35">
      <c r="A108" s="623"/>
      <c r="B108" s="325" t="s">
        <v>100</v>
      </c>
      <c r="C108" s="327">
        <v>129467520.00000001</v>
      </c>
      <c r="D108" s="222">
        <v>7</v>
      </c>
      <c r="E108" s="308">
        <v>6</v>
      </c>
      <c r="F108" s="169">
        <v>23028909.909499999</v>
      </c>
      <c r="G108" s="169">
        <v>648648.64859999996</v>
      </c>
      <c r="H108" s="327"/>
      <c r="I108" s="326">
        <f t="shared" si="108"/>
        <v>22380261.260899998</v>
      </c>
      <c r="J108" s="226">
        <f t="shared" si="109"/>
        <v>-107087258.73910001</v>
      </c>
      <c r="K108" s="172">
        <f t="shared" si="117"/>
        <v>0.1728639064137476</v>
      </c>
      <c r="L108" s="369">
        <f t="shared" si="118"/>
        <v>0</v>
      </c>
      <c r="M108" s="186">
        <f t="shared" si="119"/>
        <v>0</v>
      </c>
      <c r="O108" s="614"/>
      <c r="P108" s="325" t="s">
        <v>100</v>
      </c>
      <c r="Q108" s="327">
        <v>132787200.00000001</v>
      </c>
      <c r="R108" s="222">
        <v>8</v>
      </c>
      <c r="S108" s="308">
        <v>7</v>
      </c>
      <c r="T108" s="169">
        <v>35874704</v>
      </c>
      <c r="U108" s="169">
        <v>2270270.2702000001</v>
      </c>
      <c r="V108" s="327"/>
      <c r="W108" s="326">
        <f t="shared" si="110"/>
        <v>33604433.729800001</v>
      </c>
      <c r="X108" s="226">
        <f t="shared" si="111"/>
        <v>-96912496.000000015</v>
      </c>
      <c r="Y108" s="172">
        <f t="shared" si="112"/>
        <v>0.25306982698482983</v>
      </c>
      <c r="Z108" s="369">
        <f t="shared" si="115"/>
        <v>0</v>
      </c>
      <c r="AA108" s="186">
        <f t="shared" si="116"/>
        <v>0</v>
      </c>
    </row>
    <row r="109" spans="1:27" ht="14.5" customHeight="1" x14ac:dyDescent="0.35">
      <c r="A109" s="623"/>
      <c r="B109" s="325" t="s">
        <v>101</v>
      </c>
      <c r="C109" s="327">
        <v>147962880</v>
      </c>
      <c r="D109" s="222">
        <v>19</v>
      </c>
      <c r="E109" s="308">
        <v>15</v>
      </c>
      <c r="F109" s="169">
        <v>94528412.198000014</v>
      </c>
      <c r="G109" s="169">
        <v>1648648.6486</v>
      </c>
      <c r="H109" s="327"/>
      <c r="I109" s="326">
        <f t="shared" si="108"/>
        <v>92879763.549400017</v>
      </c>
      <c r="J109" s="226">
        <f t="shared" si="109"/>
        <v>-55083116.450599983</v>
      </c>
      <c r="K109" s="172">
        <f t="shared" si="117"/>
        <v>0.6277234097457417</v>
      </c>
      <c r="L109" s="369" t="str">
        <f t="shared" si="118"/>
        <v>0,2%</v>
      </c>
      <c r="M109" s="186">
        <f t="shared" si="119"/>
        <v>185759.52709880003</v>
      </c>
      <c r="O109" s="614"/>
      <c r="P109" s="325" t="s">
        <v>101</v>
      </c>
      <c r="Q109" s="327">
        <v>113817600</v>
      </c>
      <c r="R109" s="222">
        <v>10</v>
      </c>
      <c r="S109" s="308">
        <v>11</v>
      </c>
      <c r="T109" s="169">
        <v>55786403.152899995</v>
      </c>
      <c r="U109" s="169">
        <v>2887162.1619999995</v>
      </c>
      <c r="V109" s="327"/>
      <c r="W109" s="326">
        <f t="shared" si="110"/>
        <v>52899240.990899995</v>
      </c>
      <c r="X109" s="226">
        <f t="shared" si="111"/>
        <v>-58031196.847100005</v>
      </c>
      <c r="Y109" s="172">
        <f t="shared" si="112"/>
        <v>0.46477206504881491</v>
      </c>
      <c r="Z109" s="369">
        <f t="shared" si="115"/>
        <v>0</v>
      </c>
      <c r="AA109" s="186">
        <f t="shared" si="116"/>
        <v>0</v>
      </c>
    </row>
    <row r="110" spans="1:27" ht="14.5" customHeight="1" thickBot="1" x14ac:dyDescent="0.4">
      <c r="A110" s="623"/>
      <c r="B110" s="352" t="s">
        <v>77</v>
      </c>
      <c r="C110" s="329">
        <f t="shared" ref="C110:H110" si="120">SUM(C104:C109)</f>
        <v>924768000</v>
      </c>
      <c r="D110" s="178">
        <f t="shared" si="120"/>
        <v>71</v>
      </c>
      <c r="E110" s="178">
        <f t="shared" si="120"/>
        <v>60</v>
      </c>
      <c r="F110" s="329">
        <f t="shared" si="120"/>
        <v>495811318.21600008</v>
      </c>
      <c r="G110" s="330">
        <f t="shared" si="120"/>
        <v>4881621.6216000002</v>
      </c>
      <c r="H110" s="329">
        <f t="shared" si="120"/>
        <v>0</v>
      </c>
      <c r="I110" s="329">
        <f t="shared" si="108"/>
        <v>490929696.59440011</v>
      </c>
      <c r="J110" s="329">
        <f t="shared" si="109"/>
        <v>-433838303.40559989</v>
      </c>
      <c r="K110" s="305">
        <f>I110/C110</f>
        <v>0.53086795455119562</v>
      </c>
      <c r="L110" s="369" t="str">
        <f>IF(K110&gt;100%,"CAPAI 100%",IF(K110&gt;90%,"CAPAI 90%","BELUM CAPAI"))</f>
        <v>BELUM CAPAI</v>
      </c>
      <c r="M110" s="202">
        <f>SUM(M104:M109)</f>
        <v>891098.90691940021</v>
      </c>
      <c r="O110" s="615"/>
      <c r="P110" s="354" t="s">
        <v>77</v>
      </c>
      <c r="Q110" s="336">
        <f t="shared" ref="Q110:V110" si="121">SUM(Q104:Q109)</f>
        <v>948480000</v>
      </c>
      <c r="R110" s="207">
        <f t="shared" si="121"/>
        <v>74</v>
      </c>
      <c r="S110" s="207">
        <f t="shared" si="121"/>
        <v>68</v>
      </c>
      <c r="T110" s="336">
        <f t="shared" si="121"/>
        <v>551805856.25119996</v>
      </c>
      <c r="U110" s="337">
        <f t="shared" si="121"/>
        <v>27771207.206699997</v>
      </c>
      <c r="V110" s="336">
        <f t="shared" si="121"/>
        <v>0</v>
      </c>
      <c r="W110" s="336">
        <f t="shared" si="110"/>
        <v>524034649.04449999</v>
      </c>
      <c r="X110" s="336">
        <f>W110-Q110</f>
        <v>-424445350.95550001</v>
      </c>
      <c r="Y110" s="313">
        <f t="shared" si="112"/>
        <v>0.55249941911742995</v>
      </c>
      <c r="Z110" s="369" t="str">
        <f>IF(Y110&gt;100%,"CAPAI 100%",IF(Y110&gt;90%,"CAPAI 90%","BELUM CAPAI"))</f>
        <v>BELUM CAPAI</v>
      </c>
      <c r="AA110" s="202">
        <f>SUM(AA104:AA109)</f>
        <v>650811.46936800005</v>
      </c>
    </row>
    <row r="111" spans="1:27" ht="14.5" customHeight="1" x14ac:dyDescent="0.35">
      <c r="B111" s="324" t="str">
        <f>$B$12</f>
        <v>TARGET Q2</v>
      </c>
      <c r="C111" s="243">
        <f>C112*C110</f>
        <v>832291200</v>
      </c>
      <c r="D111" s="597"/>
      <c r="E111" s="598"/>
      <c r="F111" s="598"/>
      <c r="G111" s="598"/>
      <c r="H111" s="599"/>
      <c r="I111" s="243">
        <f>I110</f>
        <v>490929696.59440011</v>
      </c>
      <c r="J111" s="243">
        <f>I111-C111</f>
        <v>-341361503.40559989</v>
      </c>
      <c r="K111" s="183">
        <f>I111/C111</f>
        <v>0.58985328283466187</v>
      </c>
      <c r="P111" s="324" t="str">
        <f>$B$12</f>
        <v>TARGET Q2</v>
      </c>
      <c r="Q111" s="243">
        <f>Q112*Q110</f>
        <v>853632000</v>
      </c>
      <c r="R111" s="597"/>
      <c r="S111" s="598"/>
      <c r="T111" s="598"/>
      <c r="U111" s="598"/>
      <c r="V111" s="599"/>
      <c r="W111" s="243">
        <f>W110</f>
        <v>524034649.04449999</v>
      </c>
      <c r="X111" s="243">
        <f>W111-Q111</f>
        <v>-329597350.95550001</v>
      </c>
      <c r="Y111" s="183">
        <f t="shared" si="112"/>
        <v>0.6138882434638111</v>
      </c>
      <c r="Z111" s="192"/>
    </row>
    <row r="112" spans="1:27" ht="14.5" customHeight="1" x14ac:dyDescent="0.35">
      <c r="C112" s="210">
        <v>0.9</v>
      </c>
      <c r="Q112" s="210">
        <v>0.9</v>
      </c>
    </row>
    <row r="113" spans="2:28" x14ac:dyDescent="0.35">
      <c r="C113" s="210"/>
    </row>
    <row r="114" spans="2:28" s="290" customFormat="1" ht="14.5" customHeight="1" x14ac:dyDescent="0.35">
      <c r="C114" s="291"/>
      <c r="D114" s="292"/>
      <c r="E114" s="293"/>
      <c r="F114" s="294"/>
      <c r="G114" s="295"/>
      <c r="H114" s="291"/>
      <c r="I114" s="291"/>
      <c r="J114" s="296"/>
      <c r="K114" s="292"/>
      <c r="L114" s="297"/>
      <c r="M114" s="291"/>
      <c r="Q114" s="292"/>
      <c r="R114" s="299"/>
      <c r="S114" s="292"/>
      <c r="T114" s="294"/>
      <c r="U114" s="295"/>
      <c r="V114" s="291"/>
      <c r="W114" s="291"/>
      <c r="X114" s="291"/>
      <c r="Y114" s="292"/>
      <c r="Z114" s="291"/>
      <c r="AA114" s="300"/>
    </row>
    <row r="115" spans="2:28" ht="14.5" customHeight="1" x14ac:dyDescent="0.35"/>
    <row r="116" spans="2:28" ht="15" customHeight="1" x14ac:dyDescent="0.35">
      <c r="B116" s="580" t="s">
        <v>123</v>
      </c>
      <c r="C116" s="581"/>
      <c r="D116" s="581"/>
      <c r="E116" s="581"/>
      <c r="F116" s="581"/>
      <c r="G116" s="581"/>
      <c r="H116" s="581"/>
      <c r="I116" s="581"/>
      <c r="J116" s="581"/>
      <c r="K116" s="581"/>
      <c r="L116" s="581"/>
      <c r="M116" s="582"/>
      <c r="P116" s="580" t="s">
        <v>124</v>
      </c>
      <c r="Q116" s="581"/>
      <c r="R116" s="581"/>
      <c r="S116" s="581"/>
      <c r="T116" s="581"/>
      <c r="U116" s="581"/>
      <c r="V116" s="581"/>
      <c r="W116" s="581"/>
      <c r="X116" s="581"/>
      <c r="Y116" s="581"/>
      <c r="Z116" s="581"/>
      <c r="AA116" s="582"/>
    </row>
    <row r="117" spans="2:28" ht="15" customHeight="1" x14ac:dyDescent="0.35">
      <c r="B117" s="583"/>
      <c r="C117" s="584"/>
      <c r="D117" s="584"/>
      <c r="E117" s="584"/>
      <c r="F117" s="584"/>
      <c r="G117" s="584"/>
      <c r="H117" s="584"/>
      <c r="I117" s="584"/>
      <c r="J117" s="584"/>
      <c r="K117" s="584"/>
      <c r="L117" s="584"/>
      <c r="M117" s="585"/>
      <c r="P117" s="583"/>
      <c r="Q117" s="584"/>
      <c r="R117" s="584"/>
      <c r="S117" s="584"/>
      <c r="T117" s="584"/>
      <c r="U117" s="584"/>
      <c r="V117" s="584"/>
      <c r="W117" s="584"/>
      <c r="X117" s="584"/>
      <c r="Y117" s="584"/>
      <c r="Z117" s="584"/>
      <c r="AA117" s="585"/>
    </row>
    <row r="118" spans="2:28" ht="15" customHeight="1" x14ac:dyDescent="0.35">
      <c r="B118" s="586" t="s">
        <v>125</v>
      </c>
      <c r="C118" s="587" t="s">
        <v>94</v>
      </c>
      <c r="D118" s="586" t="s">
        <v>91</v>
      </c>
      <c r="E118" s="586" t="s">
        <v>62</v>
      </c>
      <c r="F118" s="588" t="str">
        <f>F48</f>
        <v>OMSET JUN
 (1-30)</v>
      </c>
      <c r="G118" s="588" t="s">
        <v>95</v>
      </c>
      <c r="H118" s="587" t="s">
        <v>63</v>
      </c>
      <c r="I118" s="587" t="s">
        <v>64</v>
      </c>
      <c r="J118" s="587" t="s">
        <v>126</v>
      </c>
      <c r="K118" s="589" t="s">
        <v>66</v>
      </c>
      <c r="L118" s="590" t="s">
        <v>127</v>
      </c>
      <c r="M118" s="372" t="s">
        <v>128</v>
      </c>
      <c r="P118" s="591" t="s">
        <v>125</v>
      </c>
      <c r="Q118" s="591" t="s">
        <v>94</v>
      </c>
      <c r="R118" s="593" t="s">
        <v>91</v>
      </c>
      <c r="S118" s="591" t="s">
        <v>62</v>
      </c>
      <c r="T118" s="576" t="str">
        <f>T26</f>
        <v>OMSET JUN
 (1-30)</v>
      </c>
      <c r="U118" s="576" t="str">
        <f>G4</f>
        <v>OMSET PRODUK</v>
      </c>
      <c r="V118" s="595" t="s">
        <v>63</v>
      </c>
      <c r="W118" s="595" t="s">
        <v>64</v>
      </c>
      <c r="X118" s="595" t="s">
        <v>126</v>
      </c>
      <c r="Y118" s="574" t="s">
        <v>66</v>
      </c>
      <c r="Z118" s="576" t="s">
        <v>127</v>
      </c>
      <c r="AA118" s="310" t="s">
        <v>128</v>
      </c>
    </row>
    <row r="119" spans="2:28" ht="30" customHeight="1" x14ac:dyDescent="0.35">
      <c r="B119" s="586"/>
      <c r="C119" s="587"/>
      <c r="D119" s="586"/>
      <c r="E119" s="586"/>
      <c r="F119" s="588"/>
      <c r="G119" s="588"/>
      <c r="H119" s="587"/>
      <c r="I119" s="587"/>
      <c r="J119" s="587"/>
      <c r="K119" s="589"/>
      <c r="L119" s="590"/>
      <c r="M119" s="302">
        <f>K103</f>
        <v>1</v>
      </c>
      <c r="P119" s="592"/>
      <c r="Q119" s="592"/>
      <c r="R119" s="594"/>
      <c r="S119" s="592"/>
      <c r="T119" s="577"/>
      <c r="U119" s="577"/>
      <c r="V119" s="596"/>
      <c r="W119" s="596"/>
      <c r="X119" s="596"/>
      <c r="Y119" s="575"/>
      <c r="Z119" s="577"/>
      <c r="AA119" s="311">
        <f>K4</f>
        <v>1</v>
      </c>
    </row>
    <row r="120" spans="2:28" x14ac:dyDescent="0.35">
      <c r="B120" s="226" t="str">
        <f>C3</f>
        <v>CHRISTOPER</v>
      </c>
      <c r="C120" s="326">
        <f t="shared" ref="C120:H120" si="122">C11</f>
        <v>1370304000</v>
      </c>
      <c r="D120" s="222">
        <f t="shared" si="122"/>
        <v>93</v>
      </c>
      <c r="E120" s="222">
        <f t="shared" si="122"/>
        <v>86</v>
      </c>
      <c r="F120" s="331">
        <f t="shared" si="122"/>
        <v>1333418038.5052001</v>
      </c>
      <c r="G120" s="332">
        <f t="shared" si="122"/>
        <v>25602882.883100003</v>
      </c>
      <c r="H120" s="326">
        <f t="shared" si="122"/>
        <v>0</v>
      </c>
      <c r="I120" s="326">
        <f>F120-G120</f>
        <v>1307815155.6221001</v>
      </c>
      <c r="J120" s="326">
        <f t="shared" ref="J120:J125" si="123">I120-C120</f>
        <v>-62488844.377899885</v>
      </c>
      <c r="K120" s="172">
        <f t="shared" ref="K120:K125" si="124">I120/C120</f>
        <v>0.95439782385667715</v>
      </c>
      <c r="L120" s="226">
        <f t="shared" ref="L120:L125" si="125">H120+I120</f>
        <v>1307815155.6221001</v>
      </c>
      <c r="M120" s="333">
        <f t="shared" ref="M120:M125" si="126">L120/C120</f>
        <v>0.95439782385667715</v>
      </c>
      <c r="N120" s="228">
        <f>F120+H120</f>
        <v>1333418038.5052001</v>
      </c>
      <c r="P120" s="250" t="str">
        <f>Q3</f>
        <v>FERDIAN</v>
      </c>
      <c r="Q120" s="326">
        <f t="shared" ref="Q120:V120" si="127">Q11</f>
        <v>1123200000</v>
      </c>
      <c r="R120" s="338">
        <f t="shared" si="127"/>
        <v>78</v>
      </c>
      <c r="S120" s="222">
        <f t="shared" si="127"/>
        <v>81</v>
      </c>
      <c r="T120" s="326">
        <f t="shared" si="127"/>
        <v>827100335.5400002</v>
      </c>
      <c r="U120" s="339">
        <f t="shared" si="127"/>
        <v>38303603.603100002</v>
      </c>
      <c r="V120" s="326">
        <f t="shared" si="127"/>
        <v>0</v>
      </c>
      <c r="W120" s="326">
        <f>T120-U120</f>
        <v>788796731.93690014</v>
      </c>
      <c r="X120" s="326">
        <f t="shared" ref="X120:X125" si="128">W120-Q120</f>
        <v>-334403268.06309986</v>
      </c>
      <c r="Y120" s="172">
        <f t="shared" ref="Y120:Y125" si="129">W120/Q120</f>
        <v>0.70227629267886404</v>
      </c>
      <c r="Z120" s="226">
        <f t="shared" ref="Z120:Z125" si="130">V120+W120</f>
        <v>788796731.93690014</v>
      </c>
      <c r="AA120" s="333">
        <f t="shared" ref="AA120:AA125" si="131">Z120/Q120</f>
        <v>0.70227629267886404</v>
      </c>
      <c r="AB120" s="228">
        <f>T120+V120</f>
        <v>827100335.5400002</v>
      </c>
    </row>
    <row r="121" spans="2:28" x14ac:dyDescent="0.35">
      <c r="B121" s="226" t="str">
        <f>C14</f>
        <v>AGPC : BOGOR</v>
      </c>
      <c r="C121" s="326">
        <f t="shared" ref="C121:H121" si="132">C22</f>
        <v>1522560000</v>
      </c>
      <c r="D121" s="222">
        <f t="shared" si="132"/>
        <v>84</v>
      </c>
      <c r="E121" s="222">
        <f t="shared" si="132"/>
        <v>79</v>
      </c>
      <c r="F121" s="331">
        <f t="shared" si="132"/>
        <v>1039564910.1611999</v>
      </c>
      <c r="G121" s="332">
        <f t="shared" si="132"/>
        <v>13297297.3873</v>
      </c>
      <c r="H121" s="326">
        <f t="shared" si="132"/>
        <v>0</v>
      </c>
      <c r="I121" s="326">
        <f>F121-G121</f>
        <v>1026267612.7738999</v>
      </c>
      <c r="J121" s="326">
        <f t="shared" si="123"/>
        <v>-496292387.22610009</v>
      </c>
      <c r="K121" s="172">
        <f t="shared" si="124"/>
        <v>0.67404083436705275</v>
      </c>
      <c r="L121" s="226">
        <f t="shared" si="125"/>
        <v>1026267612.7738999</v>
      </c>
      <c r="M121" s="333">
        <f t="shared" si="126"/>
        <v>0.67404083436705275</v>
      </c>
      <c r="N121" s="228">
        <f>F121+H121</f>
        <v>1039564910.1611999</v>
      </c>
      <c r="P121" s="250" t="str">
        <f>Q14</f>
        <v>LUDFY</v>
      </c>
      <c r="Q121" s="326">
        <f t="shared" ref="Q121:V121" si="133">Q22</f>
        <v>1422720000</v>
      </c>
      <c r="R121" s="338">
        <f t="shared" si="133"/>
        <v>79</v>
      </c>
      <c r="S121" s="222">
        <f t="shared" si="133"/>
        <v>68</v>
      </c>
      <c r="T121" s="326">
        <f t="shared" si="133"/>
        <v>692954131.07990015</v>
      </c>
      <c r="U121" s="339">
        <f t="shared" si="133"/>
        <v>18049549.549200002</v>
      </c>
      <c r="V121" s="326">
        <f t="shared" si="133"/>
        <v>0</v>
      </c>
      <c r="W121" s="326">
        <f>T121-U121</f>
        <v>674904581.53070009</v>
      </c>
      <c r="X121" s="326">
        <f t="shared" si="128"/>
        <v>-747815418.46929991</v>
      </c>
      <c r="Y121" s="172">
        <f t="shared" si="129"/>
        <v>0.47437625220050333</v>
      </c>
      <c r="Z121" s="226">
        <f>V121+W121</f>
        <v>674904581.53070009</v>
      </c>
      <c r="AA121" s="333">
        <f t="shared" si="131"/>
        <v>0.47437625220050333</v>
      </c>
      <c r="AB121" s="228">
        <f>T121+V121</f>
        <v>692954131.07990015</v>
      </c>
    </row>
    <row r="122" spans="2:28" x14ac:dyDescent="0.35">
      <c r="B122" s="226" t="str">
        <f>C25</f>
        <v>DIKI HERMAWAN</v>
      </c>
      <c r="C122" s="326">
        <f t="shared" ref="C122:H122" si="134">C33</f>
        <v>1446432000</v>
      </c>
      <c r="D122" s="222">
        <f t="shared" si="134"/>
        <v>95</v>
      </c>
      <c r="E122" s="222">
        <f t="shared" si="134"/>
        <v>86</v>
      </c>
      <c r="F122" s="331">
        <f t="shared" si="134"/>
        <v>1494334844.5528002</v>
      </c>
      <c r="G122" s="332">
        <f t="shared" si="134"/>
        <v>8540540.5405999999</v>
      </c>
      <c r="H122" s="326">
        <f t="shared" si="134"/>
        <v>0</v>
      </c>
      <c r="I122" s="326">
        <f>F122-G122</f>
        <v>1485794304.0122001</v>
      </c>
      <c r="J122" s="326">
        <f t="shared" si="123"/>
        <v>39362304.012200117</v>
      </c>
      <c r="K122" s="172">
        <f t="shared" si="124"/>
        <v>1.0272133802433852</v>
      </c>
      <c r="L122" s="226">
        <f t="shared" si="125"/>
        <v>1485794304.0122001</v>
      </c>
      <c r="M122" s="333">
        <f t="shared" si="126"/>
        <v>1.0272133802433852</v>
      </c>
      <c r="N122" s="228">
        <f>F122+H122</f>
        <v>1494334844.5528002</v>
      </c>
      <c r="P122" s="250" t="str">
        <f>Q25</f>
        <v>ALI AKBAR</v>
      </c>
      <c r="Q122" s="326">
        <f t="shared" ref="Q122:V122" si="135">Q33</f>
        <v>1347840000</v>
      </c>
      <c r="R122" s="338">
        <f t="shared" si="135"/>
        <v>74</v>
      </c>
      <c r="S122" s="222">
        <f t="shared" si="135"/>
        <v>62</v>
      </c>
      <c r="T122" s="326">
        <f t="shared" si="135"/>
        <v>733827808.5194</v>
      </c>
      <c r="U122" s="339">
        <f t="shared" si="135"/>
        <v>20557657.6569</v>
      </c>
      <c r="V122" s="326">
        <f t="shared" si="135"/>
        <v>0</v>
      </c>
      <c r="W122" s="326">
        <f>T122-U122</f>
        <v>713270150.86249995</v>
      </c>
      <c r="X122" s="326">
        <f t="shared" si="128"/>
        <v>-634569849.13750005</v>
      </c>
      <c r="Y122" s="172">
        <f t="shared" si="129"/>
        <v>0.52919497185311304</v>
      </c>
      <c r="Z122" s="226">
        <f t="shared" si="130"/>
        <v>713270150.86249995</v>
      </c>
      <c r="AA122" s="333">
        <f t="shared" si="131"/>
        <v>0.52919497185311304</v>
      </c>
      <c r="AB122" s="228">
        <f>T122+V122</f>
        <v>733827808.5194</v>
      </c>
    </row>
    <row r="123" spans="2:28" ht="14.5" customHeight="1" x14ac:dyDescent="0.35">
      <c r="B123" s="226" t="str">
        <f>C36</f>
        <v>HABIBIE</v>
      </c>
      <c r="C123" s="326">
        <f t="shared" ref="C123:H123" si="136">C44</f>
        <v>1674816000</v>
      </c>
      <c r="D123" s="222">
        <f t="shared" si="136"/>
        <v>84</v>
      </c>
      <c r="E123" s="222">
        <f t="shared" si="136"/>
        <v>81</v>
      </c>
      <c r="F123" s="331">
        <f t="shared" si="136"/>
        <v>1325783285.7166998</v>
      </c>
      <c r="G123" s="332">
        <f t="shared" si="136"/>
        <v>21509730.090300005</v>
      </c>
      <c r="H123" s="326">
        <f t="shared" si="136"/>
        <v>0</v>
      </c>
      <c r="I123" s="326">
        <f>F123-G123</f>
        <v>1304273555.6263998</v>
      </c>
      <c r="J123" s="326">
        <f t="shared" si="123"/>
        <v>-370542444.37360024</v>
      </c>
      <c r="K123" s="172">
        <f t="shared" si="124"/>
        <v>0.77875632644206871</v>
      </c>
      <c r="L123" s="226">
        <f t="shared" si="125"/>
        <v>1304273555.6263998</v>
      </c>
      <c r="M123" s="333">
        <f t="shared" si="126"/>
        <v>0.77875632644206871</v>
      </c>
      <c r="N123" s="228">
        <f>F123+H123</f>
        <v>1325783285.7166998</v>
      </c>
      <c r="P123" s="250" t="str">
        <f>Q36</f>
        <v>GILBERT</v>
      </c>
      <c r="Q123" s="326">
        <f t="shared" ref="Q123:V123" si="137">Q44</f>
        <v>1872000000</v>
      </c>
      <c r="R123" s="338">
        <f t="shared" si="137"/>
        <v>67</v>
      </c>
      <c r="S123" s="222">
        <f t="shared" si="137"/>
        <v>55</v>
      </c>
      <c r="T123" s="326">
        <f t="shared" si="137"/>
        <v>1343406652.8617005</v>
      </c>
      <c r="U123" s="339">
        <f t="shared" si="137"/>
        <v>6193243.2432000004</v>
      </c>
      <c r="V123" s="326">
        <f t="shared" si="137"/>
        <v>0</v>
      </c>
      <c r="W123" s="326">
        <f>T123-U123</f>
        <v>1337213409.6185005</v>
      </c>
      <c r="X123" s="326">
        <f t="shared" si="128"/>
        <v>-534786590.38149953</v>
      </c>
      <c r="Y123" s="172">
        <f t="shared" si="129"/>
        <v>0.7143234025739853</v>
      </c>
      <c r="Z123" s="226">
        <f t="shared" si="130"/>
        <v>1337213409.6185005</v>
      </c>
      <c r="AA123" s="333">
        <f t="shared" si="131"/>
        <v>0.7143234025739853</v>
      </c>
      <c r="AB123" s="228">
        <f>T123+V123</f>
        <v>1343406652.8617005</v>
      </c>
    </row>
    <row r="124" spans="2:28" ht="14.5" customHeight="1" x14ac:dyDescent="0.35">
      <c r="B124" s="226" t="str">
        <f>C47</f>
        <v>RIDWAN</v>
      </c>
      <c r="C124" s="326">
        <f t="shared" ref="C124:H124" si="138">C55</f>
        <v>1598688000</v>
      </c>
      <c r="D124" s="222">
        <f t="shared" si="138"/>
        <v>113</v>
      </c>
      <c r="E124" s="222">
        <f t="shared" si="138"/>
        <v>98</v>
      </c>
      <c r="F124" s="331">
        <f t="shared" si="138"/>
        <v>1619417656.1147001</v>
      </c>
      <c r="G124" s="332">
        <f t="shared" si="138"/>
        <v>15860450.541100001</v>
      </c>
      <c r="H124" s="326">
        <f t="shared" si="138"/>
        <v>0</v>
      </c>
      <c r="I124" s="326">
        <f>F124-G124</f>
        <v>1603557205.5736001</v>
      </c>
      <c r="J124" s="326">
        <f t="shared" si="123"/>
        <v>4869205.5736000538</v>
      </c>
      <c r="K124" s="172">
        <f t="shared" si="124"/>
        <v>1.0030457509993196</v>
      </c>
      <c r="L124" s="226">
        <f t="shared" si="125"/>
        <v>1603557205.5736001</v>
      </c>
      <c r="M124" s="333">
        <f t="shared" si="126"/>
        <v>1.0030457509993196</v>
      </c>
      <c r="N124" s="228">
        <f>F124+H124</f>
        <v>1619417656.1147001</v>
      </c>
      <c r="P124" s="250" t="str">
        <f>Q47</f>
        <v>FAUZI</v>
      </c>
      <c r="Q124" s="326">
        <f t="shared" ref="Q124:V124" si="139">Q55</f>
        <v>1722240000</v>
      </c>
      <c r="R124" s="338">
        <f t="shared" si="139"/>
        <v>83</v>
      </c>
      <c r="S124" s="222">
        <f t="shared" si="139"/>
        <v>69</v>
      </c>
      <c r="T124" s="326">
        <f t="shared" si="139"/>
        <v>1159911256.2605999</v>
      </c>
      <c r="U124" s="339">
        <f t="shared" si="139"/>
        <v>62164189.1888</v>
      </c>
      <c r="V124" s="326">
        <f t="shared" si="139"/>
        <v>0</v>
      </c>
      <c r="W124" s="326">
        <f>T124-U124</f>
        <v>1097747067.0717998</v>
      </c>
      <c r="X124" s="326">
        <f t="shared" si="128"/>
        <v>-624492932.92820024</v>
      </c>
      <c r="Y124" s="172">
        <f t="shared" si="129"/>
        <v>0.6373949432551792</v>
      </c>
      <c r="Z124" s="226">
        <f t="shared" si="130"/>
        <v>1097747067.0717998</v>
      </c>
      <c r="AA124" s="333">
        <f t="shared" si="131"/>
        <v>0.6373949432551792</v>
      </c>
      <c r="AB124" s="228">
        <f>T124+V124</f>
        <v>1159911256.2605999</v>
      </c>
    </row>
    <row r="125" spans="2:28" x14ac:dyDescent="0.35">
      <c r="B125" s="352" t="s">
        <v>77</v>
      </c>
      <c r="C125" s="329">
        <f t="shared" ref="C125:H125" si="140">SUM(C120:C124)</f>
        <v>7612800000</v>
      </c>
      <c r="D125" s="178">
        <f t="shared" si="140"/>
        <v>469</v>
      </c>
      <c r="E125" s="178">
        <f t="shared" si="140"/>
        <v>430</v>
      </c>
      <c r="F125" s="334">
        <f t="shared" si="140"/>
        <v>6812518735.0506001</v>
      </c>
      <c r="G125" s="335">
        <f t="shared" si="140"/>
        <v>84810901.442400008</v>
      </c>
      <c r="H125" s="329">
        <f t="shared" si="140"/>
        <v>0</v>
      </c>
      <c r="I125" s="329">
        <f>SUM(I120:I124)</f>
        <v>6727707833.6082001</v>
      </c>
      <c r="J125" s="329">
        <f t="shared" si="123"/>
        <v>-885092166.39179993</v>
      </c>
      <c r="K125" s="305">
        <f t="shared" si="124"/>
        <v>0.88373631694096788</v>
      </c>
      <c r="L125" s="353">
        <f t="shared" si="125"/>
        <v>6727707833.6082001</v>
      </c>
      <c r="M125" s="305">
        <f t="shared" si="126"/>
        <v>0.88373631694096788</v>
      </c>
      <c r="P125" s="354" t="s">
        <v>77</v>
      </c>
      <c r="Q125" s="336">
        <f>SUM(Q120:Q124)</f>
        <v>7488000000</v>
      </c>
      <c r="R125" s="340">
        <f>SUM(R120:R124)</f>
        <v>381</v>
      </c>
      <c r="S125" s="207">
        <f t="shared" ref="S125:W125" si="141">SUM(S120:S124)</f>
        <v>335</v>
      </c>
      <c r="T125" s="336">
        <f>SUM(T120:T124)</f>
        <v>4757200184.2616005</v>
      </c>
      <c r="U125" s="337">
        <f t="shared" si="141"/>
        <v>145268243.2412</v>
      </c>
      <c r="V125" s="336">
        <f t="shared" si="141"/>
        <v>0</v>
      </c>
      <c r="W125" s="336">
        <f t="shared" si="141"/>
        <v>4611931941.020401</v>
      </c>
      <c r="X125" s="336">
        <f t="shared" si="128"/>
        <v>-2876068058.979599</v>
      </c>
      <c r="Y125" s="313">
        <f t="shared" si="129"/>
        <v>0.61590971434567321</v>
      </c>
      <c r="Z125" s="355">
        <f t="shared" si="130"/>
        <v>4611931941.020401</v>
      </c>
      <c r="AA125" s="313">
        <f t="shared" si="131"/>
        <v>0.61590971434567321</v>
      </c>
    </row>
    <row r="126" spans="2:28" x14ac:dyDescent="0.35">
      <c r="C126" s="202"/>
      <c r="D126" s="245"/>
      <c r="E126" s="245"/>
      <c r="F126" s="245"/>
      <c r="G126" s="245"/>
      <c r="H126" s="245"/>
      <c r="I126" s="245"/>
      <c r="J126" s="245"/>
      <c r="K126" s="245"/>
      <c r="L126" s="197"/>
      <c r="M126" s="202"/>
      <c r="Q126" s="202"/>
      <c r="R126" s="245"/>
      <c r="S126" s="245"/>
      <c r="T126" s="245"/>
      <c r="U126" s="245"/>
      <c r="V126" s="245"/>
      <c r="W126" s="202"/>
      <c r="X126" s="247"/>
      <c r="Y126" s="248"/>
      <c r="Z126" s="197"/>
      <c r="AA126" s="246"/>
    </row>
    <row r="127" spans="2:28" x14ac:dyDescent="0.35">
      <c r="K127" s="249"/>
    </row>
    <row r="128" spans="2:28" ht="15" customHeight="1" x14ac:dyDescent="0.35">
      <c r="B128" s="580" t="s">
        <v>129</v>
      </c>
      <c r="C128" s="581"/>
      <c r="D128" s="581"/>
      <c r="E128" s="581"/>
      <c r="F128" s="581"/>
      <c r="G128" s="581"/>
      <c r="H128" s="581"/>
      <c r="I128" s="581"/>
      <c r="J128" s="581"/>
      <c r="K128" s="581"/>
      <c r="L128" s="581"/>
      <c r="M128" s="582"/>
      <c r="P128" s="580" t="s">
        <v>130</v>
      </c>
      <c r="Q128" s="581"/>
      <c r="R128" s="581"/>
      <c r="S128" s="581"/>
      <c r="T128" s="581"/>
      <c r="U128" s="581"/>
      <c r="V128" s="581"/>
      <c r="W128" s="581"/>
      <c r="X128" s="581"/>
      <c r="Y128" s="581"/>
      <c r="Z128" s="581"/>
      <c r="AA128" s="582"/>
    </row>
    <row r="129" spans="2:28" ht="15" customHeight="1" x14ac:dyDescent="0.35">
      <c r="B129" s="583"/>
      <c r="C129" s="584"/>
      <c r="D129" s="584"/>
      <c r="E129" s="584"/>
      <c r="F129" s="584"/>
      <c r="G129" s="584"/>
      <c r="H129" s="584"/>
      <c r="I129" s="584"/>
      <c r="J129" s="584"/>
      <c r="K129" s="584"/>
      <c r="L129" s="584"/>
      <c r="M129" s="585"/>
      <c r="P129" s="583"/>
      <c r="Q129" s="584"/>
      <c r="R129" s="584"/>
      <c r="S129" s="584"/>
      <c r="T129" s="584"/>
      <c r="U129" s="584"/>
      <c r="V129" s="584"/>
      <c r="W129" s="584"/>
      <c r="X129" s="584"/>
      <c r="Y129" s="584"/>
      <c r="Z129" s="584"/>
      <c r="AA129" s="585"/>
    </row>
    <row r="130" spans="2:28" ht="15" customHeight="1" x14ac:dyDescent="0.35">
      <c r="B130" s="586" t="s">
        <v>125</v>
      </c>
      <c r="C130" s="587" t="s">
        <v>94</v>
      </c>
      <c r="D130" s="586" t="s">
        <v>91</v>
      </c>
      <c r="E130" s="586" t="s">
        <v>62</v>
      </c>
      <c r="F130" s="588" t="str">
        <f>F48</f>
        <v>OMSET JUN
 (1-30)</v>
      </c>
      <c r="G130" s="588" t="str">
        <f>G48</f>
        <v>OMSET PRODUK</v>
      </c>
      <c r="H130" s="587" t="s">
        <v>63</v>
      </c>
      <c r="I130" s="587" t="s">
        <v>64</v>
      </c>
      <c r="J130" s="587" t="s">
        <v>126</v>
      </c>
      <c r="K130" s="589" t="s">
        <v>66</v>
      </c>
      <c r="L130" s="590" t="s">
        <v>127</v>
      </c>
      <c r="M130" s="372" t="s">
        <v>128</v>
      </c>
      <c r="P130" s="591" t="s">
        <v>125</v>
      </c>
      <c r="Q130" s="591" t="s">
        <v>94</v>
      </c>
      <c r="R130" s="593" t="s">
        <v>91</v>
      </c>
      <c r="S130" s="591" t="s">
        <v>62</v>
      </c>
      <c r="T130" s="576" t="str">
        <f>T26</f>
        <v>OMSET JUN
 (1-30)</v>
      </c>
      <c r="U130" s="576" t="str">
        <f>G4</f>
        <v>OMSET PRODUK</v>
      </c>
      <c r="V130" s="595" t="s">
        <v>63</v>
      </c>
      <c r="W130" s="595" t="s">
        <v>64</v>
      </c>
      <c r="X130" s="595" t="s">
        <v>126</v>
      </c>
      <c r="Y130" s="574" t="s">
        <v>66</v>
      </c>
      <c r="Z130" s="576" t="s">
        <v>127</v>
      </c>
      <c r="AA130" s="310" t="s">
        <v>128</v>
      </c>
    </row>
    <row r="131" spans="2:28" ht="27.75" customHeight="1" x14ac:dyDescent="0.35">
      <c r="B131" s="586"/>
      <c r="C131" s="587"/>
      <c r="D131" s="586"/>
      <c r="E131" s="586"/>
      <c r="F131" s="588"/>
      <c r="G131" s="588"/>
      <c r="H131" s="587"/>
      <c r="I131" s="587"/>
      <c r="J131" s="587"/>
      <c r="K131" s="589"/>
      <c r="L131" s="590"/>
      <c r="M131" s="302">
        <f>M119</f>
        <v>1</v>
      </c>
      <c r="P131" s="592"/>
      <c r="Q131" s="592"/>
      <c r="R131" s="594"/>
      <c r="S131" s="592"/>
      <c r="T131" s="577"/>
      <c r="U131" s="577"/>
      <c r="V131" s="596"/>
      <c r="W131" s="596"/>
      <c r="X131" s="596"/>
      <c r="Y131" s="575"/>
      <c r="Z131" s="577"/>
      <c r="AA131" s="311">
        <f>K4</f>
        <v>1</v>
      </c>
    </row>
    <row r="132" spans="2:28" ht="15" customHeight="1" x14ac:dyDescent="0.35">
      <c r="B132" s="226" t="str">
        <f>C58</f>
        <v>AHMAD</v>
      </c>
      <c r="C132" s="326">
        <f t="shared" ref="C132:H132" si="142">C66</f>
        <v>924768000</v>
      </c>
      <c r="D132" s="222">
        <f t="shared" si="142"/>
        <v>84</v>
      </c>
      <c r="E132" s="222">
        <f t="shared" si="142"/>
        <v>69</v>
      </c>
      <c r="F132" s="331">
        <f t="shared" si="142"/>
        <v>455163624.3402999</v>
      </c>
      <c r="G132" s="332">
        <f t="shared" si="142"/>
        <v>9225225.2251999993</v>
      </c>
      <c r="H132" s="326">
        <f t="shared" si="142"/>
        <v>0</v>
      </c>
      <c r="I132" s="326">
        <f>F132-G132</f>
        <v>445938399.11509991</v>
      </c>
      <c r="J132" s="326">
        <f t="shared" ref="J132:J137" si="143">I132-C132</f>
        <v>-478829600.88490009</v>
      </c>
      <c r="K132" s="172">
        <f t="shared" ref="K132:K137" si="144">I132/C132</f>
        <v>0.48221651172521096</v>
      </c>
      <c r="L132" s="226">
        <f t="shared" ref="L132:L137" si="145">H132+I132</f>
        <v>445938399.11509991</v>
      </c>
      <c r="M132" s="333">
        <f t="shared" ref="M132:M137" si="146">L132/C132</f>
        <v>0.48221651172521096</v>
      </c>
      <c r="N132" s="228">
        <f>F132+H132</f>
        <v>455163624.3402999</v>
      </c>
      <c r="P132" s="250" t="str">
        <f>Q58</f>
        <v>AGUSTIAN</v>
      </c>
      <c r="Q132" s="226">
        <f t="shared" ref="Q132:V132" si="147">Q66</f>
        <v>1148160000</v>
      </c>
      <c r="R132" s="251">
        <f t="shared" si="147"/>
        <v>85</v>
      </c>
      <c r="S132" s="165">
        <f t="shared" si="147"/>
        <v>63</v>
      </c>
      <c r="T132" s="226">
        <f t="shared" si="147"/>
        <v>749537836.11609972</v>
      </c>
      <c r="U132" s="252">
        <f t="shared" si="147"/>
        <v>21197522.522</v>
      </c>
      <c r="V132" s="226">
        <f t="shared" si="147"/>
        <v>0</v>
      </c>
      <c r="W132" s="226">
        <f>T132-U132</f>
        <v>728340313.59409976</v>
      </c>
      <c r="X132" s="226">
        <f t="shared" ref="X132:X137" si="148">W132-Q132</f>
        <v>-419819686.40590024</v>
      </c>
      <c r="Y132" s="172">
        <f t="shared" ref="Y132:Y137" si="149">W132/Q132</f>
        <v>0.63435437011749207</v>
      </c>
      <c r="Z132" s="171">
        <f t="shared" ref="Z132:Z137" si="150">V132+W132</f>
        <v>728340313.59409976</v>
      </c>
      <c r="AA132" s="227">
        <f t="shared" ref="AA132:AA137" si="151">Z132/Q132</f>
        <v>0.63435437011749207</v>
      </c>
      <c r="AB132" s="228">
        <f>T132+V132</f>
        <v>749537836.11609972</v>
      </c>
    </row>
    <row r="133" spans="2:28" x14ac:dyDescent="0.35">
      <c r="B133" s="226" t="str">
        <f>C69</f>
        <v>ALFIN</v>
      </c>
      <c r="C133" s="326">
        <f t="shared" ref="C133:H133" si="152">C77</f>
        <v>1216800000</v>
      </c>
      <c r="D133" s="222">
        <f t="shared" si="152"/>
        <v>105</v>
      </c>
      <c r="E133" s="222">
        <f t="shared" si="152"/>
        <v>79</v>
      </c>
      <c r="F133" s="331">
        <f t="shared" si="152"/>
        <v>786977686.61199975</v>
      </c>
      <c r="G133" s="332">
        <f t="shared" si="152"/>
        <v>6864864.8650000002</v>
      </c>
      <c r="H133" s="326">
        <f t="shared" si="152"/>
        <v>0</v>
      </c>
      <c r="I133" s="326">
        <f>F133-G133</f>
        <v>780112821.74699974</v>
      </c>
      <c r="J133" s="326">
        <f t="shared" si="143"/>
        <v>-436687178.25300026</v>
      </c>
      <c r="K133" s="172">
        <f t="shared" si="144"/>
        <v>0.64111836106755404</v>
      </c>
      <c r="L133" s="226">
        <f t="shared" si="145"/>
        <v>780112821.74699974</v>
      </c>
      <c r="M133" s="333">
        <f t="shared" si="146"/>
        <v>0.64111836106755404</v>
      </c>
      <c r="N133" s="228">
        <f>F133+H133</f>
        <v>786977686.61199975</v>
      </c>
      <c r="P133" s="250" t="str">
        <f>Q69</f>
        <v>RAYFAHMI</v>
      </c>
      <c r="Q133" s="226">
        <f t="shared" ref="Q133:V133" si="153">Q77</f>
        <v>1148160000</v>
      </c>
      <c r="R133" s="251">
        <f t="shared" si="153"/>
        <v>96</v>
      </c>
      <c r="S133" s="165">
        <f t="shared" si="153"/>
        <v>81</v>
      </c>
      <c r="T133" s="226">
        <f t="shared" si="153"/>
        <v>1046376111.1143003</v>
      </c>
      <c r="U133" s="252">
        <f t="shared" si="153"/>
        <v>4511261.2611999996</v>
      </c>
      <c r="V133" s="226">
        <f t="shared" si="153"/>
        <v>0</v>
      </c>
      <c r="W133" s="226">
        <f>T133-U133</f>
        <v>1041864849.8531003</v>
      </c>
      <c r="X133" s="226">
        <f t="shared" si="148"/>
        <v>-106295150.1468997</v>
      </c>
      <c r="Y133" s="172">
        <f t="shared" si="149"/>
        <v>0.90742130874886806</v>
      </c>
      <c r="Z133" s="171">
        <f>V133+W133</f>
        <v>1041864849.8531003</v>
      </c>
      <c r="AA133" s="227">
        <f t="shared" si="151"/>
        <v>0.90742130874886806</v>
      </c>
      <c r="AB133" s="228">
        <f>T133+V133</f>
        <v>1046376111.1143003</v>
      </c>
    </row>
    <row r="134" spans="2:28" x14ac:dyDescent="0.35">
      <c r="B134" s="226" t="str">
        <f>C80</f>
        <v>NURRAHMAN</v>
      </c>
      <c r="C134" s="326">
        <f t="shared" ref="C134:H134" si="154">C88</f>
        <v>876096000</v>
      </c>
      <c r="D134" s="222">
        <f t="shared" si="154"/>
        <v>54</v>
      </c>
      <c r="E134" s="222">
        <f t="shared" si="154"/>
        <v>42</v>
      </c>
      <c r="F134" s="331">
        <f t="shared" si="154"/>
        <v>293715332.88249999</v>
      </c>
      <c r="G134" s="332">
        <f t="shared" si="154"/>
        <v>1405405.4054</v>
      </c>
      <c r="H134" s="326">
        <f t="shared" si="154"/>
        <v>0</v>
      </c>
      <c r="I134" s="326">
        <f>F134-G134</f>
        <v>292309927.47710001</v>
      </c>
      <c r="J134" s="326">
        <f t="shared" si="143"/>
        <v>-583786072.52289999</v>
      </c>
      <c r="K134" s="172">
        <f t="shared" si="144"/>
        <v>0.33365056737743354</v>
      </c>
      <c r="L134" s="226">
        <f t="shared" si="145"/>
        <v>292309927.47710001</v>
      </c>
      <c r="M134" s="333">
        <f t="shared" si="146"/>
        <v>0.33365056737743354</v>
      </c>
      <c r="N134" s="228">
        <f>F134+H134</f>
        <v>293715332.88249999</v>
      </c>
      <c r="P134" s="250" t="str">
        <f>Q80</f>
        <v>AGPS:JAKTIM-CKR</v>
      </c>
      <c r="Q134" s="166">
        <f t="shared" ref="Q134:V134" si="155">Q88</f>
        <v>848640000.00000012</v>
      </c>
      <c r="R134" s="230">
        <f t="shared" si="155"/>
        <v>51</v>
      </c>
      <c r="S134" s="167">
        <f t="shared" si="155"/>
        <v>39</v>
      </c>
      <c r="T134" s="166">
        <f t="shared" si="155"/>
        <v>328253464.55789995</v>
      </c>
      <c r="U134" s="231">
        <f t="shared" si="155"/>
        <v>9965765.7657999992</v>
      </c>
      <c r="V134" s="166">
        <f t="shared" si="155"/>
        <v>0</v>
      </c>
      <c r="W134" s="226">
        <f>T134-U134</f>
        <v>318287698.79209995</v>
      </c>
      <c r="X134" s="226">
        <f t="shared" si="148"/>
        <v>-530352301.20790017</v>
      </c>
      <c r="Y134" s="172">
        <f t="shared" si="149"/>
        <v>0.37505620615584923</v>
      </c>
      <c r="Z134" s="171">
        <f t="shared" si="150"/>
        <v>318287698.79209995</v>
      </c>
      <c r="AA134" s="227">
        <f t="shared" si="151"/>
        <v>0.37505620615584923</v>
      </c>
      <c r="AB134" s="228">
        <f>T134+V134</f>
        <v>328253464.55789995</v>
      </c>
    </row>
    <row r="135" spans="2:28" x14ac:dyDescent="0.35">
      <c r="B135" s="226" t="str">
        <f>C91</f>
        <v>IPNU</v>
      </c>
      <c r="C135" s="326">
        <f t="shared" ref="C135:H135" si="156">C99</f>
        <v>924768000</v>
      </c>
      <c r="D135" s="222">
        <f t="shared" si="156"/>
        <v>96</v>
      </c>
      <c r="E135" s="222">
        <f t="shared" si="156"/>
        <v>85</v>
      </c>
      <c r="F135" s="331">
        <f t="shared" si="156"/>
        <v>844590188.102</v>
      </c>
      <c r="G135" s="332">
        <f t="shared" si="156"/>
        <v>7563783.7840999998</v>
      </c>
      <c r="H135" s="326">
        <f t="shared" si="156"/>
        <v>0</v>
      </c>
      <c r="I135" s="326">
        <f>F135-G135</f>
        <v>837026404.31789994</v>
      </c>
      <c r="J135" s="326">
        <f t="shared" si="143"/>
        <v>-87741595.682100058</v>
      </c>
      <c r="K135" s="172">
        <f t="shared" si="144"/>
        <v>0.90512042406084547</v>
      </c>
      <c r="L135" s="226">
        <f t="shared" si="145"/>
        <v>837026404.31789994</v>
      </c>
      <c r="M135" s="333">
        <f t="shared" si="146"/>
        <v>0.90512042406084547</v>
      </c>
      <c r="N135" s="228">
        <f>F135+H135</f>
        <v>844590188.102</v>
      </c>
      <c r="P135" s="250" t="str">
        <f>Q91</f>
        <v>DIMAS</v>
      </c>
      <c r="Q135" s="166">
        <f t="shared" ref="Q135:V135" si="157">Q99</f>
        <v>898560000</v>
      </c>
      <c r="R135" s="230">
        <f t="shared" si="157"/>
        <v>71</v>
      </c>
      <c r="S135" s="167">
        <f t="shared" si="157"/>
        <v>57</v>
      </c>
      <c r="T135" s="166">
        <f t="shared" si="157"/>
        <v>549713880.17879999</v>
      </c>
      <c r="U135" s="231">
        <f t="shared" si="157"/>
        <v>16668468.4683</v>
      </c>
      <c r="V135" s="166">
        <f t="shared" si="157"/>
        <v>0</v>
      </c>
      <c r="W135" s="226">
        <f>T135-U135</f>
        <v>533045411.7105</v>
      </c>
      <c r="X135" s="226">
        <f t="shared" si="148"/>
        <v>-365514588.2895</v>
      </c>
      <c r="Y135" s="172">
        <f t="shared" si="149"/>
        <v>0.59322183461371525</v>
      </c>
      <c r="Z135" s="171">
        <f t="shared" si="150"/>
        <v>533045411.7105</v>
      </c>
      <c r="AA135" s="227">
        <f t="shared" si="151"/>
        <v>0.59322183461371525</v>
      </c>
      <c r="AB135" s="228">
        <f>T135+V135</f>
        <v>549713880.17879999</v>
      </c>
    </row>
    <row r="136" spans="2:28" x14ac:dyDescent="0.35">
      <c r="B136" s="226" t="str">
        <f>C102</f>
        <v>SYAEPULLOH</v>
      </c>
      <c r="C136" s="326">
        <f t="shared" ref="C136:H136" si="158">C110</f>
        <v>924768000</v>
      </c>
      <c r="D136" s="222">
        <f t="shared" si="158"/>
        <v>71</v>
      </c>
      <c r="E136" s="222">
        <f t="shared" si="158"/>
        <v>60</v>
      </c>
      <c r="F136" s="331">
        <f t="shared" si="158"/>
        <v>495811318.21600008</v>
      </c>
      <c r="G136" s="332">
        <f t="shared" si="158"/>
        <v>4881621.6216000002</v>
      </c>
      <c r="H136" s="326">
        <f t="shared" si="158"/>
        <v>0</v>
      </c>
      <c r="I136" s="326">
        <f>F136-G136</f>
        <v>490929696.59440011</v>
      </c>
      <c r="J136" s="326">
        <f t="shared" si="143"/>
        <v>-433838303.40559989</v>
      </c>
      <c r="K136" s="172">
        <f t="shared" si="144"/>
        <v>0.53086795455119562</v>
      </c>
      <c r="L136" s="226">
        <f t="shared" si="145"/>
        <v>490929696.59440011</v>
      </c>
      <c r="M136" s="333">
        <f t="shared" si="146"/>
        <v>0.53086795455119562</v>
      </c>
      <c r="N136" s="228">
        <f>F136+H136</f>
        <v>495811318.21600008</v>
      </c>
      <c r="P136" s="253" t="str">
        <f>Q102</f>
        <v>DEVANI</v>
      </c>
      <c r="Q136" s="254">
        <f t="shared" ref="Q136:V136" si="159">Q110</f>
        <v>948480000</v>
      </c>
      <c r="R136" s="255">
        <f t="shared" si="159"/>
        <v>74</v>
      </c>
      <c r="S136" s="256">
        <f t="shared" si="159"/>
        <v>68</v>
      </c>
      <c r="T136" s="254">
        <f t="shared" si="159"/>
        <v>551805856.25119996</v>
      </c>
      <c r="U136" s="231">
        <f t="shared" si="159"/>
        <v>27771207.206699997</v>
      </c>
      <c r="V136" s="166">
        <f t="shared" si="159"/>
        <v>0</v>
      </c>
      <c r="W136" s="226">
        <f>T136-U136</f>
        <v>524034649.04449999</v>
      </c>
      <c r="X136" s="226">
        <f t="shared" si="148"/>
        <v>-424445350.95550001</v>
      </c>
      <c r="Y136" s="172">
        <f t="shared" si="149"/>
        <v>0.55249941911742995</v>
      </c>
      <c r="Z136" s="171">
        <f t="shared" si="150"/>
        <v>524034649.04449999</v>
      </c>
      <c r="AA136" s="227">
        <f t="shared" si="151"/>
        <v>0.55249941911742995</v>
      </c>
      <c r="AB136" s="228">
        <f>T136+V136</f>
        <v>551805856.25119996</v>
      </c>
    </row>
    <row r="137" spans="2:28" x14ac:dyDescent="0.35">
      <c r="B137" s="352" t="s">
        <v>77</v>
      </c>
      <c r="C137" s="329">
        <f t="shared" ref="C137:H137" si="160">SUM(C132:C136)</f>
        <v>4867200000</v>
      </c>
      <c r="D137" s="178">
        <f>SUM(D132:D136)</f>
        <v>410</v>
      </c>
      <c r="E137" s="178">
        <f t="shared" si="160"/>
        <v>335</v>
      </c>
      <c r="F137" s="334">
        <f>SUM(F132:F136)</f>
        <v>2876258150.1527996</v>
      </c>
      <c r="G137" s="335">
        <f t="shared" si="160"/>
        <v>29940900.901299998</v>
      </c>
      <c r="H137" s="329">
        <f t="shared" si="160"/>
        <v>0</v>
      </c>
      <c r="I137" s="329">
        <f>SUM(I132:I136)</f>
        <v>2846317249.2514997</v>
      </c>
      <c r="J137" s="329">
        <f t="shared" si="143"/>
        <v>-2020882750.7485003</v>
      </c>
      <c r="K137" s="305">
        <f t="shared" si="144"/>
        <v>0.58479562155890441</v>
      </c>
      <c r="L137" s="353">
        <f t="shared" si="145"/>
        <v>2846317249.2514997</v>
      </c>
      <c r="M137" s="305">
        <f t="shared" si="146"/>
        <v>0.58479562155890441</v>
      </c>
      <c r="P137" s="204" t="s">
        <v>77</v>
      </c>
      <c r="Q137" s="205">
        <f t="shared" ref="Q137:V137" si="161">SUM(Q132:Q136)</f>
        <v>4992000000</v>
      </c>
      <c r="R137" s="312">
        <f>SUM(R132:R136)</f>
        <v>377</v>
      </c>
      <c r="S137" s="206">
        <f t="shared" si="161"/>
        <v>308</v>
      </c>
      <c r="T137" s="205">
        <f t="shared" si="161"/>
        <v>3225687148.2182999</v>
      </c>
      <c r="U137" s="208">
        <f t="shared" si="161"/>
        <v>80114225.223999992</v>
      </c>
      <c r="V137" s="205">
        <f t="shared" si="161"/>
        <v>0</v>
      </c>
      <c r="W137" s="205">
        <f>SUM(W132:W136)</f>
        <v>3145572922.9942999</v>
      </c>
      <c r="X137" s="205">
        <f t="shared" si="148"/>
        <v>-1846427077.0057001</v>
      </c>
      <c r="Y137" s="209">
        <f t="shared" si="149"/>
        <v>0.63012278104853758</v>
      </c>
      <c r="Z137" s="314">
        <f t="shared" si="150"/>
        <v>3145572922.9942999</v>
      </c>
      <c r="AA137" s="209">
        <f t="shared" si="151"/>
        <v>0.63012278104853758</v>
      </c>
    </row>
    <row r="138" spans="2:28" x14ac:dyDescent="0.35">
      <c r="C138" s="202"/>
      <c r="D138" s="245"/>
      <c r="E138" s="245"/>
      <c r="F138" s="245"/>
      <c r="G138" s="245"/>
      <c r="H138" s="245"/>
      <c r="I138" s="245"/>
      <c r="J138" s="245"/>
      <c r="K138" s="245"/>
      <c r="L138" s="197"/>
      <c r="M138" s="202"/>
      <c r="Q138" s="202"/>
      <c r="R138" s="245"/>
      <c r="S138" s="245"/>
      <c r="T138" s="245"/>
      <c r="U138" s="245"/>
      <c r="V138" s="245"/>
      <c r="W138" s="202"/>
      <c r="X138" s="247"/>
      <c r="Y138" s="248"/>
      <c r="Z138" s="197"/>
      <c r="AA138" s="246"/>
    </row>
    <row r="139" spans="2:28" ht="15" customHeight="1" x14ac:dyDescent="0.35"/>
    <row r="140" spans="2:28" ht="15" customHeight="1" x14ac:dyDescent="0.35">
      <c r="B140" s="580" t="s">
        <v>131</v>
      </c>
      <c r="C140" s="581"/>
      <c r="D140" s="581"/>
      <c r="E140" s="581"/>
      <c r="F140" s="581"/>
      <c r="G140" s="581"/>
      <c r="H140" s="581"/>
      <c r="I140" s="581"/>
      <c r="J140" s="581"/>
      <c r="K140" s="581"/>
      <c r="L140" s="581"/>
      <c r="M140" s="582"/>
      <c r="P140" s="580" t="s">
        <v>132</v>
      </c>
      <c r="Q140" s="581"/>
      <c r="R140" s="581"/>
      <c r="S140" s="581"/>
      <c r="T140" s="581"/>
      <c r="U140" s="581"/>
      <c r="V140" s="581"/>
      <c r="W140" s="581"/>
      <c r="X140" s="581"/>
      <c r="Y140" s="581"/>
      <c r="Z140" s="581"/>
      <c r="AA140" s="582"/>
    </row>
    <row r="141" spans="2:28" ht="15" customHeight="1" x14ac:dyDescent="0.35">
      <c r="B141" s="583"/>
      <c r="C141" s="584"/>
      <c r="D141" s="584"/>
      <c r="E141" s="584"/>
      <c r="F141" s="584"/>
      <c r="G141" s="584"/>
      <c r="H141" s="584"/>
      <c r="I141" s="584"/>
      <c r="J141" s="584"/>
      <c r="K141" s="584"/>
      <c r="L141" s="584"/>
      <c r="M141" s="585"/>
      <c r="P141" s="583"/>
      <c r="Q141" s="584"/>
      <c r="R141" s="584"/>
      <c r="S141" s="584"/>
      <c r="T141" s="584"/>
      <c r="U141" s="584"/>
      <c r="V141" s="584"/>
      <c r="W141" s="584"/>
      <c r="X141" s="584"/>
      <c r="Y141" s="584"/>
      <c r="Z141" s="584"/>
      <c r="AA141" s="585"/>
    </row>
    <row r="142" spans="2:28" ht="15" customHeight="1" x14ac:dyDescent="0.35">
      <c r="B142" s="586" t="s">
        <v>133</v>
      </c>
      <c r="C142" s="587" t="s">
        <v>94</v>
      </c>
      <c r="D142" s="586" t="s">
        <v>91</v>
      </c>
      <c r="E142" s="586" t="s">
        <v>62</v>
      </c>
      <c r="F142" s="588" t="str">
        <f>F130</f>
        <v>OMSET JUN
 (1-30)</v>
      </c>
      <c r="G142" s="588" t="s">
        <v>95</v>
      </c>
      <c r="H142" s="587" t="s">
        <v>63</v>
      </c>
      <c r="I142" s="587" t="s">
        <v>64</v>
      </c>
      <c r="J142" s="587" t="s">
        <v>126</v>
      </c>
      <c r="K142" s="586" t="s">
        <v>66</v>
      </c>
      <c r="L142" s="590" t="s">
        <v>127</v>
      </c>
      <c r="M142" s="372" t="s">
        <v>128</v>
      </c>
      <c r="P142" s="591" t="s">
        <v>133</v>
      </c>
      <c r="Q142" s="591" t="s">
        <v>94</v>
      </c>
      <c r="R142" s="593" t="s">
        <v>91</v>
      </c>
      <c r="S142" s="591" t="s">
        <v>62</v>
      </c>
      <c r="T142" s="630" t="str">
        <f>T130</f>
        <v>OMSET JUN
 (1-30)</v>
      </c>
      <c r="U142" s="630" t="s">
        <v>95</v>
      </c>
      <c r="V142" s="595" t="s">
        <v>63</v>
      </c>
      <c r="W142" s="595" t="s">
        <v>64</v>
      </c>
      <c r="X142" s="595" t="s">
        <v>126</v>
      </c>
      <c r="Y142" s="591" t="str">
        <f>Y130</f>
        <v>PERCENTAGE</v>
      </c>
      <c r="Z142" s="576" t="s">
        <v>127</v>
      </c>
      <c r="AA142" s="310" t="s">
        <v>128</v>
      </c>
    </row>
    <row r="143" spans="2:28" x14ac:dyDescent="0.35">
      <c r="B143" s="586"/>
      <c r="C143" s="587"/>
      <c r="D143" s="586"/>
      <c r="E143" s="586"/>
      <c r="F143" s="588"/>
      <c r="G143" s="588"/>
      <c r="H143" s="587"/>
      <c r="I143" s="587"/>
      <c r="J143" s="587"/>
      <c r="K143" s="586"/>
      <c r="L143" s="590"/>
      <c r="M143" s="302">
        <f>M131</f>
        <v>1</v>
      </c>
      <c r="P143" s="592"/>
      <c r="Q143" s="592"/>
      <c r="R143" s="594"/>
      <c r="S143" s="592"/>
      <c r="T143" s="631"/>
      <c r="U143" s="631"/>
      <c r="V143" s="596"/>
      <c r="W143" s="596"/>
      <c r="X143" s="596"/>
      <c r="Y143" s="592"/>
      <c r="Z143" s="577"/>
      <c r="AA143" s="311">
        <f>K4</f>
        <v>1</v>
      </c>
    </row>
    <row r="144" spans="2:28" x14ac:dyDescent="0.35">
      <c r="B144" s="257" t="s">
        <v>134</v>
      </c>
      <c r="C144" s="166">
        <f t="shared" ref="C144:H144" si="162">C125</f>
        <v>7612800000</v>
      </c>
      <c r="D144" s="167">
        <f t="shared" si="162"/>
        <v>469</v>
      </c>
      <c r="E144" s="222">
        <f t="shared" si="162"/>
        <v>430</v>
      </c>
      <c r="F144" s="223">
        <f t="shared" si="162"/>
        <v>6812518735.0506001</v>
      </c>
      <c r="G144" s="224">
        <f t="shared" si="162"/>
        <v>84810901.442400008</v>
      </c>
      <c r="H144" s="166">
        <f t="shared" si="162"/>
        <v>0</v>
      </c>
      <c r="I144" s="166">
        <f>F144-G144</f>
        <v>6727707833.6082001</v>
      </c>
      <c r="J144" s="166">
        <f>I144-C144</f>
        <v>-885092166.39179993</v>
      </c>
      <c r="K144" s="172">
        <f>I144/C144</f>
        <v>0.88373631694096788</v>
      </c>
      <c r="L144" s="226">
        <f>H144+I144</f>
        <v>6727707833.6082001</v>
      </c>
      <c r="M144" s="227">
        <f>L144/C144</f>
        <v>0.88373631694096788</v>
      </c>
      <c r="P144" s="257" t="s">
        <v>135</v>
      </c>
      <c r="Q144" s="166">
        <f t="shared" ref="Q144:V144" si="163">Q125</f>
        <v>7488000000</v>
      </c>
      <c r="R144" s="230">
        <f t="shared" si="163"/>
        <v>381</v>
      </c>
      <c r="S144" s="167">
        <f t="shared" si="163"/>
        <v>335</v>
      </c>
      <c r="T144" s="223">
        <f t="shared" si="163"/>
        <v>4757200184.2616005</v>
      </c>
      <c r="U144" s="224">
        <f t="shared" si="163"/>
        <v>145268243.2412</v>
      </c>
      <c r="V144" s="166">
        <f t="shared" si="163"/>
        <v>0</v>
      </c>
      <c r="W144" s="166">
        <f>T144-U144</f>
        <v>4611931941.0204</v>
      </c>
      <c r="X144" s="166">
        <f>W144-Q144</f>
        <v>-2876068058.9796</v>
      </c>
      <c r="Y144" s="172">
        <f>Y125</f>
        <v>0.61590971434567321</v>
      </c>
      <c r="Z144" s="171">
        <f>V144+W144</f>
        <v>4611931941.0204</v>
      </c>
      <c r="AA144" s="227">
        <f>Z144/Q144</f>
        <v>0.6159097143456731</v>
      </c>
    </row>
    <row r="145" spans="2:27" x14ac:dyDescent="0.35">
      <c r="B145" s="257" t="s">
        <v>136</v>
      </c>
      <c r="C145" s="166">
        <f t="shared" ref="C145:H145" si="164">C137</f>
        <v>4867200000</v>
      </c>
      <c r="D145" s="167">
        <f t="shared" si="164"/>
        <v>410</v>
      </c>
      <c r="E145" s="222">
        <f t="shared" si="164"/>
        <v>335</v>
      </c>
      <c r="F145" s="223">
        <f t="shared" si="164"/>
        <v>2876258150.1527996</v>
      </c>
      <c r="G145" s="224">
        <f t="shared" si="164"/>
        <v>29940900.901299998</v>
      </c>
      <c r="H145" s="166">
        <f t="shared" si="164"/>
        <v>0</v>
      </c>
      <c r="I145" s="166">
        <f>F145-G145</f>
        <v>2846317249.2514997</v>
      </c>
      <c r="J145" s="166">
        <f>I145-C145</f>
        <v>-2020882750.7485003</v>
      </c>
      <c r="K145" s="172">
        <f>I145/C145</f>
        <v>0.58479562155890441</v>
      </c>
      <c r="L145" s="226">
        <f>H145+I145</f>
        <v>2846317249.2514997</v>
      </c>
      <c r="M145" s="227">
        <f>L145/C145</f>
        <v>0.58479562155890441</v>
      </c>
      <c r="P145" s="257" t="s">
        <v>137</v>
      </c>
      <c r="Q145" s="166">
        <f t="shared" ref="Q145:V145" si="165">Q137</f>
        <v>4992000000</v>
      </c>
      <c r="R145" s="230">
        <f t="shared" si="165"/>
        <v>377</v>
      </c>
      <c r="S145" s="167">
        <f t="shared" si="165"/>
        <v>308</v>
      </c>
      <c r="T145" s="223">
        <f t="shared" si="165"/>
        <v>3225687148.2182999</v>
      </c>
      <c r="U145" s="224">
        <f t="shared" si="165"/>
        <v>80114225.223999992</v>
      </c>
      <c r="V145" s="166">
        <f t="shared" si="165"/>
        <v>0</v>
      </c>
      <c r="W145" s="166">
        <f>T145-U145</f>
        <v>3145572922.9942999</v>
      </c>
      <c r="X145" s="166">
        <f>W145-Q145</f>
        <v>-1846427077.0057001</v>
      </c>
      <c r="Y145" s="172">
        <f>Y137</f>
        <v>0.63012278104853758</v>
      </c>
      <c r="Z145" s="171">
        <f>V145+W145</f>
        <v>3145572922.9942999</v>
      </c>
      <c r="AA145" s="227">
        <f>Z145/Q145</f>
        <v>0.63012278104853758</v>
      </c>
    </row>
    <row r="146" spans="2:27" x14ac:dyDescent="0.35">
      <c r="B146" s="175" t="s">
        <v>77</v>
      </c>
      <c r="C146" s="176">
        <f>SUM(C144:C145)</f>
        <v>12480000000</v>
      </c>
      <c r="D146" s="177">
        <f t="shared" ref="D146:I146" si="166">SUM(D144:D145)</f>
        <v>879</v>
      </c>
      <c r="E146" s="178">
        <f t="shared" si="166"/>
        <v>765</v>
      </c>
      <c r="F146" s="303">
        <f t="shared" si="166"/>
        <v>9688776885.2033997</v>
      </c>
      <c r="G146" s="304">
        <f t="shared" si="166"/>
        <v>114751802.34370001</v>
      </c>
      <c r="H146" s="176">
        <f t="shared" si="166"/>
        <v>0</v>
      </c>
      <c r="I146" s="176">
        <f t="shared" si="166"/>
        <v>9574025082.8596992</v>
      </c>
      <c r="J146" s="176">
        <f>I146-C146</f>
        <v>-2905974917.1403008</v>
      </c>
      <c r="K146" s="306">
        <f>I146/C146</f>
        <v>0.76714944574196309</v>
      </c>
      <c r="L146" s="353">
        <f>H146+I146</f>
        <v>9574025082.8596992</v>
      </c>
      <c r="M146" s="180">
        <f>L146/C146</f>
        <v>0.76714944574196309</v>
      </c>
      <c r="P146" s="204" t="s">
        <v>77</v>
      </c>
      <c r="Q146" s="205">
        <f t="shared" ref="Q146:W146" si="167">SUM(Q144:Q145)</f>
        <v>12480000000</v>
      </c>
      <c r="R146" s="312">
        <f t="shared" si="167"/>
        <v>758</v>
      </c>
      <c r="S146" s="206">
        <f t="shared" si="167"/>
        <v>643</v>
      </c>
      <c r="T146" s="315">
        <f t="shared" si="167"/>
        <v>7982887332.4799004</v>
      </c>
      <c r="U146" s="316">
        <f t="shared" si="167"/>
        <v>225382468.46520001</v>
      </c>
      <c r="V146" s="205">
        <f t="shared" si="167"/>
        <v>0</v>
      </c>
      <c r="W146" s="205">
        <f t="shared" si="167"/>
        <v>7757504864.0146999</v>
      </c>
      <c r="X146" s="205">
        <f>W146-Q146</f>
        <v>-4722495135.9853001</v>
      </c>
      <c r="Y146" s="317">
        <f>W146/Q146</f>
        <v>0.62159494102681889</v>
      </c>
      <c r="Z146" s="314">
        <f>V146+W146</f>
        <v>7757504864.0146999</v>
      </c>
      <c r="AA146" s="209">
        <f>Z146/Q146</f>
        <v>0.62159494102681889</v>
      </c>
    </row>
  </sheetData>
  <mergeCells count="191">
    <mergeCell ref="B140:M141"/>
    <mergeCell ref="P140:AA141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L142:L143"/>
    <mergeCell ref="P142:P143"/>
    <mergeCell ref="Q142:Q143"/>
    <mergeCell ref="R142:R143"/>
    <mergeCell ref="S142:S143"/>
    <mergeCell ref="T142:T143"/>
    <mergeCell ref="U142:U143"/>
    <mergeCell ref="V142:V143"/>
    <mergeCell ref="W142:W143"/>
    <mergeCell ref="X142:X143"/>
    <mergeCell ref="Y142:Y143"/>
    <mergeCell ref="Z142:Z143"/>
    <mergeCell ref="B128:M129"/>
    <mergeCell ref="P128:AA129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J131"/>
    <mergeCell ref="K130:K131"/>
    <mergeCell ref="L130:L131"/>
    <mergeCell ref="P130:P131"/>
    <mergeCell ref="Q130:Q131"/>
    <mergeCell ref="R130:R131"/>
    <mergeCell ref="S130:S131"/>
    <mergeCell ref="T130:T131"/>
    <mergeCell ref="U130:U131"/>
    <mergeCell ref="V130:V131"/>
    <mergeCell ref="W130:W131"/>
    <mergeCell ref="X130:X131"/>
    <mergeCell ref="Y130:Y131"/>
    <mergeCell ref="Z130:Z131"/>
    <mergeCell ref="A3:A11"/>
    <mergeCell ref="D3:D4"/>
    <mergeCell ref="E3:E4"/>
    <mergeCell ref="F3:I3"/>
    <mergeCell ref="J3:J4"/>
    <mergeCell ref="O3:O11"/>
    <mergeCell ref="R3:R4"/>
    <mergeCell ref="A25:A33"/>
    <mergeCell ref="D25:D26"/>
    <mergeCell ref="E25:E26"/>
    <mergeCell ref="F25:I25"/>
    <mergeCell ref="J25:J26"/>
    <mergeCell ref="O25:O33"/>
    <mergeCell ref="R25:R26"/>
    <mergeCell ref="A14:A22"/>
    <mergeCell ref="D14:D15"/>
    <mergeCell ref="E14:E15"/>
    <mergeCell ref="D23:H23"/>
    <mergeCell ref="R23:V23"/>
    <mergeCell ref="S3:S4"/>
    <mergeCell ref="T3:W3"/>
    <mergeCell ref="A36:A44"/>
    <mergeCell ref="D36:D37"/>
    <mergeCell ref="E36:E37"/>
    <mergeCell ref="D58:D59"/>
    <mergeCell ref="E58:E59"/>
    <mergeCell ref="F47:I47"/>
    <mergeCell ref="J47:J48"/>
    <mergeCell ref="O47:O55"/>
    <mergeCell ref="R47:R48"/>
    <mergeCell ref="A58:A66"/>
    <mergeCell ref="A47:A55"/>
    <mergeCell ref="D47:D48"/>
    <mergeCell ref="E47:E48"/>
    <mergeCell ref="R58:R59"/>
    <mergeCell ref="D56:H56"/>
    <mergeCell ref="R56:V56"/>
    <mergeCell ref="J58:J59"/>
    <mergeCell ref="A69:A77"/>
    <mergeCell ref="D69:D70"/>
    <mergeCell ref="E69:E70"/>
    <mergeCell ref="F69:I69"/>
    <mergeCell ref="J69:J70"/>
    <mergeCell ref="O69:O77"/>
    <mergeCell ref="R69:R70"/>
    <mergeCell ref="S69:S70"/>
    <mergeCell ref="T69:W69"/>
    <mergeCell ref="A102:A110"/>
    <mergeCell ref="A91:A99"/>
    <mergeCell ref="D91:D92"/>
    <mergeCell ref="E91:E92"/>
    <mergeCell ref="D80:D81"/>
    <mergeCell ref="E80:E81"/>
    <mergeCell ref="A80:A88"/>
    <mergeCell ref="X80:X81"/>
    <mergeCell ref="F80:I80"/>
    <mergeCell ref="J80:J81"/>
    <mergeCell ref="D102:D103"/>
    <mergeCell ref="E102:E103"/>
    <mergeCell ref="F91:I91"/>
    <mergeCell ref="J91:J92"/>
    <mergeCell ref="O91:O99"/>
    <mergeCell ref="R91:R92"/>
    <mergeCell ref="X91:X92"/>
    <mergeCell ref="F102:I102"/>
    <mergeCell ref="J102:J103"/>
    <mergeCell ref="O102:O110"/>
    <mergeCell ref="R102:R103"/>
    <mergeCell ref="S102:S103"/>
    <mergeCell ref="T102:W102"/>
    <mergeCell ref="X102:X103"/>
    <mergeCell ref="O80:O88"/>
    <mergeCell ref="R80:R81"/>
    <mergeCell ref="S80:S81"/>
    <mergeCell ref="T80:W80"/>
    <mergeCell ref="S58:S59"/>
    <mergeCell ref="T58:W58"/>
    <mergeCell ref="D34:H34"/>
    <mergeCell ref="R34:V34"/>
    <mergeCell ref="D45:H45"/>
    <mergeCell ref="R45:V45"/>
    <mergeCell ref="R67:V67"/>
    <mergeCell ref="D78:H78"/>
    <mergeCell ref="R78:V78"/>
    <mergeCell ref="X3:X4"/>
    <mergeCell ref="F14:I14"/>
    <mergeCell ref="J14:J15"/>
    <mergeCell ref="O14:O22"/>
    <mergeCell ref="R14:R15"/>
    <mergeCell ref="S14:S15"/>
    <mergeCell ref="T14:W14"/>
    <mergeCell ref="X14:X15"/>
    <mergeCell ref="D12:H12"/>
    <mergeCell ref="R12:V12"/>
    <mergeCell ref="X69:X70"/>
    <mergeCell ref="S25:S26"/>
    <mergeCell ref="T25:W25"/>
    <mergeCell ref="X25:X26"/>
    <mergeCell ref="F36:I36"/>
    <mergeCell ref="J36:J37"/>
    <mergeCell ref="O36:O44"/>
    <mergeCell ref="R36:R37"/>
    <mergeCell ref="S36:S37"/>
    <mergeCell ref="T36:W36"/>
    <mergeCell ref="X36:X37"/>
    <mergeCell ref="S47:S48"/>
    <mergeCell ref="T47:W47"/>
    <mergeCell ref="X47:X48"/>
    <mergeCell ref="F58:I58"/>
    <mergeCell ref="O58:O66"/>
    <mergeCell ref="X58:X59"/>
    <mergeCell ref="D89:H89"/>
    <mergeCell ref="R89:V89"/>
    <mergeCell ref="D100:H100"/>
    <mergeCell ref="R100:V100"/>
    <mergeCell ref="D111:H111"/>
    <mergeCell ref="R111:V111"/>
    <mergeCell ref="S91:S92"/>
    <mergeCell ref="T91:W91"/>
    <mergeCell ref="B116:M117"/>
    <mergeCell ref="P116:AA117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J119"/>
    <mergeCell ref="W118:W119"/>
    <mergeCell ref="X118:X119"/>
    <mergeCell ref="Y118:Y119"/>
    <mergeCell ref="Z118:Z119"/>
    <mergeCell ref="K118:K119"/>
    <mergeCell ref="L118:L119"/>
    <mergeCell ref="P118:P119"/>
    <mergeCell ref="Q118:Q119"/>
    <mergeCell ref="R118:R119"/>
    <mergeCell ref="S118:S119"/>
    <mergeCell ref="T118:T119"/>
    <mergeCell ref="U118:U119"/>
    <mergeCell ref="V118:V119"/>
  </mergeCells>
  <phoneticPr fontId="9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5CA31-14FC-4541-AD10-740A1DF623B9}">
  <sheetPr>
    <tabColor rgb="FFFFFF00"/>
  </sheetPr>
  <dimension ref="A1:AC148"/>
  <sheetViews>
    <sheetView showGridLines="0" topLeftCell="C83" zoomScale="64" zoomScaleNormal="85" workbookViewId="0">
      <selection activeCell="M129" sqref="M129:S139"/>
    </sheetView>
  </sheetViews>
  <sheetFormatPr defaultColWidth="8.7265625" defaultRowHeight="16" x14ac:dyDescent="0.4"/>
  <cols>
    <col min="1" max="1" width="8.7265625" style="194"/>
    <col min="2" max="2" width="17" style="194" customWidth="1"/>
    <col min="3" max="3" width="19.453125" style="186" customWidth="1"/>
    <col min="4" max="4" width="8.1796875" style="187" customWidth="1"/>
    <col min="5" max="5" width="8.1796875" style="188" customWidth="1"/>
    <col min="6" max="6" width="20.6328125" style="189" customWidth="1"/>
    <col min="7" max="7" width="19.453125" style="191" customWidth="1"/>
    <col min="8" max="8" width="16.1796875" style="187" customWidth="1"/>
    <col min="9" max="9" width="16.453125" style="192" customWidth="1"/>
    <col min="10" max="10" width="18.7265625" style="193" bestFit="1" customWidth="1"/>
    <col min="11" max="11" width="18.54296875" style="194" customWidth="1"/>
    <col min="12" max="12" width="11.81640625" style="194" bestFit="1" customWidth="1"/>
    <col min="13" max="13" width="17" style="417" customWidth="1"/>
    <col min="14" max="14" width="19.453125" style="413" customWidth="1"/>
    <col min="15" max="15" width="8.1796875" style="439" customWidth="1"/>
    <col min="16" max="16" width="8.1796875" style="413" customWidth="1"/>
    <col min="17" max="17" width="20.6328125" style="415" customWidth="1"/>
    <col min="18" max="18" width="19.453125" style="424" customWidth="1"/>
    <col min="19" max="19" width="16.1796875" style="413" customWidth="1"/>
    <col min="20" max="20" width="15.7265625" style="186" customWidth="1"/>
    <col min="21" max="21" width="18.54296875" style="196" customWidth="1"/>
    <col min="22" max="22" width="14" style="194" bestFit="1" customWidth="1"/>
    <col min="23" max="23" width="12.54296875" style="194" customWidth="1"/>
    <col min="24" max="24" width="13" style="194" bestFit="1" customWidth="1"/>
    <col min="25" max="27" width="9.1796875" style="194" hidden="1" customWidth="1"/>
    <col min="28" max="28" width="7.7265625" style="194" hidden="1" customWidth="1"/>
    <col min="29" max="29" width="22.1796875" style="194" hidden="1" customWidth="1"/>
    <col min="30" max="30" width="24.1796875" style="194" customWidth="1"/>
    <col min="31" max="31" width="16" style="194" customWidth="1"/>
    <col min="32" max="32" width="12.54296875" style="194" bestFit="1" customWidth="1"/>
    <col min="33" max="34" width="18.26953125" style="194" customWidth="1"/>
    <col min="35" max="35" width="12.54296875" style="194" bestFit="1" customWidth="1"/>
    <col min="36" max="36" width="13.81640625" style="194" bestFit="1" customWidth="1"/>
    <col min="37" max="37" width="14.54296875" style="194" customWidth="1"/>
    <col min="38" max="16384" width="8.7265625" style="194"/>
  </cols>
  <sheetData>
    <row r="1" spans="1:22" ht="16.5" thickBot="1" x14ac:dyDescent="0.45">
      <c r="A1" s="184" t="s">
        <v>88</v>
      </c>
      <c r="B1" s="185">
        <v>46234</v>
      </c>
    </row>
    <row r="2" spans="1:22" ht="16.5" thickBot="1" x14ac:dyDescent="0.45"/>
    <row r="3" spans="1:22" ht="19.5" customHeight="1" x14ac:dyDescent="0.35">
      <c r="A3" s="627">
        <v>1</v>
      </c>
      <c r="B3" s="390" t="s">
        <v>57</v>
      </c>
      <c r="C3" s="391" t="s">
        <v>90</v>
      </c>
      <c r="D3" s="657" t="s">
        <v>175</v>
      </c>
      <c r="E3" s="658"/>
      <c r="F3" s="658"/>
      <c r="G3" s="659"/>
      <c r="H3" s="390" t="s">
        <v>66</v>
      </c>
      <c r="L3" s="613">
        <v>1</v>
      </c>
      <c r="M3" s="440" t="s">
        <v>57</v>
      </c>
      <c r="N3" s="441" t="s">
        <v>167</v>
      </c>
      <c r="O3" s="647" t="s">
        <v>183</v>
      </c>
      <c r="P3" s="648"/>
      <c r="Q3" s="648"/>
      <c r="R3" s="649"/>
      <c r="S3" s="440" t="s">
        <v>66</v>
      </c>
    </row>
    <row r="4" spans="1:22" s="199" customFormat="1" ht="36" customHeight="1" x14ac:dyDescent="0.35">
      <c r="A4" s="628"/>
      <c r="B4" s="390" t="s">
        <v>93</v>
      </c>
      <c r="C4" s="391" t="s">
        <v>94</v>
      </c>
      <c r="D4" s="392" t="s">
        <v>91</v>
      </c>
      <c r="E4" s="392" t="s">
        <v>62</v>
      </c>
      <c r="F4" s="393" t="str">
        <f>"OMSET "&amp;UPPER(TEXT($B$1,"MMM"))&amp;CHAR(10)&amp;" (1-"&amp;DAY($B$1)&amp;")"</f>
        <v>OMSET JUL
 (1-31)</v>
      </c>
      <c r="G4" s="391" t="s">
        <v>65</v>
      </c>
      <c r="H4" s="394">
        <f>100/DAY(EOMONTH($B$1,0))*DAY($B$1)/100</f>
        <v>1</v>
      </c>
      <c r="I4" s="197"/>
      <c r="J4" s="198"/>
      <c r="L4" s="614"/>
      <c r="M4" s="440" t="s">
        <v>93</v>
      </c>
      <c r="N4" s="441" t="s">
        <v>94</v>
      </c>
      <c r="O4" s="442" t="s">
        <v>91</v>
      </c>
      <c r="P4" s="442" t="s">
        <v>62</v>
      </c>
      <c r="Q4" s="443" t="str">
        <f>F4</f>
        <v>OMSET JUL
 (1-31)</v>
      </c>
      <c r="R4" s="444" t="s">
        <v>65</v>
      </c>
      <c r="S4" s="445">
        <f>H4</f>
        <v>1</v>
      </c>
      <c r="T4" s="202"/>
      <c r="U4" s="203"/>
    </row>
    <row r="5" spans="1:22" x14ac:dyDescent="0.4">
      <c r="A5" s="628"/>
      <c r="B5" s="395" t="s">
        <v>96</v>
      </c>
      <c r="C5" s="396">
        <v>164436480</v>
      </c>
      <c r="D5" s="397">
        <v>16</v>
      </c>
      <c r="E5" s="398">
        <v>14</v>
      </c>
      <c r="F5" s="399">
        <v>141003882.68500003</v>
      </c>
      <c r="G5" s="400">
        <f>F5-C5</f>
        <v>-23432597.314999968</v>
      </c>
      <c r="H5" s="401">
        <f>F5/C5</f>
        <v>0.85749757404804594</v>
      </c>
      <c r="I5" s="192">
        <f>IF(H5&gt;120%,F5* 0.55%, IF(H5&gt;100%,F5* 0.45%, IF(H5&gt;80%,F5* 0.35%, IF(H5&gt;60%,F5* 0.2%, 0))))</f>
        <v>493513.58939750004</v>
      </c>
      <c r="L5" s="614"/>
      <c r="M5" s="395" t="s">
        <v>96</v>
      </c>
      <c r="N5" s="396">
        <v>202176000</v>
      </c>
      <c r="O5" s="397">
        <v>12</v>
      </c>
      <c r="P5" s="398">
        <v>11</v>
      </c>
      <c r="Q5" s="399">
        <v>196093527.47760004</v>
      </c>
      <c r="R5" s="400">
        <f>Q5-N5</f>
        <v>-6082472.5223999619</v>
      </c>
      <c r="S5" s="401">
        <f>Q5/N5</f>
        <v>0.9699149625949669</v>
      </c>
      <c r="T5" s="192">
        <f>IF(S5&gt;120%,Q5* 0.55%, IF(S5&gt;100%,Q5* 0.45%, IF(S5&gt;80%,Q5* 0.35%, IF(S5&gt;60%,Q5* 0.2%, 0))))</f>
        <v>686327.34617160005</v>
      </c>
    </row>
    <row r="6" spans="1:22" x14ac:dyDescent="0.4">
      <c r="A6" s="628"/>
      <c r="B6" s="395" t="s">
        <v>97</v>
      </c>
      <c r="C6" s="402">
        <v>274060800</v>
      </c>
      <c r="D6" s="397">
        <v>18</v>
      </c>
      <c r="E6" s="398">
        <v>16</v>
      </c>
      <c r="F6" s="399">
        <v>301407064.81370008</v>
      </c>
      <c r="G6" s="400">
        <f t="shared" ref="G6:G12" si="0">F6-C6</f>
        <v>27346264.81370008</v>
      </c>
      <c r="H6" s="401">
        <f t="shared" ref="H6:H11" si="1">F6/C6</f>
        <v>1.0997817448307095</v>
      </c>
      <c r="I6" s="192">
        <f t="shared" ref="I6:I10" si="2">IF(H6&gt;120%,F6* 0.55%, IF(H6&gt;100%,F6* 0.45%, IF(H6&gt;80%,F6* 0.35%, IF(H6&gt;60%,F6* 0.2%, 0))))</f>
        <v>1356331.7916616504</v>
      </c>
      <c r="L6" s="614"/>
      <c r="M6" s="395" t="s">
        <v>97</v>
      </c>
      <c r="N6" s="402">
        <v>157248000.00000003</v>
      </c>
      <c r="O6" s="397">
        <v>10</v>
      </c>
      <c r="P6" s="398">
        <v>9</v>
      </c>
      <c r="Q6" s="399">
        <v>111327964.86490004</v>
      </c>
      <c r="R6" s="400">
        <f t="shared" ref="R6:R12" si="3">Q6-N6</f>
        <v>-45920035.135099992</v>
      </c>
      <c r="S6" s="401">
        <f t="shared" ref="S6:S11" si="4">Q6/N6</f>
        <v>0.70797698453970803</v>
      </c>
      <c r="T6" s="192">
        <f t="shared" ref="T6:T10" si="5">IF(S6&gt;120%,Q6* 0.55%, IF(S6&gt;100%,Q6* 0.45%, IF(S6&gt;80%,Q6* 0.35%, IF(S6&gt;60%,Q6* 0.2%, 0))))</f>
        <v>222655.92972980009</v>
      </c>
    </row>
    <row r="7" spans="1:22" x14ac:dyDescent="0.4">
      <c r="A7" s="628"/>
      <c r="B7" s="395" t="s">
        <v>98</v>
      </c>
      <c r="C7" s="402">
        <v>109624320</v>
      </c>
      <c r="D7" s="397">
        <v>12</v>
      </c>
      <c r="E7" s="398">
        <v>13</v>
      </c>
      <c r="F7" s="399">
        <v>114546643.13559997</v>
      </c>
      <c r="G7" s="400">
        <f t="shared" si="0"/>
        <v>4922323.1355999708</v>
      </c>
      <c r="H7" s="401">
        <f t="shared" si="1"/>
        <v>1.0449017438429717</v>
      </c>
      <c r="I7" s="192">
        <f t="shared" si="2"/>
        <v>515459.89411019994</v>
      </c>
      <c r="L7" s="614"/>
      <c r="M7" s="395" t="s">
        <v>98</v>
      </c>
      <c r="N7" s="402">
        <v>179712000</v>
      </c>
      <c r="O7" s="397">
        <v>15</v>
      </c>
      <c r="P7" s="398">
        <v>11</v>
      </c>
      <c r="Q7" s="399">
        <v>114556413.88150004</v>
      </c>
      <c r="R7" s="400">
        <f t="shared" si="3"/>
        <v>-65155586.118499964</v>
      </c>
      <c r="S7" s="401">
        <f t="shared" si="4"/>
        <v>0.63744443265613893</v>
      </c>
      <c r="T7" s="192">
        <f t="shared" si="5"/>
        <v>229112.82776300007</v>
      </c>
    </row>
    <row r="8" spans="1:22" x14ac:dyDescent="0.4">
      <c r="A8" s="628"/>
      <c r="B8" s="395" t="s">
        <v>99</v>
      </c>
      <c r="C8" s="402">
        <v>150733440</v>
      </c>
      <c r="D8" s="397">
        <v>14</v>
      </c>
      <c r="E8" s="398">
        <v>11</v>
      </c>
      <c r="F8" s="399">
        <v>129434817.11659999</v>
      </c>
      <c r="G8" s="400">
        <f t="shared" si="0"/>
        <v>-21298622.883400008</v>
      </c>
      <c r="H8" s="401">
        <f t="shared" si="1"/>
        <v>0.85870008086195071</v>
      </c>
      <c r="I8" s="192">
        <f t="shared" si="2"/>
        <v>453021.85990809993</v>
      </c>
      <c r="L8" s="614"/>
      <c r="M8" s="395" t="s">
        <v>99</v>
      </c>
      <c r="N8" s="402">
        <v>348192000</v>
      </c>
      <c r="O8" s="397">
        <v>26</v>
      </c>
      <c r="P8" s="398">
        <v>23</v>
      </c>
      <c r="Q8" s="399">
        <v>362354180.1794998</v>
      </c>
      <c r="R8" s="400">
        <f t="shared" si="3"/>
        <v>14162180.179499805</v>
      </c>
      <c r="S8" s="401">
        <f t="shared" si="4"/>
        <v>1.0406734795156116</v>
      </c>
      <c r="T8" s="192">
        <f t="shared" si="5"/>
        <v>1630593.8108077494</v>
      </c>
    </row>
    <row r="9" spans="1:22" x14ac:dyDescent="0.4">
      <c r="A9" s="628"/>
      <c r="B9" s="395" t="s">
        <v>100</v>
      </c>
      <c r="C9" s="402">
        <v>205545600</v>
      </c>
      <c r="D9" s="397">
        <v>10</v>
      </c>
      <c r="E9" s="398">
        <v>10</v>
      </c>
      <c r="F9" s="399">
        <v>259499531.98189998</v>
      </c>
      <c r="G9" s="400">
        <f t="shared" si="0"/>
        <v>53953931.981899977</v>
      </c>
      <c r="H9" s="401">
        <f t="shared" si="1"/>
        <v>1.2624913011122592</v>
      </c>
      <c r="I9" s="192">
        <f t="shared" si="2"/>
        <v>1427247.42590045</v>
      </c>
      <c r="L9" s="614"/>
      <c r="M9" s="395" t="s">
        <v>100</v>
      </c>
      <c r="N9" s="402">
        <v>123552000</v>
      </c>
      <c r="O9" s="397">
        <v>15</v>
      </c>
      <c r="P9" s="398">
        <v>12</v>
      </c>
      <c r="Q9" s="399">
        <v>77412297.296700016</v>
      </c>
      <c r="R9" s="400">
        <f t="shared" si="3"/>
        <v>-46139702.703299984</v>
      </c>
      <c r="S9" s="401">
        <f t="shared" si="4"/>
        <v>0.62655640780157351</v>
      </c>
      <c r="T9" s="192">
        <f t="shared" si="5"/>
        <v>154824.59459340005</v>
      </c>
    </row>
    <row r="10" spans="1:22" x14ac:dyDescent="0.4">
      <c r="A10" s="628"/>
      <c r="B10" s="395" t="s">
        <v>101</v>
      </c>
      <c r="C10" s="402">
        <v>465903360.00000006</v>
      </c>
      <c r="D10" s="397">
        <v>24</v>
      </c>
      <c r="E10" s="398">
        <v>21</v>
      </c>
      <c r="F10" s="399">
        <v>463953692.93729997</v>
      </c>
      <c r="G10" s="400">
        <f t="shared" si="0"/>
        <v>-1949667.0627000928</v>
      </c>
      <c r="H10" s="401">
        <f t="shared" si="1"/>
        <v>0.99581529726958806</v>
      </c>
      <c r="I10" s="192">
        <f t="shared" si="2"/>
        <v>1623837.9252805498</v>
      </c>
      <c r="L10" s="614"/>
      <c r="M10" s="395" t="s">
        <v>101</v>
      </c>
      <c r="N10" s="402">
        <v>112320000</v>
      </c>
      <c r="O10" s="397">
        <v>7</v>
      </c>
      <c r="P10" s="398">
        <v>7</v>
      </c>
      <c r="Q10" s="399">
        <v>66515495.495300017</v>
      </c>
      <c r="R10" s="400">
        <f t="shared" si="3"/>
        <v>-45804504.504699983</v>
      </c>
      <c r="S10" s="401">
        <f t="shared" si="4"/>
        <v>0.59219636302795597</v>
      </c>
      <c r="T10" s="192">
        <f t="shared" si="5"/>
        <v>0</v>
      </c>
    </row>
    <row r="11" spans="1:22" s="199" customFormat="1" ht="14.5" customHeight="1" thickBot="1" x14ac:dyDescent="0.45">
      <c r="A11" s="628"/>
      <c r="B11" s="403" t="s">
        <v>77</v>
      </c>
      <c r="C11" s="404">
        <f t="shared" ref="C11:E11" si="6">SUM(C5:C10)</f>
        <v>1370304000</v>
      </c>
      <c r="D11" s="405">
        <f>SUM(D5:D10)</f>
        <v>94</v>
      </c>
      <c r="E11" s="406">
        <f t="shared" si="6"/>
        <v>85</v>
      </c>
      <c r="F11" s="404">
        <f>SUM(F5:F10)</f>
        <v>1409845632.6701002</v>
      </c>
      <c r="G11" s="404">
        <f t="shared" si="0"/>
        <v>39541632.670100212</v>
      </c>
      <c r="H11" s="407">
        <f t="shared" si="1"/>
        <v>1.0288561024926588</v>
      </c>
      <c r="I11" s="197">
        <f>SUM(I5:I10)</f>
        <v>5869412.48625845</v>
      </c>
      <c r="J11" s="198"/>
      <c r="L11" s="615"/>
      <c r="M11" s="446" t="s">
        <v>77</v>
      </c>
      <c r="N11" s="447">
        <f t="shared" ref="N11:P11" si="7">SUM(N5:N10)</f>
        <v>1123200000</v>
      </c>
      <c r="O11" s="448">
        <f>SUM(O5:O10)</f>
        <v>85</v>
      </c>
      <c r="P11" s="449">
        <f t="shared" si="7"/>
        <v>73</v>
      </c>
      <c r="Q11" s="447">
        <f>SUM(Q5:Q10)</f>
        <v>928259879.1954999</v>
      </c>
      <c r="R11" s="447">
        <f t="shared" si="3"/>
        <v>-194940120.8045001</v>
      </c>
      <c r="S11" s="450">
        <f t="shared" si="4"/>
        <v>0.82644220013844361</v>
      </c>
      <c r="T11" s="197">
        <f>SUM(T5:T10)</f>
        <v>2923514.5090655498</v>
      </c>
      <c r="U11" s="203"/>
      <c r="V11" s="194"/>
    </row>
    <row r="12" spans="1:22" x14ac:dyDescent="0.4">
      <c r="B12" s="408" t="s">
        <v>84</v>
      </c>
      <c r="C12" s="409">
        <v>1233273600</v>
      </c>
      <c r="D12" s="431"/>
      <c r="E12" s="431"/>
      <c r="F12" s="409">
        <f>F11</f>
        <v>1409845632.6701002</v>
      </c>
      <c r="G12" s="409">
        <f t="shared" si="0"/>
        <v>176572032.67010021</v>
      </c>
      <c r="H12" s="410">
        <f>F12/C12</f>
        <v>1.1431734472140653</v>
      </c>
      <c r="I12" s="192">
        <f>IF(H12&gt;=1,3500000,IF(H12&gt;=0.9,2500000,0))</f>
        <v>3500000</v>
      </c>
      <c r="M12" s="408" t="str">
        <f>$B$12</f>
        <v>TARGET Q3</v>
      </c>
      <c r="N12" s="409">
        <v>1010880000</v>
      </c>
      <c r="O12" s="431"/>
      <c r="P12" s="431"/>
      <c r="Q12" s="409">
        <f>Q11</f>
        <v>928259879.1954999</v>
      </c>
      <c r="R12" s="409">
        <f t="shared" si="3"/>
        <v>-82620120.804500103</v>
      </c>
      <c r="S12" s="410">
        <f>Q12/N12</f>
        <v>0.91826911126493738</v>
      </c>
      <c r="T12" s="192">
        <f>IF(S12&gt;=1,3500000,IF(S12&gt;=0.9,2500000,0))</f>
        <v>2500000</v>
      </c>
    </row>
    <row r="13" spans="1:22" ht="16.5" thickBot="1" x14ac:dyDescent="0.45">
      <c r="B13" s="411">
        <v>0.9</v>
      </c>
      <c r="C13" s="412">
        <f>C12/C11</f>
        <v>0.9</v>
      </c>
      <c r="D13" s="413"/>
      <c r="E13" s="414"/>
      <c r="F13" s="415"/>
      <c r="G13" s="416"/>
      <c r="H13" s="413"/>
      <c r="M13" s="417">
        <f>90%</f>
        <v>0.9</v>
      </c>
      <c r="N13" s="412">
        <f>N12/N11</f>
        <v>0.9</v>
      </c>
    </row>
    <row r="14" spans="1:22" ht="19.5" customHeight="1" x14ac:dyDescent="0.35">
      <c r="A14" s="623">
        <v>2</v>
      </c>
      <c r="B14" s="390" t="s">
        <v>57</v>
      </c>
      <c r="C14" s="391" t="s">
        <v>188</v>
      </c>
      <c r="D14" s="657" t="s">
        <v>103</v>
      </c>
      <c r="E14" s="658"/>
      <c r="F14" s="658"/>
      <c r="G14" s="659"/>
      <c r="H14" s="390" t="s">
        <v>66</v>
      </c>
      <c r="L14" s="607">
        <v>2</v>
      </c>
      <c r="M14" s="440" t="s">
        <v>57</v>
      </c>
      <c r="N14" s="441" t="s">
        <v>168</v>
      </c>
      <c r="O14" s="647" t="s">
        <v>103</v>
      </c>
      <c r="P14" s="648"/>
      <c r="Q14" s="648"/>
      <c r="R14" s="649"/>
      <c r="S14" s="440" t="s">
        <v>66</v>
      </c>
    </row>
    <row r="15" spans="1:22" ht="36" customHeight="1" x14ac:dyDescent="0.35">
      <c r="A15" s="623"/>
      <c r="B15" s="390" t="s">
        <v>93</v>
      </c>
      <c r="C15" s="391" t="s">
        <v>94</v>
      </c>
      <c r="D15" s="392" t="s">
        <v>91</v>
      </c>
      <c r="E15" s="392" t="s">
        <v>62</v>
      </c>
      <c r="F15" s="393" t="str">
        <f>"OMSET "&amp;UPPER(TEXT($B$1,"MMM"))&amp;CHAR(10)&amp;" (1-"&amp;DAY($B$1)&amp;")"</f>
        <v>OMSET JUL
 (1-31)</v>
      </c>
      <c r="G15" s="391" t="s">
        <v>65</v>
      </c>
      <c r="H15" s="394">
        <f>100/DAY(EOMONTH($B$1,0))*DAY($B$1)/100</f>
        <v>1</v>
      </c>
      <c r="I15" s="211"/>
      <c r="J15" s="212"/>
      <c r="L15" s="608"/>
      <c r="M15" s="440" t="s">
        <v>93</v>
      </c>
      <c r="N15" s="441" t="s">
        <v>94</v>
      </c>
      <c r="O15" s="442" t="s">
        <v>91</v>
      </c>
      <c r="P15" s="442" t="s">
        <v>62</v>
      </c>
      <c r="Q15" s="443" t="str">
        <f>F15</f>
        <v>OMSET JUL
 (1-31)</v>
      </c>
      <c r="R15" s="444" t="s">
        <v>65</v>
      </c>
      <c r="S15" s="445">
        <f>H15</f>
        <v>1</v>
      </c>
      <c r="T15" s="202"/>
    </row>
    <row r="16" spans="1:22" x14ac:dyDescent="0.4">
      <c r="A16" s="623"/>
      <c r="B16" s="395" t="s">
        <v>96</v>
      </c>
      <c r="C16" s="396">
        <v>395865600</v>
      </c>
      <c r="D16" s="397">
        <v>19</v>
      </c>
      <c r="E16" s="398">
        <v>17</v>
      </c>
      <c r="F16" s="399">
        <v>591732360.04990005</v>
      </c>
      <c r="G16" s="400">
        <f>F16-C16</f>
        <v>195866760.04990005</v>
      </c>
      <c r="H16" s="401">
        <f>F16/C16</f>
        <v>1.4947809560868639</v>
      </c>
      <c r="I16" s="192">
        <f>IF(H16&gt;120%,F16* 0.55%, IF(H16&gt;100%,F16* 0.45%, IF(H16&gt;80%,F16* 0.35%, IF(H16&gt;60%,F16* 0.2%, 0))))</f>
        <v>3254527.9802744505</v>
      </c>
      <c r="L16" s="608"/>
      <c r="M16" s="395" t="s">
        <v>96</v>
      </c>
      <c r="N16" s="396">
        <v>227635200</v>
      </c>
      <c r="O16" s="397">
        <v>12</v>
      </c>
      <c r="P16" s="398">
        <v>10</v>
      </c>
      <c r="Q16" s="399">
        <v>87134542.954900026</v>
      </c>
      <c r="R16" s="400">
        <f>Q16-N16</f>
        <v>-140500657.04509997</v>
      </c>
      <c r="S16" s="401">
        <f>Q16/N16</f>
        <v>0.38278149844531967</v>
      </c>
      <c r="T16" s="192">
        <f>IF(S16&gt;120%,Q16* 0.55%, IF(S16&gt;100%,Q16* 0.45%, IF(S16&gt;80%,Q16* 0.35%, IF(S16&gt;60%,Q16* 0.2%, 0))))</f>
        <v>0</v>
      </c>
    </row>
    <row r="17" spans="1:20" x14ac:dyDescent="0.4">
      <c r="A17" s="623"/>
      <c r="B17" s="395" t="s">
        <v>97</v>
      </c>
      <c r="C17" s="402">
        <v>258835200.00000003</v>
      </c>
      <c r="D17" s="397">
        <v>15</v>
      </c>
      <c r="E17" s="398">
        <v>14</v>
      </c>
      <c r="F17" s="399">
        <v>139457621.171</v>
      </c>
      <c r="G17" s="400">
        <f t="shared" ref="G17:G23" si="8">F17-C17</f>
        <v>-119377578.82900003</v>
      </c>
      <c r="H17" s="401">
        <f t="shared" ref="H17:H22" si="9">F17/C17</f>
        <v>0.5387892418457767</v>
      </c>
      <c r="I17" s="192">
        <f t="shared" ref="I17:I21" si="10">IF(H17&gt;120%,F17* 0.55%, IF(H17&gt;100%,F17* 0.45%, IF(H17&gt;80%,F17* 0.35%, IF(H17&gt;60%,F17* 0.2%, 0))))</f>
        <v>0</v>
      </c>
      <c r="L17" s="608"/>
      <c r="M17" s="395" t="s">
        <v>97</v>
      </c>
      <c r="N17" s="402">
        <v>199180800.00000003</v>
      </c>
      <c r="O17" s="397">
        <v>14</v>
      </c>
      <c r="P17" s="398">
        <v>13</v>
      </c>
      <c r="Q17" s="399">
        <v>145301432.43230006</v>
      </c>
      <c r="R17" s="400">
        <f t="shared" ref="R17:R23" si="11">Q17-N17</f>
        <v>-53879367.567699969</v>
      </c>
      <c r="S17" s="401">
        <f t="shared" ref="S17:S22" si="12">Q17/N17</f>
        <v>0.72949517439582545</v>
      </c>
      <c r="T17" s="192">
        <f t="shared" ref="T17:T21" si="13">IF(S17&gt;120%,Q17* 0.55%, IF(S17&gt;100%,Q17* 0.45%, IF(S17&gt;80%,Q17* 0.35%, IF(S17&gt;60%,Q17* 0.2%, 0))))</f>
        <v>290602.86486460012</v>
      </c>
    </row>
    <row r="18" spans="1:20" x14ac:dyDescent="0.4">
      <c r="A18" s="623"/>
      <c r="B18" s="395" t="s">
        <v>98</v>
      </c>
      <c r="C18" s="402">
        <v>228384000</v>
      </c>
      <c r="D18" s="397">
        <v>23</v>
      </c>
      <c r="E18" s="398">
        <v>19</v>
      </c>
      <c r="F18" s="399">
        <v>116616204.0271</v>
      </c>
      <c r="G18" s="400">
        <f t="shared" si="8"/>
        <v>-111767795.9729</v>
      </c>
      <c r="H18" s="401">
        <f t="shared" si="9"/>
        <v>0.51061459658776442</v>
      </c>
      <c r="I18" s="192">
        <f t="shared" si="10"/>
        <v>0</v>
      </c>
      <c r="J18" s="213"/>
      <c r="L18" s="608"/>
      <c r="M18" s="395" t="s">
        <v>98</v>
      </c>
      <c r="N18" s="402">
        <v>327225600</v>
      </c>
      <c r="O18" s="397">
        <v>16</v>
      </c>
      <c r="P18" s="398">
        <v>19</v>
      </c>
      <c r="Q18" s="399">
        <v>173433648.37840012</v>
      </c>
      <c r="R18" s="400">
        <f t="shared" si="11"/>
        <v>-153791951.62159988</v>
      </c>
      <c r="S18" s="401">
        <f t="shared" si="12"/>
        <v>0.53001246961851434</v>
      </c>
      <c r="T18" s="192">
        <f t="shared" si="13"/>
        <v>0</v>
      </c>
    </row>
    <row r="19" spans="1:20" x14ac:dyDescent="0.4">
      <c r="A19" s="623"/>
      <c r="B19" s="395" t="s">
        <v>99</v>
      </c>
      <c r="C19" s="402">
        <v>243609600</v>
      </c>
      <c r="D19" s="397">
        <v>9</v>
      </c>
      <c r="E19" s="398">
        <v>8</v>
      </c>
      <c r="F19" s="399">
        <v>148153952.34170002</v>
      </c>
      <c r="G19" s="400">
        <f t="shared" si="8"/>
        <v>-95455647.658299983</v>
      </c>
      <c r="H19" s="401">
        <f t="shared" si="9"/>
        <v>0.6081613874892452</v>
      </c>
      <c r="I19" s="192">
        <f t="shared" si="10"/>
        <v>296307.90468340006</v>
      </c>
      <c r="L19" s="608"/>
      <c r="M19" s="395" t="s">
        <v>99</v>
      </c>
      <c r="N19" s="402">
        <v>227635200</v>
      </c>
      <c r="O19" s="397">
        <v>14</v>
      </c>
      <c r="P19" s="398">
        <v>14</v>
      </c>
      <c r="Q19" s="399">
        <v>154112045.04479998</v>
      </c>
      <c r="R19" s="400">
        <f t="shared" si="11"/>
        <v>-73523154.955200016</v>
      </c>
      <c r="S19" s="401">
        <f t="shared" si="12"/>
        <v>0.67701324331562074</v>
      </c>
      <c r="T19" s="192">
        <f t="shared" si="13"/>
        <v>308224.09008959995</v>
      </c>
    </row>
    <row r="20" spans="1:20" x14ac:dyDescent="0.4">
      <c r="A20" s="623"/>
      <c r="B20" s="395" t="s">
        <v>100</v>
      </c>
      <c r="C20" s="402">
        <v>182707200</v>
      </c>
      <c r="D20" s="397">
        <v>14</v>
      </c>
      <c r="E20" s="398">
        <v>8</v>
      </c>
      <c r="F20" s="399">
        <v>215699574.26140019</v>
      </c>
      <c r="G20" s="400">
        <f t="shared" si="8"/>
        <v>32992374.261400193</v>
      </c>
      <c r="H20" s="401">
        <f t="shared" si="9"/>
        <v>1.1805751183390703</v>
      </c>
      <c r="I20" s="192">
        <f t="shared" si="10"/>
        <v>970648.08417630102</v>
      </c>
      <c r="L20" s="608"/>
      <c r="M20" s="395" t="s">
        <v>100</v>
      </c>
      <c r="N20" s="402">
        <v>213408000</v>
      </c>
      <c r="O20" s="397">
        <v>12</v>
      </c>
      <c r="P20" s="398">
        <v>7</v>
      </c>
      <c r="Q20" s="399">
        <v>92200517.117200002</v>
      </c>
      <c r="R20" s="400">
        <f t="shared" si="11"/>
        <v>-121207482.8828</v>
      </c>
      <c r="S20" s="401">
        <f t="shared" si="12"/>
        <v>0.43203871043822162</v>
      </c>
      <c r="T20" s="192">
        <f t="shared" si="13"/>
        <v>0</v>
      </c>
    </row>
    <row r="21" spans="1:20" x14ac:dyDescent="0.4">
      <c r="A21" s="623"/>
      <c r="B21" s="395" t="s">
        <v>101</v>
      </c>
      <c r="C21" s="402">
        <v>213158400.00000003</v>
      </c>
      <c r="D21" s="397">
        <v>15</v>
      </c>
      <c r="E21" s="398">
        <v>13</v>
      </c>
      <c r="F21" s="399">
        <v>186897655.3337</v>
      </c>
      <c r="G21" s="400">
        <f t="shared" si="8"/>
        <v>-26260744.666300029</v>
      </c>
      <c r="H21" s="401">
        <f t="shared" si="9"/>
        <v>0.87680173680089535</v>
      </c>
      <c r="I21" s="192">
        <f t="shared" si="10"/>
        <v>654141.79366794997</v>
      </c>
      <c r="L21" s="608"/>
      <c r="M21" s="395" t="s">
        <v>101</v>
      </c>
      <c r="N21" s="402">
        <v>227635200</v>
      </c>
      <c r="O21" s="397">
        <v>12</v>
      </c>
      <c r="P21" s="398">
        <v>9</v>
      </c>
      <c r="Q21" s="399">
        <v>163308998.73859999</v>
      </c>
      <c r="R21" s="400">
        <f t="shared" si="11"/>
        <v>-64326201.261400014</v>
      </c>
      <c r="S21" s="401">
        <f t="shared" si="12"/>
        <v>0.71741540297194806</v>
      </c>
      <c r="T21" s="192">
        <f t="shared" si="13"/>
        <v>326617.9974772</v>
      </c>
    </row>
    <row r="22" spans="1:20" ht="14.5" customHeight="1" thickBot="1" x14ac:dyDescent="0.45">
      <c r="A22" s="623"/>
      <c r="B22" s="403" t="s">
        <v>77</v>
      </c>
      <c r="C22" s="404">
        <f t="shared" ref="C22" si="14">SUM(C16:C21)</f>
        <v>1522560000</v>
      </c>
      <c r="D22" s="405">
        <f>SUM(D16:D21)</f>
        <v>95</v>
      </c>
      <c r="E22" s="406">
        <f t="shared" ref="E22" si="15">SUM(E16:E21)</f>
        <v>79</v>
      </c>
      <c r="F22" s="404">
        <f>SUM(F16:F21)</f>
        <v>1398557367.1848001</v>
      </c>
      <c r="G22" s="404">
        <f t="shared" si="8"/>
        <v>-124002632.81519985</v>
      </c>
      <c r="H22" s="407">
        <f t="shared" si="9"/>
        <v>0.91855648853562433</v>
      </c>
      <c r="I22" s="197">
        <f>SUM(I16:I21)</f>
        <v>5175625.7628021017</v>
      </c>
      <c r="L22" s="609"/>
      <c r="M22" s="446" t="s">
        <v>77</v>
      </c>
      <c r="N22" s="447">
        <f t="shared" ref="N22" si="16">SUM(N16:N21)</f>
        <v>1422720000</v>
      </c>
      <c r="O22" s="448">
        <f>SUM(O16:O21)</f>
        <v>80</v>
      </c>
      <c r="P22" s="449">
        <f t="shared" ref="P22" si="17">SUM(P16:P21)</f>
        <v>72</v>
      </c>
      <c r="Q22" s="447">
        <f>SUM(Q16:Q21)</f>
        <v>815491184.66620028</v>
      </c>
      <c r="R22" s="447">
        <f t="shared" si="11"/>
        <v>-607228815.33379972</v>
      </c>
      <c r="S22" s="450">
        <f t="shared" si="12"/>
        <v>0.57319162215066932</v>
      </c>
      <c r="T22" s="197">
        <f>SUM(T16:T21)</f>
        <v>925444.95243140007</v>
      </c>
    </row>
    <row r="23" spans="1:20" x14ac:dyDescent="0.4">
      <c r="B23" s="408" t="str">
        <f>$B$12</f>
        <v>TARGET Q3</v>
      </c>
      <c r="C23" s="409">
        <v>1370304000</v>
      </c>
      <c r="D23" s="431"/>
      <c r="E23" s="431"/>
      <c r="F23" s="409">
        <f>F22</f>
        <v>1398557367.1848001</v>
      </c>
      <c r="G23" s="409">
        <f t="shared" si="8"/>
        <v>28253367.184800148</v>
      </c>
      <c r="H23" s="410">
        <f>F23/C23</f>
        <v>1.020618320595138</v>
      </c>
      <c r="I23" s="192">
        <f>IF(H23&gt;=1,3500000,IF(H23&gt;=0.9,2500000,0))</f>
        <v>3500000</v>
      </c>
      <c r="M23" s="408" t="str">
        <f>$B$12</f>
        <v>TARGET Q3</v>
      </c>
      <c r="N23" s="409">
        <v>1280448000</v>
      </c>
      <c r="O23" s="431"/>
      <c r="P23" s="431"/>
      <c r="Q23" s="409">
        <f>Q22</f>
        <v>815491184.66620028</v>
      </c>
      <c r="R23" s="409">
        <f t="shared" si="11"/>
        <v>-464956815.33379972</v>
      </c>
      <c r="S23" s="410">
        <f>Q23/N23</f>
        <v>0.63687958016741042</v>
      </c>
      <c r="T23" s="192">
        <f>IF(S23&gt;=1,3500000,IF(S23&gt;=0.9,2500000,0))</f>
        <v>0</v>
      </c>
    </row>
    <row r="24" spans="1:20" ht="16.5" thickBot="1" x14ac:dyDescent="0.45">
      <c r="B24" s="417"/>
      <c r="C24" s="412">
        <f>C23/C22</f>
        <v>0.9</v>
      </c>
      <c r="D24" s="413"/>
      <c r="E24" s="414"/>
      <c r="F24" s="415"/>
      <c r="G24" s="416"/>
      <c r="H24" s="413"/>
      <c r="M24" s="417">
        <f>90%</f>
        <v>0.9</v>
      </c>
      <c r="N24" s="412">
        <f>N23/N22</f>
        <v>0.9</v>
      </c>
    </row>
    <row r="25" spans="1:20" ht="19.5" customHeight="1" x14ac:dyDescent="0.35">
      <c r="A25" s="623">
        <v>3</v>
      </c>
      <c r="B25" s="390" t="s">
        <v>57</v>
      </c>
      <c r="C25" s="391" t="s">
        <v>39</v>
      </c>
      <c r="D25" s="657" t="s">
        <v>174</v>
      </c>
      <c r="E25" s="658"/>
      <c r="F25" s="658"/>
      <c r="G25" s="659"/>
      <c r="H25" s="390" t="s">
        <v>66</v>
      </c>
      <c r="L25" s="613">
        <v>3</v>
      </c>
      <c r="M25" s="440" t="s">
        <v>57</v>
      </c>
      <c r="N25" s="441" t="s">
        <v>169</v>
      </c>
      <c r="O25" s="647" t="s">
        <v>174</v>
      </c>
      <c r="P25" s="648"/>
      <c r="Q25" s="648"/>
      <c r="R25" s="649"/>
      <c r="S25" s="440" t="s">
        <v>66</v>
      </c>
    </row>
    <row r="26" spans="1:20" ht="36" customHeight="1" x14ac:dyDescent="0.35">
      <c r="A26" s="623"/>
      <c r="B26" s="390" t="s">
        <v>93</v>
      </c>
      <c r="C26" s="391" t="s">
        <v>94</v>
      </c>
      <c r="D26" s="392" t="s">
        <v>91</v>
      </c>
      <c r="E26" s="392" t="s">
        <v>62</v>
      </c>
      <c r="F26" s="393" t="str">
        <f>"OMSET "&amp;UPPER(TEXT($B$1,"MMM"))&amp;CHAR(10)&amp;" (1-"&amp;DAY($B$1)&amp;")"</f>
        <v>OMSET JUL
 (1-31)</v>
      </c>
      <c r="G26" s="391" t="s">
        <v>65</v>
      </c>
      <c r="H26" s="394">
        <f>100/DAY(EOMONTH($B$1,0))*DAY($B$1)/100</f>
        <v>1</v>
      </c>
      <c r="L26" s="614"/>
      <c r="M26" s="440" t="s">
        <v>93</v>
      </c>
      <c r="N26" s="441" t="s">
        <v>94</v>
      </c>
      <c r="O26" s="442" t="s">
        <v>91</v>
      </c>
      <c r="P26" s="442" t="s">
        <v>62</v>
      </c>
      <c r="Q26" s="443" t="str">
        <f>F26</f>
        <v>OMSET JUL
 (1-31)</v>
      </c>
      <c r="R26" s="444" t="s">
        <v>65</v>
      </c>
      <c r="S26" s="445">
        <f>H26</f>
        <v>1</v>
      </c>
      <c r="T26" s="202"/>
    </row>
    <row r="27" spans="1:20" ht="14.5" customHeight="1" x14ac:dyDescent="0.4">
      <c r="A27" s="623"/>
      <c r="B27" s="395" t="s">
        <v>96</v>
      </c>
      <c r="C27" s="396">
        <v>361608000</v>
      </c>
      <c r="D27" s="397">
        <v>15</v>
      </c>
      <c r="E27" s="398">
        <v>12</v>
      </c>
      <c r="F27" s="399">
        <v>497015364.1449995</v>
      </c>
      <c r="G27" s="400">
        <f>F27-C27</f>
        <v>135407364.1449995</v>
      </c>
      <c r="H27" s="401">
        <f>F27/C27</f>
        <v>1.3744589836093215</v>
      </c>
      <c r="I27" s="192">
        <f>IF(H27&gt;120%,F27* 0.55%, IF(H27&gt;100%,F27* 0.45%, IF(H27&gt;80%,F27* 0.35%, IF(H27&gt;60%,F27* 0.2%, 0))))</f>
        <v>2733584.5027974974</v>
      </c>
      <c r="L27" s="614"/>
      <c r="M27" s="395" t="s">
        <v>96</v>
      </c>
      <c r="N27" s="396">
        <v>229132800.00000003</v>
      </c>
      <c r="O27" s="397">
        <v>10</v>
      </c>
      <c r="P27" s="398">
        <v>11</v>
      </c>
      <c r="Q27" s="399">
        <v>242464850.45040005</v>
      </c>
      <c r="R27" s="400">
        <f>Q27-N27</f>
        <v>13332050.450400025</v>
      </c>
      <c r="S27" s="401">
        <f>Q27/N27</f>
        <v>1.0581848188055138</v>
      </c>
      <c r="T27" s="192">
        <f>IF(S27&gt;120%,Q27* 0.55%, IF(S27&gt;100%,Q27* 0.45%, IF(S27&gt;80%,Q27* 0.35%, IF(S27&gt;60%,Q27* 0.2%, 0))))</f>
        <v>1091091.8270268005</v>
      </c>
    </row>
    <row r="28" spans="1:20" ht="14.5" customHeight="1" x14ac:dyDescent="0.4">
      <c r="A28" s="623"/>
      <c r="B28" s="395" t="s">
        <v>97</v>
      </c>
      <c r="C28" s="402">
        <v>245893440.00000003</v>
      </c>
      <c r="D28" s="397">
        <v>17</v>
      </c>
      <c r="E28" s="398">
        <v>18</v>
      </c>
      <c r="F28" s="399">
        <v>271463540.55049998</v>
      </c>
      <c r="G28" s="400">
        <f t="shared" ref="G28:G34" si="18">F28-C28</f>
        <v>25570100.550499946</v>
      </c>
      <c r="H28" s="401">
        <f t="shared" ref="H28:H33" si="19">F28/C28</f>
        <v>1.1039885429660097</v>
      </c>
      <c r="I28" s="192">
        <f t="shared" ref="I28:I32" si="20">IF(H28&gt;120%,F28* 0.55%, IF(H28&gt;100%,F28* 0.45%, IF(H28&gt;80%,F28* 0.35%, IF(H28&gt;60%,F28* 0.2%, 0))))</f>
        <v>1221585.93247725</v>
      </c>
      <c r="L28" s="614"/>
      <c r="M28" s="395" t="s">
        <v>97</v>
      </c>
      <c r="N28" s="402">
        <v>404352000</v>
      </c>
      <c r="O28" s="397">
        <v>14</v>
      </c>
      <c r="P28" s="398">
        <v>11</v>
      </c>
      <c r="Q28" s="399">
        <v>323077361.26080006</v>
      </c>
      <c r="R28" s="400">
        <f t="shared" ref="R28:R34" si="21">Q28-N28</f>
        <v>-81274638.739199936</v>
      </c>
      <c r="S28" s="401">
        <f t="shared" ref="S28:S33" si="22">Q28/N28</f>
        <v>0.79900028010446356</v>
      </c>
      <c r="T28" s="192">
        <f t="shared" ref="T28:T32" si="23">IF(S28&gt;120%,Q28* 0.55%, IF(S28&gt;100%,Q28* 0.45%, IF(S28&gt;80%,Q28* 0.35%, IF(S28&gt;60%,Q28* 0.2%, 0))))</f>
        <v>646154.7225216002</v>
      </c>
    </row>
    <row r="29" spans="1:20" ht="14.5" customHeight="1" x14ac:dyDescent="0.4">
      <c r="A29" s="623"/>
      <c r="B29" s="395" t="s">
        <v>98</v>
      </c>
      <c r="C29" s="402">
        <v>173571840</v>
      </c>
      <c r="D29" s="397">
        <v>21</v>
      </c>
      <c r="E29" s="398">
        <v>20</v>
      </c>
      <c r="F29" s="399">
        <v>291486807.20630002</v>
      </c>
      <c r="G29" s="400">
        <f t="shared" si="18"/>
        <v>117914967.20630002</v>
      </c>
      <c r="H29" s="401">
        <f t="shared" si="19"/>
        <v>1.6793438797808447</v>
      </c>
      <c r="I29" s="192">
        <f t="shared" si="20"/>
        <v>1603177.4396346502</v>
      </c>
      <c r="L29" s="614"/>
      <c r="M29" s="395" t="s">
        <v>98</v>
      </c>
      <c r="N29" s="402">
        <v>202176000</v>
      </c>
      <c r="O29" s="397">
        <v>8</v>
      </c>
      <c r="P29" s="398">
        <v>8</v>
      </c>
      <c r="Q29" s="399">
        <v>131191819.81809995</v>
      </c>
      <c r="R29" s="400">
        <f t="shared" si="21"/>
        <v>-70984180.181900054</v>
      </c>
      <c r="S29" s="401">
        <f t="shared" si="22"/>
        <v>0.64889907713131112</v>
      </c>
      <c r="T29" s="192">
        <f t="shared" si="23"/>
        <v>262383.63963619992</v>
      </c>
    </row>
    <row r="30" spans="1:20" ht="14.5" customHeight="1" x14ac:dyDescent="0.4">
      <c r="A30" s="623"/>
      <c r="B30" s="395" t="s">
        <v>99</v>
      </c>
      <c r="C30" s="402">
        <v>188036160</v>
      </c>
      <c r="D30" s="397">
        <v>9</v>
      </c>
      <c r="E30" s="398">
        <v>9</v>
      </c>
      <c r="F30" s="399">
        <v>233651159.58560014</v>
      </c>
      <c r="G30" s="400">
        <f t="shared" si="18"/>
        <v>45614999.585600138</v>
      </c>
      <c r="H30" s="401">
        <f t="shared" si="19"/>
        <v>1.2425863173636398</v>
      </c>
      <c r="I30" s="192">
        <f t="shared" si="20"/>
        <v>1285081.3777208009</v>
      </c>
      <c r="L30" s="614"/>
      <c r="M30" s="395" t="s">
        <v>99</v>
      </c>
      <c r="N30" s="402">
        <v>148262400</v>
      </c>
      <c r="O30" s="397">
        <v>13</v>
      </c>
      <c r="P30" s="398">
        <v>9</v>
      </c>
      <c r="Q30" s="399">
        <v>39500459.459199995</v>
      </c>
      <c r="R30" s="400">
        <f t="shared" si="21"/>
        <v>-108761940.54080001</v>
      </c>
      <c r="S30" s="401">
        <f t="shared" si="22"/>
        <v>0.26642263621255285</v>
      </c>
      <c r="T30" s="192">
        <f t="shared" si="23"/>
        <v>0</v>
      </c>
    </row>
    <row r="31" spans="1:20" ht="14.5" customHeight="1" x14ac:dyDescent="0.4">
      <c r="A31" s="623"/>
      <c r="B31" s="395" t="s">
        <v>100</v>
      </c>
      <c r="C31" s="402">
        <v>159107520</v>
      </c>
      <c r="D31" s="397">
        <v>12</v>
      </c>
      <c r="E31" s="398">
        <v>10</v>
      </c>
      <c r="F31" s="399">
        <v>98369291.442300007</v>
      </c>
      <c r="G31" s="400">
        <f t="shared" si="18"/>
        <v>-60738228.557699993</v>
      </c>
      <c r="H31" s="401">
        <f t="shared" si="19"/>
        <v>0.61825670742841077</v>
      </c>
      <c r="I31" s="192">
        <f t="shared" si="20"/>
        <v>196738.58288460001</v>
      </c>
      <c r="L31" s="614"/>
      <c r="M31" s="395" t="s">
        <v>100</v>
      </c>
      <c r="N31" s="402">
        <v>202176000</v>
      </c>
      <c r="O31" s="397">
        <v>12</v>
      </c>
      <c r="P31" s="398">
        <v>12</v>
      </c>
      <c r="Q31" s="399">
        <v>57061486.485700011</v>
      </c>
      <c r="R31" s="400">
        <f t="shared" si="21"/>
        <v>-145114513.51429999</v>
      </c>
      <c r="S31" s="401">
        <f t="shared" si="22"/>
        <v>0.28223669716336269</v>
      </c>
      <c r="T31" s="192">
        <f t="shared" si="23"/>
        <v>0</v>
      </c>
    </row>
    <row r="32" spans="1:20" ht="14.5" customHeight="1" x14ac:dyDescent="0.4">
      <c r="A32" s="623"/>
      <c r="B32" s="395" t="s">
        <v>101</v>
      </c>
      <c r="C32" s="402">
        <v>318215040</v>
      </c>
      <c r="D32" s="397">
        <v>20</v>
      </c>
      <c r="E32" s="398">
        <v>18</v>
      </c>
      <c r="F32" s="399">
        <v>486758161.36889994</v>
      </c>
      <c r="G32" s="400">
        <f t="shared" si="18"/>
        <v>168543121.36889994</v>
      </c>
      <c r="H32" s="401">
        <f t="shared" si="19"/>
        <v>1.5296516511881397</v>
      </c>
      <c r="I32" s="192">
        <f t="shared" si="20"/>
        <v>2677169.8875289499</v>
      </c>
      <c r="L32" s="614"/>
      <c r="M32" s="395" t="s">
        <v>101</v>
      </c>
      <c r="N32" s="402">
        <v>161740800</v>
      </c>
      <c r="O32" s="397">
        <v>11</v>
      </c>
      <c r="P32" s="398">
        <v>11</v>
      </c>
      <c r="Q32" s="399">
        <v>64649815.314799987</v>
      </c>
      <c r="R32" s="400">
        <f t="shared" si="21"/>
        <v>-97090984.685200006</v>
      </c>
      <c r="S32" s="401">
        <f t="shared" si="22"/>
        <v>0.39971247400037585</v>
      </c>
      <c r="T32" s="192">
        <f t="shared" si="23"/>
        <v>0</v>
      </c>
    </row>
    <row r="33" spans="1:20" ht="14.5" customHeight="1" thickBot="1" x14ac:dyDescent="0.45">
      <c r="A33" s="623"/>
      <c r="B33" s="403" t="s">
        <v>77</v>
      </c>
      <c r="C33" s="404">
        <f t="shared" ref="C33" si="24">SUM(C27:C32)</f>
        <v>1446432000</v>
      </c>
      <c r="D33" s="405">
        <f>SUM(D27:D32)</f>
        <v>94</v>
      </c>
      <c r="E33" s="406">
        <f t="shared" ref="E33" si="25">SUM(E27:E32)</f>
        <v>87</v>
      </c>
      <c r="F33" s="404">
        <f>SUM(F27:F32)</f>
        <v>1878744324.2985997</v>
      </c>
      <c r="G33" s="404">
        <f t="shared" si="18"/>
        <v>432312324.29859972</v>
      </c>
      <c r="H33" s="407">
        <f t="shared" si="19"/>
        <v>1.2988818861160425</v>
      </c>
      <c r="I33" s="197">
        <f>SUM(I27:I32)</f>
        <v>9717337.7230437491</v>
      </c>
      <c r="L33" s="615"/>
      <c r="M33" s="446" t="s">
        <v>77</v>
      </c>
      <c r="N33" s="447">
        <f t="shared" ref="N33" si="26">SUM(N27:N32)</f>
        <v>1347840000</v>
      </c>
      <c r="O33" s="448">
        <f>SUM(O27:O32)</f>
        <v>68</v>
      </c>
      <c r="P33" s="449">
        <f t="shared" ref="P33" si="27">SUM(P27:P32)</f>
        <v>62</v>
      </c>
      <c r="Q33" s="447">
        <f>SUM(Q27:Q32)</f>
        <v>857945792.78900015</v>
      </c>
      <c r="R33" s="447">
        <f t="shared" si="21"/>
        <v>-489894207.21099985</v>
      </c>
      <c r="S33" s="450">
        <f t="shared" si="22"/>
        <v>0.63653385623590353</v>
      </c>
      <c r="T33" s="197">
        <f>SUM(T27:T32)</f>
        <v>1999630.1891846005</v>
      </c>
    </row>
    <row r="34" spans="1:20" x14ac:dyDescent="0.4">
      <c r="B34" s="408" t="str">
        <f>$B$12</f>
        <v>TARGET Q3</v>
      </c>
      <c r="C34" s="409">
        <v>1301788800</v>
      </c>
      <c r="D34" s="431"/>
      <c r="E34" s="431"/>
      <c r="F34" s="409">
        <f>F33</f>
        <v>1878744324.2985997</v>
      </c>
      <c r="G34" s="409">
        <f t="shared" si="18"/>
        <v>576955524.29859972</v>
      </c>
      <c r="H34" s="410">
        <f>F34/C34</f>
        <v>1.4432020956844918</v>
      </c>
      <c r="I34" s="192">
        <f>IF(H34&gt;=1,3500000,IF(H34&gt;=0.9,2500000,0))</f>
        <v>3500000</v>
      </c>
      <c r="M34" s="408" t="str">
        <f>$B$12</f>
        <v>TARGET Q3</v>
      </c>
      <c r="N34" s="409">
        <v>1213056000</v>
      </c>
      <c r="O34" s="431"/>
      <c r="P34" s="431"/>
      <c r="Q34" s="409">
        <f>Q33</f>
        <v>857945792.78900015</v>
      </c>
      <c r="R34" s="409">
        <f t="shared" si="21"/>
        <v>-355110207.21099985</v>
      </c>
      <c r="S34" s="410">
        <f>Q34/N34</f>
        <v>0.70725984026211497</v>
      </c>
      <c r="T34" s="192">
        <f>IF(S34&gt;=1,3500000,IF(S34&gt;=0.9,2500000,0))</f>
        <v>0</v>
      </c>
    </row>
    <row r="35" spans="1:20" ht="16.5" thickBot="1" x14ac:dyDescent="0.45">
      <c r="B35" s="417">
        <f>80%</f>
        <v>0.8</v>
      </c>
      <c r="C35" s="412">
        <f>C34/C33</f>
        <v>0.9</v>
      </c>
      <c r="D35" s="413"/>
      <c r="E35" s="414"/>
      <c r="F35" s="415"/>
      <c r="G35" s="416"/>
      <c r="H35" s="413"/>
      <c r="M35" s="417">
        <f>90%</f>
        <v>0.9</v>
      </c>
      <c r="N35" s="412">
        <f>N34/N33</f>
        <v>0.9</v>
      </c>
    </row>
    <row r="36" spans="1:20" ht="19.5" customHeight="1" x14ac:dyDescent="0.35">
      <c r="A36" s="623">
        <v>4</v>
      </c>
      <c r="B36" s="390" t="s">
        <v>57</v>
      </c>
      <c r="C36" s="391" t="s">
        <v>176</v>
      </c>
      <c r="D36" s="657" t="s">
        <v>177</v>
      </c>
      <c r="E36" s="658"/>
      <c r="F36" s="658"/>
      <c r="G36" s="659"/>
      <c r="H36" s="390" t="s">
        <v>66</v>
      </c>
      <c r="L36" s="607">
        <v>4</v>
      </c>
      <c r="M36" s="440" t="s">
        <v>57</v>
      </c>
      <c r="N36" s="441" t="s">
        <v>53</v>
      </c>
      <c r="O36" s="647" t="s">
        <v>184</v>
      </c>
      <c r="P36" s="648"/>
      <c r="Q36" s="648"/>
      <c r="R36" s="649"/>
      <c r="S36" s="440" t="s">
        <v>66</v>
      </c>
    </row>
    <row r="37" spans="1:20" ht="36" customHeight="1" x14ac:dyDescent="0.35">
      <c r="A37" s="623"/>
      <c r="B37" s="390" t="s">
        <v>93</v>
      </c>
      <c r="C37" s="391" t="s">
        <v>94</v>
      </c>
      <c r="D37" s="392" t="s">
        <v>91</v>
      </c>
      <c r="E37" s="392" t="s">
        <v>62</v>
      </c>
      <c r="F37" s="393" t="str">
        <f>"OMSET "&amp;UPPER(TEXT($B$1,"MMM"))&amp;CHAR(10)&amp;" (1-"&amp;DAY($B$1)&amp;")"</f>
        <v>OMSET JUL
 (1-31)</v>
      </c>
      <c r="G37" s="391" t="s">
        <v>65</v>
      </c>
      <c r="H37" s="394">
        <f>100/DAY(EOMONTH($B$1,0))*DAY($B$1)/100</f>
        <v>1</v>
      </c>
      <c r="I37" s="214"/>
      <c r="J37" s="212"/>
      <c r="L37" s="608"/>
      <c r="M37" s="440" t="s">
        <v>93</v>
      </c>
      <c r="N37" s="441" t="s">
        <v>94</v>
      </c>
      <c r="O37" s="442" t="s">
        <v>91</v>
      </c>
      <c r="P37" s="442" t="s">
        <v>62</v>
      </c>
      <c r="Q37" s="443" t="str">
        <f>F37</f>
        <v>OMSET JUL
 (1-31)</v>
      </c>
      <c r="R37" s="444" t="s">
        <v>65</v>
      </c>
      <c r="S37" s="445">
        <f>H37</f>
        <v>1</v>
      </c>
      <c r="T37" s="202"/>
    </row>
    <row r="38" spans="1:20" ht="14.5" customHeight="1" x14ac:dyDescent="0.4">
      <c r="A38" s="623"/>
      <c r="B38" s="395" t="s">
        <v>96</v>
      </c>
      <c r="C38" s="396">
        <v>117237120.00000001</v>
      </c>
      <c r="D38" s="397">
        <v>19</v>
      </c>
      <c r="E38" s="398">
        <v>18</v>
      </c>
      <c r="F38" s="399">
        <v>167853430.09089997</v>
      </c>
      <c r="G38" s="400">
        <f>F38-C38</f>
        <v>50616310.090899959</v>
      </c>
      <c r="H38" s="401">
        <f>F38/C38</f>
        <v>1.4317430357458454</v>
      </c>
      <c r="I38" s="192">
        <f>IF(H38&gt;120%,F38* 0.55%, IF(H38&gt;100%,F38* 0.45%, IF(H38&gt;80%,F38* 0.35%, IF(H38&gt;60%,F38* 0.2%, 0))))</f>
        <v>923193.8654999499</v>
      </c>
      <c r="J38" s="215"/>
      <c r="K38" s="216"/>
      <c r="L38" s="608"/>
      <c r="M38" s="395" t="s">
        <v>96</v>
      </c>
      <c r="N38" s="396">
        <v>318240000</v>
      </c>
      <c r="O38" s="397">
        <v>11</v>
      </c>
      <c r="P38" s="398">
        <v>9</v>
      </c>
      <c r="Q38" s="399">
        <v>400077292.79280013</v>
      </c>
      <c r="R38" s="400">
        <f>Q38-N38</f>
        <v>81837292.792800128</v>
      </c>
      <c r="S38" s="401">
        <f>Q38/N38</f>
        <v>1.2571558974132735</v>
      </c>
      <c r="T38" s="192">
        <f>IF(S38&gt;120%,Q38* 0.55%, IF(S38&gt;100%,Q38* 0.45%, IF(S38&gt;80%,Q38* 0.35%, IF(S38&gt;60%,Q38* 0.2%, 0))))</f>
        <v>2200425.1103604008</v>
      </c>
    </row>
    <row r="39" spans="1:20" ht="14.5" customHeight="1" x14ac:dyDescent="0.4">
      <c r="A39" s="623"/>
      <c r="B39" s="395" t="s">
        <v>97</v>
      </c>
      <c r="C39" s="402">
        <v>502444800</v>
      </c>
      <c r="D39" s="397">
        <v>13</v>
      </c>
      <c r="E39" s="398">
        <v>13</v>
      </c>
      <c r="F39" s="399">
        <v>543458107.20669985</v>
      </c>
      <c r="G39" s="400">
        <f t="shared" ref="G39:G45" si="28">F39-C39</f>
        <v>41013307.206699848</v>
      </c>
      <c r="H39" s="401">
        <f t="shared" ref="H39:H44" si="29">F39/C39</f>
        <v>1.0816274886449215</v>
      </c>
      <c r="I39" s="192">
        <f t="shared" ref="I39:I43" si="30">IF(H39&gt;120%,F39* 0.55%, IF(H39&gt;100%,F39* 0.45%, IF(H39&gt;80%,F39* 0.35%, IF(H39&gt;60%,F39* 0.2%, 0))))</f>
        <v>2445561.4824301498</v>
      </c>
      <c r="J39" s="215"/>
      <c r="K39" s="216"/>
      <c r="L39" s="608"/>
      <c r="M39" s="395" t="s">
        <v>97</v>
      </c>
      <c r="N39" s="402">
        <v>187200000</v>
      </c>
      <c r="O39" s="397">
        <v>7</v>
      </c>
      <c r="P39" s="398">
        <v>4</v>
      </c>
      <c r="Q39" s="399">
        <v>13196266.999999996</v>
      </c>
      <c r="R39" s="400">
        <f t="shared" ref="R39:R45" si="31">Q39-N39</f>
        <v>-174003733</v>
      </c>
      <c r="S39" s="401">
        <f t="shared" ref="S39:S44" si="32">Q39/N39</f>
        <v>7.0492879273504255E-2</v>
      </c>
      <c r="T39" s="192">
        <f t="shared" ref="T39:T43" si="33">IF(S39&gt;120%,Q39* 0.55%, IF(S39&gt;100%,Q39* 0.45%, IF(S39&gt;80%,Q39* 0.35%, IF(S39&gt;60%,Q39* 0.2%, 0))))</f>
        <v>0</v>
      </c>
    </row>
    <row r="40" spans="1:20" ht="14.5" customHeight="1" x14ac:dyDescent="0.4">
      <c r="A40" s="623"/>
      <c r="B40" s="395" t="s">
        <v>98</v>
      </c>
      <c r="C40" s="402">
        <v>485696639.99999994</v>
      </c>
      <c r="D40" s="397">
        <v>15</v>
      </c>
      <c r="E40" s="398">
        <v>15</v>
      </c>
      <c r="F40" s="399">
        <v>452563836.11190015</v>
      </c>
      <c r="G40" s="400">
        <f t="shared" si="28"/>
        <v>-33132803.88809979</v>
      </c>
      <c r="H40" s="401">
        <f t="shared" si="29"/>
        <v>0.93178292547360464</v>
      </c>
      <c r="I40" s="192">
        <f t="shared" si="30"/>
        <v>1583973.4263916505</v>
      </c>
      <c r="J40" s="215"/>
      <c r="K40" s="216"/>
      <c r="L40" s="608"/>
      <c r="M40" s="395" t="s">
        <v>98</v>
      </c>
      <c r="N40" s="402">
        <v>299520000</v>
      </c>
      <c r="O40" s="397">
        <v>14</v>
      </c>
      <c r="P40" s="398">
        <v>13</v>
      </c>
      <c r="Q40" s="399">
        <v>388553033.33299977</v>
      </c>
      <c r="R40" s="400">
        <f t="shared" si="31"/>
        <v>89033033.332999766</v>
      </c>
      <c r="S40" s="401">
        <f t="shared" si="32"/>
        <v>1.2972523815872055</v>
      </c>
      <c r="T40" s="192">
        <f t="shared" si="33"/>
        <v>2137041.6833314989</v>
      </c>
    </row>
    <row r="41" spans="1:20" ht="14.5" customHeight="1" x14ac:dyDescent="0.4">
      <c r="A41" s="623"/>
      <c r="B41" s="395" t="s">
        <v>99</v>
      </c>
      <c r="C41" s="402">
        <v>217726080</v>
      </c>
      <c r="D41" s="397">
        <v>13</v>
      </c>
      <c r="E41" s="398">
        <v>12</v>
      </c>
      <c r="F41" s="399">
        <v>161401641.18979982</v>
      </c>
      <c r="G41" s="400">
        <f t="shared" si="28"/>
        <v>-56324438.810200185</v>
      </c>
      <c r="H41" s="401">
        <f t="shared" si="29"/>
        <v>0.7413059620133694</v>
      </c>
      <c r="I41" s="192">
        <f t="shared" si="30"/>
        <v>322803.28237959964</v>
      </c>
      <c r="J41" s="215"/>
      <c r="K41" s="216"/>
      <c r="L41" s="608"/>
      <c r="M41" s="395" t="s">
        <v>99</v>
      </c>
      <c r="N41" s="402">
        <v>655200000</v>
      </c>
      <c r="O41" s="397">
        <v>15</v>
      </c>
      <c r="P41" s="398">
        <v>15</v>
      </c>
      <c r="Q41" s="399">
        <v>759539445.94419992</v>
      </c>
      <c r="R41" s="400">
        <f t="shared" si="31"/>
        <v>104339445.94419992</v>
      </c>
      <c r="S41" s="401">
        <f t="shared" si="32"/>
        <v>1.1592482386205738</v>
      </c>
      <c r="T41" s="192">
        <f t="shared" si="33"/>
        <v>3417927.5067488998</v>
      </c>
    </row>
    <row r="42" spans="1:20" ht="14.5" customHeight="1" x14ac:dyDescent="0.4">
      <c r="A42" s="623"/>
      <c r="B42" s="395" t="s">
        <v>100</v>
      </c>
      <c r="C42" s="402">
        <v>167481600</v>
      </c>
      <c r="D42" s="397">
        <v>13</v>
      </c>
      <c r="E42" s="398">
        <v>10</v>
      </c>
      <c r="F42" s="399">
        <v>109753827.80209999</v>
      </c>
      <c r="G42" s="400">
        <f t="shared" si="28"/>
        <v>-57727772.197900012</v>
      </c>
      <c r="H42" s="401">
        <f t="shared" si="29"/>
        <v>0.65531872039734507</v>
      </c>
      <c r="I42" s="192">
        <f t="shared" si="30"/>
        <v>219507.65560419997</v>
      </c>
      <c r="J42" s="215"/>
      <c r="K42" s="216"/>
      <c r="L42" s="608"/>
      <c r="M42" s="395" t="s">
        <v>100</v>
      </c>
      <c r="N42" s="402">
        <v>224640000</v>
      </c>
      <c r="O42" s="397">
        <v>8</v>
      </c>
      <c r="P42" s="398">
        <v>7</v>
      </c>
      <c r="Q42" s="399">
        <v>146446666.66679999</v>
      </c>
      <c r="R42" s="400">
        <f t="shared" si="31"/>
        <v>-78193333.333200008</v>
      </c>
      <c r="S42" s="401">
        <f t="shared" si="32"/>
        <v>0.65191714150106839</v>
      </c>
      <c r="T42" s="192">
        <f t="shared" si="33"/>
        <v>292893.33333359996</v>
      </c>
    </row>
    <row r="43" spans="1:20" ht="14.5" customHeight="1" x14ac:dyDescent="0.4">
      <c r="A43" s="623"/>
      <c r="B43" s="395" t="s">
        <v>101</v>
      </c>
      <c r="C43" s="402">
        <v>184229760</v>
      </c>
      <c r="D43" s="397">
        <v>12</v>
      </c>
      <c r="E43" s="398">
        <v>11</v>
      </c>
      <c r="F43" s="399">
        <v>194994116.63289997</v>
      </c>
      <c r="G43" s="400">
        <f t="shared" si="28"/>
        <v>10764356.63289997</v>
      </c>
      <c r="H43" s="401">
        <f t="shared" si="29"/>
        <v>1.0584289782112291</v>
      </c>
      <c r="I43" s="192">
        <f t="shared" si="30"/>
        <v>877473.52484804997</v>
      </c>
      <c r="J43" s="215"/>
      <c r="K43" s="216"/>
      <c r="L43" s="608"/>
      <c r="M43" s="395" t="s">
        <v>101</v>
      </c>
      <c r="N43" s="402">
        <v>187200000</v>
      </c>
      <c r="O43" s="397">
        <v>7</v>
      </c>
      <c r="P43" s="398">
        <v>6</v>
      </c>
      <c r="Q43" s="399">
        <v>204576500.86469996</v>
      </c>
      <c r="R43" s="400">
        <f t="shared" si="31"/>
        <v>17376500.86469996</v>
      </c>
      <c r="S43" s="401">
        <f t="shared" si="32"/>
        <v>1.0928231883798074</v>
      </c>
      <c r="T43" s="192">
        <f t="shared" si="33"/>
        <v>920594.25389114989</v>
      </c>
    </row>
    <row r="44" spans="1:20" ht="14.5" customHeight="1" thickBot="1" x14ac:dyDescent="0.45">
      <c r="A44" s="623"/>
      <c r="B44" s="403" t="s">
        <v>77</v>
      </c>
      <c r="C44" s="404">
        <f t="shared" ref="C44" si="34">SUM(C38:C43)</f>
        <v>1674816000</v>
      </c>
      <c r="D44" s="405">
        <f>SUM(D38:D43)</f>
        <v>85</v>
      </c>
      <c r="E44" s="406">
        <f t="shared" ref="E44" si="35">SUM(E38:E43)</f>
        <v>79</v>
      </c>
      <c r="F44" s="404">
        <f>SUM(F38:F43)</f>
        <v>1630024959.0342996</v>
      </c>
      <c r="G44" s="404">
        <f t="shared" si="28"/>
        <v>-44791040.965700388</v>
      </c>
      <c r="H44" s="407">
        <f t="shared" si="29"/>
        <v>0.97325614218773859</v>
      </c>
      <c r="I44" s="197">
        <f>SUM(I38:I43)</f>
        <v>6372513.237153599</v>
      </c>
      <c r="L44" s="609"/>
      <c r="M44" s="446" t="s">
        <v>77</v>
      </c>
      <c r="N44" s="447">
        <f t="shared" ref="N44" si="36">SUM(N38:N43)</f>
        <v>1872000000</v>
      </c>
      <c r="O44" s="448">
        <f>SUM(O38:O43)</f>
        <v>62</v>
      </c>
      <c r="P44" s="449">
        <f t="shared" ref="P44" si="37">SUM(P38:P43)</f>
        <v>54</v>
      </c>
      <c r="Q44" s="447">
        <f>SUM(Q38:Q43)</f>
        <v>1912389206.6014996</v>
      </c>
      <c r="R44" s="447">
        <f t="shared" si="31"/>
        <v>40389206.601499557</v>
      </c>
      <c r="S44" s="450">
        <f t="shared" si="32"/>
        <v>1.0215754308768694</v>
      </c>
      <c r="T44" s="197">
        <f>SUM(T38:T43)</f>
        <v>8968881.8876655493</v>
      </c>
    </row>
    <row r="45" spans="1:20" x14ac:dyDescent="0.4">
      <c r="B45" s="408" t="str">
        <f>$B$12</f>
        <v>TARGET Q3</v>
      </c>
      <c r="C45" s="409">
        <v>1507334400</v>
      </c>
      <c r="D45" s="431"/>
      <c r="E45" s="431"/>
      <c r="F45" s="409">
        <f>F44</f>
        <v>1630024959.0342996</v>
      </c>
      <c r="G45" s="409">
        <f t="shared" si="28"/>
        <v>122690559.03429961</v>
      </c>
      <c r="H45" s="410">
        <f>F45/C45</f>
        <v>1.0813957135419319</v>
      </c>
      <c r="I45" s="192">
        <f>IF(H45&gt;=1,3500000,IF(H45&gt;=0.9,2500000,0))</f>
        <v>3500000</v>
      </c>
      <c r="M45" s="408" t="str">
        <f>$B$12</f>
        <v>TARGET Q3</v>
      </c>
      <c r="N45" s="409">
        <v>1684800000</v>
      </c>
      <c r="O45" s="431"/>
      <c r="P45" s="431"/>
      <c r="Q45" s="409">
        <f>Q44</f>
        <v>1912389206.6014996</v>
      </c>
      <c r="R45" s="409">
        <f t="shared" si="31"/>
        <v>227589206.60149956</v>
      </c>
      <c r="S45" s="410">
        <f>Q45/N45</f>
        <v>1.1350838120854105</v>
      </c>
      <c r="T45" s="192">
        <f>IF(S45&gt;=1,3500000,IF(S45&gt;=0.9,2500000,0))</f>
        <v>3500000</v>
      </c>
    </row>
    <row r="46" spans="1:20" ht="16.5" thickBot="1" x14ac:dyDescent="0.45">
      <c r="B46" s="417"/>
      <c r="C46" s="412">
        <f>C45/C44</f>
        <v>0.9</v>
      </c>
      <c r="D46" s="413"/>
      <c r="E46" s="414"/>
      <c r="F46" s="415"/>
      <c r="G46" s="416"/>
      <c r="H46" s="413"/>
      <c r="N46" s="412">
        <f>N45/N44</f>
        <v>0.9</v>
      </c>
    </row>
    <row r="47" spans="1:20" ht="19.5" customHeight="1" x14ac:dyDescent="0.35">
      <c r="A47" s="627">
        <v>5</v>
      </c>
      <c r="B47" s="390" t="s">
        <v>57</v>
      </c>
      <c r="C47" s="391" t="s">
        <v>35</v>
      </c>
      <c r="D47" s="657" t="s">
        <v>178</v>
      </c>
      <c r="E47" s="658"/>
      <c r="F47" s="658"/>
      <c r="G47" s="659"/>
      <c r="H47" s="390" t="s">
        <v>66</v>
      </c>
      <c r="L47" s="613">
        <v>5</v>
      </c>
      <c r="M47" s="440" t="s">
        <v>57</v>
      </c>
      <c r="N47" s="441" t="s">
        <v>185</v>
      </c>
      <c r="O47" s="647" t="s">
        <v>178</v>
      </c>
      <c r="P47" s="648"/>
      <c r="Q47" s="648"/>
      <c r="R47" s="649"/>
      <c r="S47" s="440" t="s">
        <v>66</v>
      </c>
    </row>
    <row r="48" spans="1:20" ht="36" customHeight="1" x14ac:dyDescent="0.35">
      <c r="A48" s="628"/>
      <c r="B48" s="390" t="s">
        <v>93</v>
      </c>
      <c r="C48" s="391" t="s">
        <v>94</v>
      </c>
      <c r="D48" s="392" t="s">
        <v>91</v>
      </c>
      <c r="E48" s="392" t="s">
        <v>62</v>
      </c>
      <c r="F48" s="393" t="str">
        <f>"OMSET "&amp;UPPER(TEXT($B$1,"MMM"))&amp;CHAR(10)&amp;" (1-"&amp;DAY($B$1)&amp;")"</f>
        <v>OMSET JUL
 (1-31)</v>
      </c>
      <c r="G48" s="391" t="s">
        <v>65</v>
      </c>
      <c r="H48" s="394">
        <f>100/DAY(EOMONTH($B$1,0))*DAY($B$1)/100</f>
        <v>1</v>
      </c>
      <c r="I48" s="211"/>
      <c r="J48" s="212"/>
      <c r="L48" s="614"/>
      <c r="M48" s="440" t="s">
        <v>93</v>
      </c>
      <c r="N48" s="441" t="s">
        <v>94</v>
      </c>
      <c r="O48" s="442" t="s">
        <v>91</v>
      </c>
      <c r="P48" s="442" t="s">
        <v>62</v>
      </c>
      <c r="Q48" s="443" t="str">
        <f>F48</f>
        <v>OMSET JUL
 (1-31)</v>
      </c>
      <c r="R48" s="444" t="s">
        <v>65</v>
      </c>
      <c r="S48" s="445">
        <f>H48</f>
        <v>1</v>
      </c>
    </row>
    <row r="49" spans="1:20" ht="14.5" customHeight="1" x14ac:dyDescent="0.4">
      <c r="A49" s="628"/>
      <c r="B49" s="395" t="s">
        <v>96</v>
      </c>
      <c r="C49" s="396">
        <v>159868800</v>
      </c>
      <c r="D49" s="397">
        <v>19</v>
      </c>
      <c r="E49" s="398">
        <v>18</v>
      </c>
      <c r="F49" s="399">
        <v>211120978.82889995</v>
      </c>
      <c r="G49" s="400">
        <f>F49-C49</f>
        <v>51252178.82889995</v>
      </c>
      <c r="H49" s="401">
        <f>F49/C49</f>
        <v>1.3205890006611669</v>
      </c>
      <c r="I49" s="192">
        <f>IF(H49&gt;120%,F49* 0.55%, IF(H49&gt;100%,F49* 0.45%, IF(H49&gt;80%,F49* 0.35%, IF(H49&gt;60%,F49* 0.2%, 0))))</f>
        <v>1161165.3835589499</v>
      </c>
      <c r="L49" s="614"/>
      <c r="M49" s="395" t="s">
        <v>96</v>
      </c>
      <c r="N49" s="396">
        <v>688896000</v>
      </c>
      <c r="O49" s="397">
        <v>23</v>
      </c>
      <c r="P49" s="398">
        <v>20</v>
      </c>
      <c r="Q49" s="399">
        <v>905943324.32429957</v>
      </c>
      <c r="R49" s="400">
        <f>Q49-N49</f>
        <v>217047324.32429957</v>
      </c>
      <c r="S49" s="401">
        <f>Q49/N49</f>
        <v>1.3150654443113323</v>
      </c>
      <c r="T49" s="192">
        <f>IF(S49&gt;120%,Q49* 0.55%, IF(S49&gt;100%,Q49* 0.45%, IF(S49&gt;80%,Q49* 0.35%, IF(S49&gt;60%,Q49* 0.2%, 0))))</f>
        <v>4982688.2837836482</v>
      </c>
    </row>
    <row r="50" spans="1:20" ht="14.5" customHeight="1" x14ac:dyDescent="0.4">
      <c r="A50" s="628"/>
      <c r="B50" s="395" t="s">
        <v>97</v>
      </c>
      <c r="C50" s="402">
        <v>623488320</v>
      </c>
      <c r="D50" s="397">
        <v>32</v>
      </c>
      <c r="E50" s="398">
        <v>27</v>
      </c>
      <c r="F50" s="399">
        <v>695157827.37669992</v>
      </c>
      <c r="G50" s="400">
        <f t="shared" ref="G50:G56" si="38">F50-C50</f>
        <v>71669507.376699924</v>
      </c>
      <c r="H50" s="401">
        <f t="shared" ref="H50:H55" si="39">F50/C50</f>
        <v>1.1149492381456318</v>
      </c>
      <c r="I50" s="192">
        <f t="shared" ref="I50:I54" si="40">IF(H50&gt;120%,F50* 0.55%, IF(H50&gt;100%,F50* 0.45%, IF(H50&gt;80%,F50* 0.35%, IF(H50&gt;60%,F50* 0.2%, 0))))</f>
        <v>3128210.22319515</v>
      </c>
      <c r="K50" s="216"/>
      <c r="L50" s="614"/>
      <c r="M50" s="395" t="s">
        <v>97</v>
      </c>
      <c r="N50" s="402">
        <v>310003200</v>
      </c>
      <c r="O50" s="397">
        <v>12</v>
      </c>
      <c r="P50" s="398">
        <v>11</v>
      </c>
      <c r="Q50" s="399">
        <v>248856639.63910004</v>
      </c>
      <c r="R50" s="400">
        <f t="shared" ref="R50:R56" si="41">Q50-N50</f>
        <v>-61146560.360899955</v>
      </c>
      <c r="S50" s="401">
        <f t="shared" ref="S50:S55" si="42">Q50/N50</f>
        <v>0.80275506717059708</v>
      </c>
      <c r="T50" s="192">
        <f t="shared" ref="T50:T54" si="43">IF(S50&gt;120%,Q50* 0.55%, IF(S50&gt;100%,Q50* 0.45%, IF(S50&gt;80%,Q50* 0.35%, IF(S50&gt;60%,Q50* 0.2%, 0))))</f>
        <v>870998.23873685009</v>
      </c>
    </row>
    <row r="51" spans="1:20" ht="14.5" customHeight="1" x14ac:dyDescent="0.4">
      <c r="A51" s="628"/>
      <c r="B51" s="395" t="s">
        <v>98</v>
      </c>
      <c r="C51" s="402">
        <v>335724480</v>
      </c>
      <c r="D51" s="397">
        <v>21</v>
      </c>
      <c r="E51" s="398">
        <v>16</v>
      </c>
      <c r="F51" s="399">
        <v>362895405.8105998</v>
      </c>
      <c r="G51" s="400">
        <f t="shared" si="38"/>
        <v>27170925.810599804</v>
      </c>
      <c r="H51" s="401">
        <f t="shared" si="39"/>
        <v>1.0809322150431204</v>
      </c>
      <c r="I51" s="192">
        <f t="shared" si="40"/>
        <v>1633029.3261476993</v>
      </c>
      <c r="J51" s="191"/>
      <c r="K51" s="216"/>
      <c r="L51" s="614"/>
      <c r="M51" s="395" t="s">
        <v>98</v>
      </c>
      <c r="N51" s="402">
        <v>172224000</v>
      </c>
      <c r="O51" s="397">
        <v>12</v>
      </c>
      <c r="P51" s="398">
        <v>8</v>
      </c>
      <c r="Q51" s="399">
        <v>116133465.31470004</v>
      </c>
      <c r="R51" s="400">
        <f t="shared" si="41"/>
        <v>-56090534.685299963</v>
      </c>
      <c r="S51" s="401">
        <f t="shared" si="42"/>
        <v>0.67431638630330293</v>
      </c>
      <c r="T51" s="192">
        <f t="shared" si="43"/>
        <v>232266.93062940007</v>
      </c>
    </row>
    <row r="52" spans="1:20" ht="14.5" customHeight="1" x14ac:dyDescent="0.4">
      <c r="A52" s="628"/>
      <c r="B52" s="395" t="s">
        <v>99</v>
      </c>
      <c r="C52" s="402">
        <v>207829440</v>
      </c>
      <c r="D52" s="397">
        <v>15</v>
      </c>
      <c r="E52" s="398">
        <v>13</v>
      </c>
      <c r="F52" s="399">
        <v>294803945.04469991</v>
      </c>
      <c r="G52" s="400">
        <f t="shared" si="38"/>
        <v>86974505.044699907</v>
      </c>
      <c r="H52" s="401">
        <f t="shared" si="39"/>
        <v>1.4184898205215772</v>
      </c>
      <c r="I52" s="192">
        <f t="shared" si="40"/>
        <v>1621421.6977458496</v>
      </c>
      <c r="K52" s="216"/>
      <c r="L52" s="614"/>
      <c r="M52" s="395" t="s">
        <v>99</v>
      </c>
      <c r="N52" s="402">
        <v>172224000</v>
      </c>
      <c r="O52" s="397">
        <v>13</v>
      </c>
      <c r="P52" s="398">
        <v>12</v>
      </c>
      <c r="Q52" s="399">
        <v>85194269.819400117</v>
      </c>
      <c r="R52" s="400">
        <f t="shared" si="41"/>
        <v>-87029730.180599883</v>
      </c>
      <c r="S52" s="401">
        <f t="shared" si="42"/>
        <v>0.49467129911859042</v>
      </c>
      <c r="T52" s="192">
        <f t="shared" si="43"/>
        <v>0</v>
      </c>
    </row>
    <row r="53" spans="1:20" ht="14.5" customHeight="1" x14ac:dyDescent="0.4">
      <c r="A53" s="628"/>
      <c r="B53" s="395" t="s">
        <v>100</v>
      </c>
      <c r="C53" s="402">
        <v>111908160.00000001</v>
      </c>
      <c r="D53" s="397">
        <v>15</v>
      </c>
      <c r="E53" s="398">
        <v>9</v>
      </c>
      <c r="F53" s="399">
        <v>44640409.009300001</v>
      </c>
      <c r="G53" s="400">
        <f t="shared" si="38"/>
        <v>-67267750.990700006</v>
      </c>
      <c r="H53" s="401">
        <f t="shared" si="39"/>
        <v>0.39890218022796547</v>
      </c>
      <c r="I53" s="192">
        <f t="shared" si="40"/>
        <v>0</v>
      </c>
      <c r="K53" s="216"/>
      <c r="L53" s="614"/>
      <c r="M53" s="395" t="s">
        <v>100</v>
      </c>
      <c r="N53" s="402">
        <v>189446400</v>
      </c>
      <c r="O53" s="397">
        <v>12</v>
      </c>
      <c r="P53" s="398">
        <v>10</v>
      </c>
      <c r="Q53" s="399">
        <v>73960611.711399972</v>
      </c>
      <c r="R53" s="400">
        <f t="shared" si="41"/>
        <v>-115485788.28860003</v>
      </c>
      <c r="S53" s="401">
        <f t="shared" si="42"/>
        <v>0.3904038910815934</v>
      </c>
      <c r="T53" s="192">
        <f t="shared" si="43"/>
        <v>0</v>
      </c>
    </row>
    <row r="54" spans="1:20" ht="14.5" customHeight="1" x14ac:dyDescent="0.4">
      <c r="A54" s="628"/>
      <c r="B54" s="395" t="s">
        <v>101</v>
      </c>
      <c r="C54" s="402">
        <v>159868800</v>
      </c>
      <c r="D54" s="397">
        <v>12</v>
      </c>
      <c r="E54" s="398">
        <v>9</v>
      </c>
      <c r="F54" s="399">
        <v>95512669.190200001</v>
      </c>
      <c r="G54" s="400">
        <f t="shared" si="38"/>
        <v>-64356130.809799999</v>
      </c>
      <c r="H54" s="401">
        <f t="shared" si="39"/>
        <v>0.59744408658975356</v>
      </c>
      <c r="I54" s="192">
        <f t="shared" si="40"/>
        <v>0</v>
      </c>
      <c r="K54" s="216"/>
      <c r="L54" s="614"/>
      <c r="M54" s="395" t="s">
        <v>101</v>
      </c>
      <c r="N54" s="402">
        <v>189446400</v>
      </c>
      <c r="O54" s="397">
        <v>8</v>
      </c>
      <c r="P54" s="398">
        <v>9</v>
      </c>
      <c r="Q54" s="399">
        <v>68170373.873699993</v>
      </c>
      <c r="R54" s="400">
        <f t="shared" si="41"/>
        <v>-121276026.12630001</v>
      </c>
      <c r="S54" s="401">
        <f t="shared" si="42"/>
        <v>0.35983990127920085</v>
      </c>
      <c r="T54" s="192">
        <f t="shared" si="43"/>
        <v>0</v>
      </c>
    </row>
    <row r="55" spans="1:20" ht="14.5" customHeight="1" thickBot="1" x14ac:dyDescent="0.45">
      <c r="A55" s="628"/>
      <c r="B55" s="403" t="s">
        <v>77</v>
      </c>
      <c r="C55" s="404">
        <f t="shared" ref="C55" si="44">SUM(C49:C54)</f>
        <v>1598688000</v>
      </c>
      <c r="D55" s="405">
        <f>SUM(D49:D54)</f>
        <v>114</v>
      </c>
      <c r="E55" s="406">
        <f t="shared" ref="E55" si="45">SUM(E49:E54)</f>
        <v>92</v>
      </c>
      <c r="F55" s="404">
        <f>SUM(F49:F54)</f>
        <v>1704131235.2603996</v>
      </c>
      <c r="G55" s="404">
        <f t="shared" si="38"/>
        <v>105443235.26039958</v>
      </c>
      <c r="H55" s="407">
        <f t="shared" si="39"/>
        <v>1.0659561060447065</v>
      </c>
      <c r="I55" s="197">
        <f>SUM(I49:I54)</f>
        <v>7543826.6306476491</v>
      </c>
      <c r="L55" s="615"/>
      <c r="M55" s="446" t="s">
        <v>77</v>
      </c>
      <c r="N55" s="447">
        <f t="shared" ref="N55" si="46">SUM(N49:N54)</f>
        <v>1722240000</v>
      </c>
      <c r="O55" s="448">
        <f>SUM(O49:O54)</f>
        <v>80</v>
      </c>
      <c r="P55" s="449">
        <f t="shared" ref="P55" si="47">SUM(P49:P54)</f>
        <v>70</v>
      </c>
      <c r="Q55" s="447">
        <f>SUM(Q49:Q54)</f>
        <v>1498258684.6825998</v>
      </c>
      <c r="R55" s="447">
        <f t="shared" si="41"/>
        <v>-223981315.31740022</v>
      </c>
      <c r="S55" s="450">
        <f t="shared" si="42"/>
        <v>0.86994767551711716</v>
      </c>
      <c r="T55" s="197">
        <f>SUM(T49:T54)</f>
        <v>6085953.453149898</v>
      </c>
    </row>
    <row r="56" spans="1:20" x14ac:dyDescent="0.4">
      <c r="B56" s="408" t="str">
        <f>$B$12</f>
        <v>TARGET Q3</v>
      </c>
      <c r="C56" s="409">
        <v>1438819200</v>
      </c>
      <c r="D56" s="431"/>
      <c r="E56" s="431"/>
      <c r="F56" s="409">
        <f>F55</f>
        <v>1704131235.2603996</v>
      </c>
      <c r="G56" s="409">
        <f t="shared" si="38"/>
        <v>265312035.26039958</v>
      </c>
      <c r="H56" s="410">
        <f>F56/C56</f>
        <v>1.184395673383007</v>
      </c>
      <c r="I56" s="192">
        <f>IF(H56&gt;=1,3500000,IF(H56&gt;=0.9,2500000,0))</f>
        <v>3500000</v>
      </c>
      <c r="M56" s="408" t="str">
        <f>$B$12</f>
        <v>TARGET Q3</v>
      </c>
      <c r="N56" s="409">
        <v>1550016000</v>
      </c>
      <c r="O56" s="431"/>
      <c r="P56" s="431"/>
      <c r="Q56" s="409">
        <f>Q55</f>
        <v>1498258684.6825998</v>
      </c>
      <c r="R56" s="409">
        <f t="shared" si="41"/>
        <v>-51757315.317400217</v>
      </c>
      <c r="S56" s="410">
        <f>Q56/N56</f>
        <v>0.96660852835235234</v>
      </c>
      <c r="T56" s="192">
        <f>IF(S56&gt;=1,3500000,IF(S56&gt;=0.9,2500000,0))</f>
        <v>2500000</v>
      </c>
    </row>
    <row r="57" spans="1:20" ht="16.5" thickBot="1" x14ac:dyDescent="0.45">
      <c r="B57" s="417"/>
      <c r="C57" s="412">
        <f>C56/C55</f>
        <v>0.9</v>
      </c>
      <c r="D57" s="413"/>
      <c r="E57" s="414"/>
      <c r="F57" s="415"/>
      <c r="G57" s="416"/>
      <c r="H57" s="413"/>
      <c r="N57" s="412">
        <f>N56/N55</f>
        <v>0.9</v>
      </c>
    </row>
    <row r="58" spans="1:20" ht="19.5" customHeight="1" x14ac:dyDescent="0.35">
      <c r="A58" s="626">
        <v>6</v>
      </c>
      <c r="B58" s="390" t="s">
        <v>57</v>
      </c>
      <c r="C58" s="391" t="s">
        <v>34</v>
      </c>
      <c r="D58" s="657" t="s">
        <v>179</v>
      </c>
      <c r="E58" s="658"/>
      <c r="F58" s="658"/>
      <c r="G58" s="659"/>
      <c r="H58" s="390" t="s">
        <v>66</v>
      </c>
      <c r="L58" s="618">
        <v>6</v>
      </c>
      <c r="M58" s="440" t="s">
        <v>57</v>
      </c>
      <c r="N58" s="441" t="s">
        <v>51</v>
      </c>
      <c r="O58" s="647" t="s">
        <v>179</v>
      </c>
      <c r="P58" s="648"/>
      <c r="Q58" s="648"/>
      <c r="R58" s="649"/>
      <c r="S58" s="440" t="s">
        <v>66</v>
      </c>
    </row>
    <row r="59" spans="1:20" ht="36" customHeight="1" x14ac:dyDescent="0.35">
      <c r="A59" s="626"/>
      <c r="B59" s="390" t="s">
        <v>93</v>
      </c>
      <c r="C59" s="391" t="s">
        <v>94</v>
      </c>
      <c r="D59" s="392" t="s">
        <v>91</v>
      </c>
      <c r="E59" s="392" t="s">
        <v>62</v>
      </c>
      <c r="F59" s="393" t="str">
        <f>"OMSET "&amp;UPPER(TEXT($B$1,"MMM"))&amp;CHAR(10)&amp;" (1-"&amp;DAY($B$1)&amp;")"</f>
        <v>OMSET JUL
 (1-31)</v>
      </c>
      <c r="G59" s="391" t="s">
        <v>65</v>
      </c>
      <c r="H59" s="394">
        <f>100/DAY(EOMONTH($B$1,0))*DAY($B$1)/100</f>
        <v>1</v>
      </c>
      <c r="L59" s="619"/>
      <c r="M59" s="440" t="s">
        <v>93</v>
      </c>
      <c r="N59" s="441" t="s">
        <v>94</v>
      </c>
      <c r="O59" s="442" t="s">
        <v>91</v>
      </c>
      <c r="P59" s="442" t="s">
        <v>62</v>
      </c>
      <c r="Q59" s="443" t="str">
        <f>F59</f>
        <v>OMSET JUL
 (1-31)</v>
      </c>
      <c r="R59" s="444" t="s">
        <v>65</v>
      </c>
      <c r="S59" s="445">
        <f>H59</f>
        <v>1</v>
      </c>
    </row>
    <row r="60" spans="1:20" ht="14.5" customHeight="1" x14ac:dyDescent="0.4">
      <c r="A60" s="626"/>
      <c r="B60" s="395" t="s">
        <v>96</v>
      </c>
      <c r="C60" s="396">
        <v>120219840</v>
      </c>
      <c r="D60" s="397">
        <v>15</v>
      </c>
      <c r="E60" s="398">
        <v>14</v>
      </c>
      <c r="F60" s="399">
        <v>89508249.54869999</v>
      </c>
      <c r="G60" s="400">
        <f>F60-C60</f>
        <v>-30711590.45130001</v>
      </c>
      <c r="H60" s="401">
        <f>F60/C60</f>
        <v>0.74453808579931557</v>
      </c>
      <c r="I60" s="192">
        <f>IF(H60&gt;120%,F60* 0.55%, IF(H60&gt;100%,F60* 0.45%, IF(H60&gt;80%,F60* 0.35%, IF(H60&gt;60%,F60* 0.2%, 0))))</f>
        <v>179016.4990974</v>
      </c>
      <c r="L60" s="619"/>
      <c r="M60" s="395" t="s">
        <v>96</v>
      </c>
      <c r="N60" s="396">
        <v>206668800</v>
      </c>
      <c r="O60" s="397">
        <v>12</v>
      </c>
      <c r="P60" s="398">
        <v>10</v>
      </c>
      <c r="Q60" s="399">
        <v>111044990.9911</v>
      </c>
      <c r="R60" s="400">
        <f>Q60-N60</f>
        <v>-95623809.008900002</v>
      </c>
      <c r="S60" s="401">
        <f>Q60/N60</f>
        <v>0.53730892612285941</v>
      </c>
      <c r="T60" s="192">
        <f>IF(S60&gt;120%,Q60* 0.55%, IF(S60&gt;100%,Q60* 0.45%, IF(S60&gt;80%,Q60* 0.35%, IF(S60&gt;60%,Q60* 0.2%, 0))))</f>
        <v>0</v>
      </c>
    </row>
    <row r="61" spans="1:20" ht="14.5" customHeight="1" x14ac:dyDescent="0.4">
      <c r="A61" s="626"/>
      <c r="B61" s="395" t="s">
        <v>97</v>
      </c>
      <c r="C61" s="402">
        <v>138715200</v>
      </c>
      <c r="D61" s="397">
        <v>9</v>
      </c>
      <c r="E61" s="398">
        <v>10</v>
      </c>
      <c r="F61" s="399">
        <v>139142187.20690003</v>
      </c>
      <c r="G61" s="400">
        <f t="shared" ref="G61:G67" si="48">F61-C61</f>
        <v>426987.20690003037</v>
      </c>
      <c r="H61" s="401">
        <f t="shared" ref="H61:H66" si="49">F61/C61</f>
        <v>1.003078157310086</v>
      </c>
      <c r="I61" s="192">
        <f t="shared" ref="I61:I65" si="50">IF(H61&gt;120%,F61* 0.55%, IF(H61&gt;100%,F61* 0.45%, IF(H61&gt;80%,F61* 0.35%, IF(H61&gt;60%,F61* 0.2%, 0))))</f>
        <v>626139.84243105026</v>
      </c>
      <c r="L61" s="619"/>
      <c r="M61" s="395" t="s">
        <v>97</v>
      </c>
      <c r="N61" s="402">
        <v>195187200</v>
      </c>
      <c r="O61" s="397">
        <v>19</v>
      </c>
      <c r="P61" s="398">
        <v>17</v>
      </c>
      <c r="Q61" s="399">
        <v>143989518.01800001</v>
      </c>
      <c r="R61" s="400">
        <f t="shared" ref="R61:R67" si="51">Q61-N61</f>
        <v>-51197681.981999993</v>
      </c>
      <c r="S61" s="401">
        <f t="shared" ref="S61:S66" si="52">Q61/N61</f>
        <v>0.73769959309831801</v>
      </c>
      <c r="T61" s="192">
        <f t="shared" ref="T61:T65" si="53">IF(S61&gt;120%,Q61* 0.55%, IF(S61&gt;100%,Q61* 0.45%, IF(S61&gt;80%,Q61* 0.35%, IF(S61&gt;60%,Q61* 0.2%, 0))))</f>
        <v>287979.036036</v>
      </c>
    </row>
    <row r="62" spans="1:20" ht="14.5" customHeight="1" x14ac:dyDescent="0.4">
      <c r="A62" s="626"/>
      <c r="B62" s="395" t="s">
        <v>98</v>
      </c>
      <c r="C62" s="402">
        <v>212696640</v>
      </c>
      <c r="D62" s="397">
        <v>21</v>
      </c>
      <c r="E62" s="398">
        <v>16</v>
      </c>
      <c r="F62" s="399">
        <v>81032548.648699954</v>
      </c>
      <c r="G62" s="400">
        <f t="shared" si="48"/>
        <v>-131664091.35130005</v>
      </c>
      <c r="H62" s="401">
        <f t="shared" si="49"/>
        <v>0.38097709793958173</v>
      </c>
      <c r="I62" s="192">
        <f t="shared" si="50"/>
        <v>0</v>
      </c>
      <c r="L62" s="619"/>
      <c r="M62" s="395" t="s">
        <v>98</v>
      </c>
      <c r="N62" s="402">
        <v>252595200</v>
      </c>
      <c r="O62" s="397">
        <v>12</v>
      </c>
      <c r="P62" s="398">
        <v>11</v>
      </c>
      <c r="Q62" s="399">
        <v>283497754.48589998</v>
      </c>
      <c r="R62" s="400">
        <f t="shared" si="51"/>
        <v>30902554.485899985</v>
      </c>
      <c r="S62" s="401">
        <f t="shared" si="52"/>
        <v>1.1223402284995914</v>
      </c>
      <c r="T62" s="192">
        <f t="shared" si="53"/>
        <v>1275739.89518655</v>
      </c>
    </row>
    <row r="63" spans="1:20" ht="14.5" customHeight="1" x14ac:dyDescent="0.4">
      <c r="A63" s="626"/>
      <c r="B63" s="395" t="s">
        <v>99</v>
      </c>
      <c r="C63" s="402">
        <v>194201280</v>
      </c>
      <c r="D63" s="397">
        <v>15</v>
      </c>
      <c r="E63" s="398">
        <v>12</v>
      </c>
      <c r="F63" s="399">
        <v>130693226.12579998</v>
      </c>
      <c r="G63" s="400">
        <f t="shared" si="48"/>
        <v>-63508053.874200016</v>
      </c>
      <c r="H63" s="401">
        <f t="shared" si="49"/>
        <v>0.67297819111078971</v>
      </c>
      <c r="I63" s="192">
        <f t="shared" si="50"/>
        <v>261386.45225159999</v>
      </c>
      <c r="L63" s="619"/>
      <c r="M63" s="395" t="s">
        <v>99</v>
      </c>
      <c r="N63" s="402">
        <v>229632000</v>
      </c>
      <c r="O63" s="397">
        <v>14</v>
      </c>
      <c r="P63" s="398">
        <v>12</v>
      </c>
      <c r="Q63" s="399">
        <v>203457301.80129996</v>
      </c>
      <c r="R63" s="400">
        <f t="shared" si="51"/>
        <v>-26174698.198700041</v>
      </c>
      <c r="S63" s="401">
        <f t="shared" si="52"/>
        <v>0.88601458769378816</v>
      </c>
      <c r="T63" s="192">
        <f t="shared" si="53"/>
        <v>712100.5563045498</v>
      </c>
    </row>
    <row r="64" spans="1:20" ht="14.5" customHeight="1" x14ac:dyDescent="0.4">
      <c r="A64" s="626"/>
      <c r="B64" s="395" t="s">
        <v>100</v>
      </c>
      <c r="C64" s="402">
        <v>120219840</v>
      </c>
      <c r="D64" s="397">
        <v>14</v>
      </c>
      <c r="E64" s="398">
        <v>12</v>
      </c>
      <c r="F64" s="399">
        <v>86537605.404900014</v>
      </c>
      <c r="G64" s="400">
        <f t="shared" si="48"/>
        <v>-33682234.595099986</v>
      </c>
      <c r="H64" s="401">
        <f t="shared" si="49"/>
        <v>0.71982798683561722</v>
      </c>
      <c r="I64" s="192">
        <f t="shared" si="50"/>
        <v>173075.21080980005</v>
      </c>
      <c r="L64" s="619"/>
      <c r="M64" s="395" t="s">
        <v>100</v>
      </c>
      <c r="N64" s="402">
        <v>126297600</v>
      </c>
      <c r="O64" s="397">
        <v>8</v>
      </c>
      <c r="P64" s="398">
        <v>8</v>
      </c>
      <c r="Q64" s="399">
        <v>129853780.18009999</v>
      </c>
      <c r="R64" s="400">
        <f t="shared" si="51"/>
        <v>3556180.1800999939</v>
      </c>
      <c r="S64" s="401">
        <f t="shared" si="52"/>
        <v>1.0281571477217302</v>
      </c>
      <c r="T64" s="192">
        <f t="shared" si="53"/>
        <v>584342.01081045007</v>
      </c>
    </row>
    <row r="65" spans="1:20" ht="14.5" customHeight="1" x14ac:dyDescent="0.4">
      <c r="A65" s="626"/>
      <c r="B65" s="395" t="s">
        <v>101</v>
      </c>
      <c r="C65" s="402">
        <v>138715200</v>
      </c>
      <c r="D65" s="397">
        <v>9</v>
      </c>
      <c r="E65" s="398">
        <v>8</v>
      </c>
      <c r="F65" s="399">
        <v>106356809.90990001</v>
      </c>
      <c r="G65" s="400">
        <f t="shared" si="48"/>
        <v>-32358390.09009999</v>
      </c>
      <c r="H65" s="401">
        <f t="shared" si="49"/>
        <v>0.76672787055708391</v>
      </c>
      <c r="I65" s="192">
        <f t="shared" si="50"/>
        <v>212713.61981980002</v>
      </c>
      <c r="L65" s="619"/>
      <c r="M65" s="395" t="s">
        <v>101</v>
      </c>
      <c r="N65" s="402">
        <v>137779200</v>
      </c>
      <c r="O65" s="397">
        <v>12</v>
      </c>
      <c r="P65" s="398">
        <v>12</v>
      </c>
      <c r="Q65" s="399">
        <v>64723047.783200003</v>
      </c>
      <c r="R65" s="400">
        <f t="shared" si="51"/>
        <v>-73056152.216800004</v>
      </c>
      <c r="S65" s="401">
        <f t="shared" si="52"/>
        <v>0.46975920736366594</v>
      </c>
      <c r="T65" s="192">
        <f t="shared" si="53"/>
        <v>0</v>
      </c>
    </row>
    <row r="66" spans="1:20" ht="15" customHeight="1" thickBot="1" x14ac:dyDescent="0.45">
      <c r="A66" s="626"/>
      <c r="B66" s="403" t="s">
        <v>77</v>
      </c>
      <c r="C66" s="404">
        <f t="shared" ref="C66" si="54">SUM(C60:C65)</f>
        <v>924768000</v>
      </c>
      <c r="D66" s="405">
        <f>SUM(D60:D65)</f>
        <v>83</v>
      </c>
      <c r="E66" s="406">
        <f t="shared" ref="E66" si="55">SUM(E60:E65)</f>
        <v>72</v>
      </c>
      <c r="F66" s="404">
        <f>SUM(F60:F65)</f>
        <v>633270626.84490001</v>
      </c>
      <c r="G66" s="404">
        <f t="shared" si="48"/>
        <v>-291497373.15509999</v>
      </c>
      <c r="H66" s="407">
        <f t="shared" si="49"/>
        <v>0.68478864628198644</v>
      </c>
      <c r="I66" s="197">
        <f>SUM(I60:I65)</f>
        <v>1452331.6244096505</v>
      </c>
      <c r="L66" s="620"/>
      <c r="M66" s="446" t="s">
        <v>77</v>
      </c>
      <c r="N66" s="447">
        <f t="shared" ref="N66" si="56">SUM(N60:N65)</f>
        <v>1148160000</v>
      </c>
      <c r="O66" s="448">
        <f>SUM(O60:O65)</f>
        <v>77</v>
      </c>
      <c r="P66" s="449">
        <f t="shared" ref="P66" si="57">SUM(P60:P65)</f>
        <v>70</v>
      </c>
      <c r="Q66" s="447">
        <f>SUM(Q60:Q65)</f>
        <v>936566393.25959992</v>
      </c>
      <c r="R66" s="447">
        <f t="shared" si="51"/>
        <v>-211593606.74040008</v>
      </c>
      <c r="S66" s="450">
        <f t="shared" si="52"/>
        <v>0.81571069647052674</v>
      </c>
      <c r="T66" s="197">
        <f>SUM(T60:T65)</f>
        <v>2860161.4983375501</v>
      </c>
    </row>
    <row r="67" spans="1:20" x14ac:dyDescent="0.4">
      <c r="B67" s="408" t="str">
        <f>$B$12</f>
        <v>TARGET Q3</v>
      </c>
      <c r="C67" s="409">
        <v>832291200</v>
      </c>
      <c r="D67" s="431"/>
      <c r="E67" s="431"/>
      <c r="F67" s="409">
        <f>F66</f>
        <v>633270626.84490001</v>
      </c>
      <c r="G67" s="409">
        <f t="shared" si="48"/>
        <v>-199020573.15509999</v>
      </c>
      <c r="H67" s="410">
        <f>F67/C67</f>
        <v>0.76087627364665156</v>
      </c>
      <c r="I67" s="192">
        <f>IF(H67&gt;=1,3500000,IF(H67&gt;=0.9,2500000,0))</f>
        <v>0</v>
      </c>
      <c r="M67" s="408" t="str">
        <f>$B$12</f>
        <v>TARGET Q3</v>
      </c>
      <c r="N67" s="409">
        <v>1033344000</v>
      </c>
      <c r="O67" s="431"/>
      <c r="P67" s="431"/>
      <c r="Q67" s="409">
        <f>Q66</f>
        <v>936566393.25959992</v>
      </c>
      <c r="R67" s="409">
        <f t="shared" si="51"/>
        <v>-96777606.740400076</v>
      </c>
      <c r="S67" s="410">
        <f>Q67/N67</f>
        <v>0.90634521830058523</v>
      </c>
      <c r="T67" s="192">
        <f>IF(S67&gt;=1,3500000,IF(S67&gt;=0.9,2500000,0))</f>
        <v>2500000</v>
      </c>
    </row>
    <row r="68" spans="1:20" ht="16.5" thickBot="1" x14ac:dyDescent="0.45">
      <c r="B68" s="417"/>
      <c r="C68" s="412">
        <f>C67/C66</f>
        <v>0.9</v>
      </c>
      <c r="D68" s="413"/>
      <c r="E68" s="414"/>
      <c r="F68" s="415"/>
      <c r="G68" s="416"/>
      <c r="H68" s="413"/>
      <c r="N68" s="412">
        <f>N67/N66</f>
        <v>0.9</v>
      </c>
    </row>
    <row r="69" spans="1:20" ht="19.5" customHeight="1" x14ac:dyDescent="0.35">
      <c r="A69" s="623">
        <v>7</v>
      </c>
      <c r="B69" s="390" t="s">
        <v>57</v>
      </c>
      <c r="C69" s="391" t="s">
        <v>166</v>
      </c>
      <c r="D69" s="657" t="s">
        <v>180</v>
      </c>
      <c r="E69" s="658"/>
      <c r="F69" s="658"/>
      <c r="G69" s="659"/>
      <c r="H69" s="390" t="s">
        <v>66</v>
      </c>
      <c r="L69" s="607">
        <v>7</v>
      </c>
      <c r="M69" s="440" t="s">
        <v>57</v>
      </c>
      <c r="N69" s="441" t="s">
        <v>186</v>
      </c>
      <c r="O69" s="647" t="s">
        <v>180</v>
      </c>
      <c r="P69" s="648"/>
      <c r="Q69" s="648"/>
      <c r="R69" s="649"/>
      <c r="S69" s="440" t="s">
        <v>66</v>
      </c>
    </row>
    <row r="70" spans="1:20" ht="36" customHeight="1" x14ac:dyDescent="0.35">
      <c r="A70" s="623"/>
      <c r="B70" s="390" t="s">
        <v>93</v>
      </c>
      <c r="C70" s="391" t="s">
        <v>94</v>
      </c>
      <c r="D70" s="392" t="s">
        <v>91</v>
      </c>
      <c r="E70" s="392" t="s">
        <v>62</v>
      </c>
      <c r="F70" s="393" t="str">
        <f>"OMSET "&amp;UPPER(TEXT($B$1,"MMM"))&amp;CHAR(10)&amp;" (1-"&amp;DAY($B$1)&amp;")"</f>
        <v>OMSET JUL
 (1-31)</v>
      </c>
      <c r="G70" s="391" t="s">
        <v>65</v>
      </c>
      <c r="H70" s="394">
        <f>100/DAY(EOMONTH($B$1,0))*DAY($B$1)/100</f>
        <v>1</v>
      </c>
      <c r="L70" s="608"/>
      <c r="M70" s="440" t="s">
        <v>93</v>
      </c>
      <c r="N70" s="441" t="s">
        <v>94</v>
      </c>
      <c r="O70" s="442" t="s">
        <v>91</v>
      </c>
      <c r="P70" s="442" t="s">
        <v>62</v>
      </c>
      <c r="Q70" s="443" t="str">
        <f>F70</f>
        <v>OMSET JUL
 (1-31)</v>
      </c>
      <c r="R70" s="444" t="s">
        <v>65</v>
      </c>
      <c r="S70" s="445">
        <f>H70</f>
        <v>1</v>
      </c>
    </row>
    <row r="71" spans="1:20" ht="14.5" customHeight="1" x14ac:dyDescent="0.4">
      <c r="A71" s="623"/>
      <c r="B71" s="395" t="s">
        <v>96</v>
      </c>
      <c r="C71" s="396">
        <v>121680000</v>
      </c>
      <c r="D71" s="397">
        <v>15</v>
      </c>
      <c r="E71" s="398">
        <v>15</v>
      </c>
      <c r="F71" s="399">
        <v>67467869.369700015</v>
      </c>
      <c r="G71" s="400">
        <f>F71-C71</f>
        <v>-54212130.630299985</v>
      </c>
      <c r="H71" s="401">
        <f>F71/C71</f>
        <v>0.55446966937623288</v>
      </c>
      <c r="I71" s="192">
        <f>IF(H71&gt;120%,F71* 0.55%, IF(H71&gt;100%,F71* 0.45%, IF(H71&gt;80%,F71* 0.35%, IF(H71&gt;60%,F71* 0.2%, 0))))</f>
        <v>0</v>
      </c>
      <c r="J71" s="191"/>
      <c r="K71" s="191"/>
      <c r="L71" s="608"/>
      <c r="M71" s="395" t="s">
        <v>96</v>
      </c>
      <c r="N71" s="396">
        <v>206668800</v>
      </c>
      <c r="O71" s="397">
        <v>22</v>
      </c>
      <c r="P71" s="398">
        <v>19</v>
      </c>
      <c r="Q71" s="399">
        <v>262379688.46809995</v>
      </c>
      <c r="R71" s="400">
        <f>Q71-N71</f>
        <v>55710888.468099952</v>
      </c>
      <c r="S71" s="401">
        <f>Q71/N71</f>
        <v>1.2695660325511153</v>
      </c>
      <c r="T71" s="192">
        <f>IF(S71&gt;120%,Q71* 0.55%, IF(S71&gt;100%,Q71* 0.45%, IF(S71&gt;80%,Q71* 0.35%, IF(S71&gt;60%,Q71* 0.2%, 0))))</f>
        <v>1443088.28657455</v>
      </c>
    </row>
    <row r="72" spans="1:20" ht="14.5" customHeight="1" x14ac:dyDescent="0.4">
      <c r="A72" s="623"/>
      <c r="B72" s="395" t="s">
        <v>97</v>
      </c>
      <c r="C72" s="402">
        <v>146016000</v>
      </c>
      <c r="D72" s="397">
        <v>16</v>
      </c>
      <c r="E72" s="398">
        <v>16</v>
      </c>
      <c r="F72" s="399">
        <v>167397617.1173</v>
      </c>
      <c r="G72" s="400">
        <f t="shared" ref="G72:G78" si="58">F72-C72</f>
        <v>21381617.117300004</v>
      </c>
      <c r="H72" s="401">
        <f t="shared" ref="H72:H77" si="59">F72/C72</f>
        <v>1.1464333848160475</v>
      </c>
      <c r="I72" s="192">
        <f t="shared" ref="I72:I76" si="60">IF(H72&gt;120%,F72* 0.55%, IF(H72&gt;100%,F72* 0.45%, IF(H72&gt;80%,F72* 0.35%, IF(H72&gt;60%,F72* 0.2%, 0))))</f>
        <v>753289.27702785016</v>
      </c>
      <c r="J72" s="191"/>
      <c r="K72" s="191"/>
      <c r="L72" s="608"/>
      <c r="M72" s="395" t="s">
        <v>97</v>
      </c>
      <c r="N72" s="402">
        <v>149260800</v>
      </c>
      <c r="O72" s="397">
        <v>17</v>
      </c>
      <c r="P72" s="398">
        <v>15</v>
      </c>
      <c r="Q72" s="399">
        <v>104465673.87390001</v>
      </c>
      <c r="R72" s="400">
        <f t="shared" ref="R72:R78" si="61">Q72-N72</f>
        <v>-44795126.126099989</v>
      </c>
      <c r="S72" s="401">
        <f t="shared" ref="S72:S77" si="62">Q72/N72</f>
        <v>0.69988686831304681</v>
      </c>
      <c r="T72" s="192">
        <f t="shared" ref="T72:T76" si="63">IF(S72&gt;120%,Q72* 0.55%, IF(S72&gt;100%,Q72* 0.45%, IF(S72&gt;80%,Q72* 0.35%, IF(S72&gt;60%,Q72* 0.2%, 0))))</f>
        <v>208931.34774780003</v>
      </c>
    </row>
    <row r="73" spans="1:20" ht="14.5" customHeight="1" x14ac:dyDescent="0.4">
      <c r="A73" s="623"/>
      <c r="B73" s="395" t="s">
        <v>98</v>
      </c>
      <c r="C73" s="402">
        <v>206856000</v>
      </c>
      <c r="D73" s="397">
        <v>20</v>
      </c>
      <c r="E73" s="398">
        <v>18</v>
      </c>
      <c r="F73" s="399">
        <v>206883401.33069998</v>
      </c>
      <c r="G73" s="400">
        <f t="shared" si="58"/>
        <v>27401.330699980259</v>
      </c>
      <c r="H73" s="401">
        <f t="shared" si="59"/>
        <v>1.0001324657283326</v>
      </c>
      <c r="I73" s="192">
        <f t="shared" si="60"/>
        <v>930975.30598815007</v>
      </c>
      <c r="J73" s="191"/>
      <c r="K73" s="191"/>
      <c r="L73" s="608"/>
      <c r="M73" s="395" t="s">
        <v>98</v>
      </c>
      <c r="N73" s="402">
        <v>229632000</v>
      </c>
      <c r="O73" s="397">
        <v>15</v>
      </c>
      <c r="P73" s="398">
        <v>11</v>
      </c>
      <c r="Q73" s="399">
        <v>143529358.558</v>
      </c>
      <c r="R73" s="400">
        <f t="shared" si="61"/>
        <v>-86102641.442000002</v>
      </c>
      <c r="S73" s="401">
        <f t="shared" si="62"/>
        <v>0.62504075458995256</v>
      </c>
      <c r="T73" s="192">
        <f t="shared" si="63"/>
        <v>287058.71711600001</v>
      </c>
    </row>
    <row r="74" spans="1:20" ht="14.5" customHeight="1" x14ac:dyDescent="0.4">
      <c r="A74" s="623"/>
      <c r="B74" s="395" t="s">
        <v>99</v>
      </c>
      <c r="C74" s="402">
        <v>243360000</v>
      </c>
      <c r="D74" s="397">
        <v>23</v>
      </c>
      <c r="E74" s="398">
        <v>16</v>
      </c>
      <c r="F74" s="399">
        <v>176267665.99970001</v>
      </c>
      <c r="G74" s="400">
        <f t="shared" si="58"/>
        <v>-67092334.00029999</v>
      </c>
      <c r="H74" s="401">
        <f t="shared" si="59"/>
        <v>0.72430829224071336</v>
      </c>
      <c r="I74" s="192">
        <f t="shared" si="60"/>
        <v>352535.33199940005</v>
      </c>
      <c r="J74" s="191"/>
      <c r="K74" s="191"/>
      <c r="L74" s="608"/>
      <c r="M74" s="395" t="s">
        <v>99</v>
      </c>
      <c r="N74" s="402">
        <v>114816000</v>
      </c>
      <c r="O74" s="397">
        <v>11</v>
      </c>
      <c r="P74" s="398">
        <v>11</v>
      </c>
      <c r="Q74" s="399">
        <v>123523153.15239996</v>
      </c>
      <c r="R74" s="400">
        <f t="shared" si="61"/>
        <v>8707153.1523999572</v>
      </c>
      <c r="S74" s="401">
        <f t="shared" si="62"/>
        <v>1.0758357123780653</v>
      </c>
      <c r="T74" s="192">
        <f t="shared" si="63"/>
        <v>555854.18918579991</v>
      </c>
    </row>
    <row r="75" spans="1:20" ht="14.5" customHeight="1" x14ac:dyDescent="0.4">
      <c r="A75" s="623"/>
      <c r="B75" s="395" t="s">
        <v>100</v>
      </c>
      <c r="C75" s="402">
        <v>219024000</v>
      </c>
      <c r="D75" s="397">
        <v>16</v>
      </c>
      <c r="E75" s="398">
        <v>16</v>
      </c>
      <c r="F75" s="399">
        <v>201368503.29800001</v>
      </c>
      <c r="G75" s="400">
        <f t="shared" si="58"/>
        <v>-17655496.701999992</v>
      </c>
      <c r="H75" s="401">
        <f t="shared" si="59"/>
        <v>0.9193901275567975</v>
      </c>
      <c r="I75" s="192">
        <f t="shared" si="60"/>
        <v>704789.761543</v>
      </c>
      <c r="J75" s="191"/>
      <c r="K75" s="191"/>
      <c r="L75" s="608"/>
      <c r="M75" s="395" t="s">
        <v>100</v>
      </c>
      <c r="N75" s="402">
        <v>206668800</v>
      </c>
      <c r="O75" s="397">
        <v>17</v>
      </c>
      <c r="P75" s="398">
        <v>12</v>
      </c>
      <c r="Q75" s="399">
        <v>162773707.20740005</v>
      </c>
      <c r="R75" s="400">
        <f t="shared" si="61"/>
        <v>-43895092.792599946</v>
      </c>
      <c r="S75" s="401">
        <f t="shared" si="62"/>
        <v>0.78760658216141022</v>
      </c>
      <c r="T75" s="192">
        <f t="shared" si="63"/>
        <v>325547.41441480012</v>
      </c>
    </row>
    <row r="76" spans="1:20" ht="14.5" customHeight="1" x14ac:dyDescent="0.4">
      <c r="A76" s="623"/>
      <c r="B76" s="395" t="s">
        <v>101</v>
      </c>
      <c r="C76" s="402">
        <v>279864000</v>
      </c>
      <c r="D76" s="397">
        <v>15</v>
      </c>
      <c r="E76" s="398">
        <v>11</v>
      </c>
      <c r="F76" s="399">
        <v>184557511.0988</v>
      </c>
      <c r="G76" s="400">
        <f t="shared" si="58"/>
        <v>-95306488.901199996</v>
      </c>
      <c r="H76" s="401">
        <f t="shared" si="59"/>
        <v>0.65945427457193495</v>
      </c>
      <c r="I76" s="192">
        <f t="shared" si="60"/>
        <v>369115.02219759999</v>
      </c>
      <c r="J76" s="191"/>
      <c r="K76" s="191"/>
      <c r="L76" s="608"/>
      <c r="M76" s="395" t="s">
        <v>101</v>
      </c>
      <c r="N76" s="402">
        <v>241113600</v>
      </c>
      <c r="O76" s="397">
        <v>8</v>
      </c>
      <c r="P76" s="398">
        <v>9</v>
      </c>
      <c r="Q76" s="399">
        <v>284243725.22589976</v>
      </c>
      <c r="R76" s="400">
        <f t="shared" si="61"/>
        <v>43130125.225899756</v>
      </c>
      <c r="S76" s="401">
        <f t="shared" si="62"/>
        <v>1.1788788572104592</v>
      </c>
      <c r="T76" s="192">
        <f t="shared" si="63"/>
        <v>1279096.763516549</v>
      </c>
    </row>
    <row r="77" spans="1:20" ht="14.5" customHeight="1" thickBot="1" x14ac:dyDescent="0.45">
      <c r="A77" s="623"/>
      <c r="B77" s="403" t="s">
        <v>77</v>
      </c>
      <c r="C77" s="404">
        <f t="shared" ref="C77" si="64">SUM(C71:C76)</f>
        <v>1216800000</v>
      </c>
      <c r="D77" s="405">
        <f>SUM(D71:D76)</f>
        <v>105</v>
      </c>
      <c r="E77" s="406">
        <f t="shared" ref="E77" si="65">SUM(E71:E76)</f>
        <v>92</v>
      </c>
      <c r="F77" s="404">
        <f>SUM(F71:F76)</f>
        <v>1003942568.2142</v>
      </c>
      <c r="G77" s="404">
        <f t="shared" si="58"/>
        <v>-212857431.78579998</v>
      </c>
      <c r="H77" s="407">
        <f t="shared" si="59"/>
        <v>0.82506785684927686</v>
      </c>
      <c r="I77" s="197">
        <f>SUM(I71:I76)</f>
        <v>3110704.6987560005</v>
      </c>
      <c r="K77" s="191"/>
      <c r="L77" s="609"/>
      <c r="M77" s="446" t="s">
        <v>77</v>
      </c>
      <c r="N77" s="447">
        <f t="shared" ref="N77" si="66">SUM(N71:N76)</f>
        <v>1148160000</v>
      </c>
      <c r="O77" s="448">
        <f>SUM(O71:O76)</f>
        <v>90</v>
      </c>
      <c r="P77" s="449">
        <f t="shared" ref="P77" si="67">SUM(P71:P76)</f>
        <v>77</v>
      </c>
      <c r="Q77" s="447">
        <f>SUM(Q71:Q76)</f>
        <v>1080915306.4856997</v>
      </c>
      <c r="R77" s="447">
        <f t="shared" si="61"/>
        <v>-67244693.514300346</v>
      </c>
      <c r="S77" s="450">
        <f t="shared" si="62"/>
        <v>0.94143264569894414</v>
      </c>
      <c r="T77" s="197">
        <f>SUM(T71:T76)</f>
        <v>4099576.7185554993</v>
      </c>
    </row>
    <row r="78" spans="1:20" ht="14.5" customHeight="1" x14ac:dyDescent="0.4">
      <c r="B78" s="408" t="str">
        <f>$B$12</f>
        <v>TARGET Q3</v>
      </c>
      <c r="C78" s="409">
        <v>1095120000</v>
      </c>
      <c r="D78" s="431"/>
      <c r="E78" s="431"/>
      <c r="F78" s="409">
        <f>F77</f>
        <v>1003942568.2142</v>
      </c>
      <c r="G78" s="409">
        <f t="shared" si="58"/>
        <v>-91177431.78579998</v>
      </c>
      <c r="H78" s="410">
        <f>F78/C78</f>
        <v>0.91674206316586315</v>
      </c>
      <c r="I78" s="192">
        <f>IF(H78&gt;=1,3500000,IF(H78&gt;=0.9,2500000,0))</f>
        <v>2500000</v>
      </c>
      <c r="M78" s="408" t="str">
        <f>$B$12</f>
        <v>TARGET Q3</v>
      </c>
      <c r="N78" s="409">
        <v>1033344000</v>
      </c>
      <c r="O78" s="431"/>
      <c r="P78" s="431"/>
      <c r="Q78" s="409">
        <f>Q77</f>
        <v>1080915306.4856997</v>
      </c>
      <c r="R78" s="409">
        <f t="shared" si="61"/>
        <v>47571306.485699654</v>
      </c>
      <c r="S78" s="410">
        <f>Q78/N78</f>
        <v>1.0460362729988268</v>
      </c>
      <c r="T78" s="192">
        <f>IF(S78&gt;=1,3500000,IF(S78&gt;=0.9,2500000,0))</f>
        <v>3500000</v>
      </c>
    </row>
    <row r="79" spans="1:20" ht="14.5" customHeight="1" thickBot="1" x14ac:dyDescent="0.45">
      <c r="B79" s="417"/>
      <c r="C79" s="412">
        <f>C78/C77</f>
        <v>0.9</v>
      </c>
      <c r="D79" s="413"/>
      <c r="E79" s="414"/>
      <c r="F79" s="415"/>
      <c r="G79" s="416"/>
      <c r="H79" s="413"/>
      <c r="N79" s="412">
        <f>N78/N77</f>
        <v>0.9</v>
      </c>
    </row>
    <row r="80" spans="1:20" ht="20.149999999999999" customHeight="1" x14ac:dyDescent="0.35">
      <c r="A80" s="623">
        <v>8</v>
      </c>
      <c r="B80" s="390" t="s">
        <v>57</v>
      </c>
      <c r="C80" s="391" t="s">
        <v>116</v>
      </c>
      <c r="D80" s="657" t="s">
        <v>181</v>
      </c>
      <c r="E80" s="658"/>
      <c r="F80" s="658"/>
      <c r="G80" s="659"/>
      <c r="H80" s="390" t="s">
        <v>66</v>
      </c>
      <c r="L80" s="607">
        <v>8</v>
      </c>
      <c r="M80" s="440" t="s">
        <v>57</v>
      </c>
      <c r="N80" s="441" t="s">
        <v>118</v>
      </c>
      <c r="O80" s="647" t="s">
        <v>181</v>
      </c>
      <c r="P80" s="648"/>
      <c r="Q80" s="648"/>
      <c r="R80" s="649"/>
      <c r="S80" s="440" t="s">
        <v>66</v>
      </c>
    </row>
    <row r="81" spans="1:20" ht="33" customHeight="1" x14ac:dyDescent="0.35">
      <c r="A81" s="623"/>
      <c r="B81" s="390" t="s">
        <v>93</v>
      </c>
      <c r="C81" s="391" t="s">
        <v>94</v>
      </c>
      <c r="D81" s="392" t="s">
        <v>91</v>
      </c>
      <c r="E81" s="392" t="s">
        <v>62</v>
      </c>
      <c r="F81" s="393" t="str">
        <f>"OMSET "&amp;UPPER(TEXT($B$1,"MMM"))&amp;CHAR(10)&amp;" (1-"&amp;DAY($B$1)&amp;")"</f>
        <v>OMSET JUL
 (1-31)</v>
      </c>
      <c r="G81" s="391" t="s">
        <v>65</v>
      </c>
      <c r="H81" s="394">
        <f>100/DAY(EOMONTH($B$1,0))*DAY($B$1)/100</f>
        <v>1</v>
      </c>
      <c r="L81" s="608"/>
      <c r="M81" s="440" t="s">
        <v>93</v>
      </c>
      <c r="N81" s="441" t="s">
        <v>94</v>
      </c>
      <c r="O81" s="442" t="s">
        <v>91</v>
      </c>
      <c r="P81" s="442" t="s">
        <v>62</v>
      </c>
      <c r="Q81" s="443" t="str">
        <f>F81</f>
        <v>OMSET JUL
 (1-31)</v>
      </c>
      <c r="R81" s="444" t="s">
        <v>65</v>
      </c>
      <c r="S81" s="445">
        <f>H81</f>
        <v>1</v>
      </c>
    </row>
    <row r="82" spans="1:20" ht="14.5" customHeight="1" x14ac:dyDescent="0.4">
      <c r="A82" s="623"/>
      <c r="B82" s="395" t="s">
        <v>96</v>
      </c>
      <c r="C82" s="396">
        <v>113892480</v>
      </c>
      <c r="D82" s="397">
        <v>3</v>
      </c>
      <c r="E82" s="398">
        <v>3</v>
      </c>
      <c r="F82" s="399">
        <v>19460282.883000001</v>
      </c>
      <c r="G82" s="400">
        <f>F82-C82</f>
        <v>-94432197.116999999</v>
      </c>
      <c r="H82" s="401">
        <f>F82/C82</f>
        <v>0.17086538885622651</v>
      </c>
      <c r="I82" s="192">
        <f>IF(H82&gt;120%,F82* 0.55%, IF(H82&gt;100%,F82* 0.45%, IF(H82&gt;80%,F82* 0.35%, IF(H82&gt;60%,F82* 0.2%, 0))))</f>
        <v>0</v>
      </c>
      <c r="L82" s="608"/>
      <c r="M82" s="395" t="s">
        <v>96</v>
      </c>
      <c r="N82" s="396">
        <v>101836800.00000001</v>
      </c>
      <c r="O82" s="397">
        <v>8</v>
      </c>
      <c r="P82" s="398">
        <v>8</v>
      </c>
      <c r="Q82" s="399">
        <v>42255584.450199991</v>
      </c>
      <c r="R82" s="400">
        <f>Q82-N82</f>
        <v>-59581215.549800023</v>
      </c>
      <c r="S82" s="401">
        <f>Q82/N82</f>
        <v>0.41493433071541902</v>
      </c>
      <c r="T82" s="192">
        <f>IF(S82&gt;120%,Q82* 0.55%, IF(S82&gt;100%,Q82* 0.45%, IF(S82&gt;80%,Q82* 0.35%, IF(S82&gt;60%,Q82* 0.2%, 0))))</f>
        <v>0</v>
      </c>
    </row>
    <row r="83" spans="1:20" x14ac:dyDescent="0.4">
      <c r="A83" s="623"/>
      <c r="B83" s="395" t="s">
        <v>97</v>
      </c>
      <c r="C83" s="402">
        <v>96370560</v>
      </c>
      <c r="D83" s="397">
        <v>6</v>
      </c>
      <c r="E83" s="398">
        <v>7</v>
      </c>
      <c r="F83" s="399">
        <v>52277848.644399971</v>
      </c>
      <c r="G83" s="400">
        <f t="shared" ref="G83:G89" si="68">F83-C83</f>
        <v>-44092711.355600029</v>
      </c>
      <c r="H83" s="401">
        <f t="shared" ref="H83:H88" si="69">F83/C83</f>
        <v>0.54246700075624721</v>
      </c>
      <c r="I83" s="192">
        <f t="shared" ref="I83:I87" si="70">IF(H83&gt;120%,F83* 0.55%, IF(H83&gt;100%,F83* 0.45%, IF(H83&gt;80%,F83* 0.35%, IF(H83&gt;60%,F83* 0.2%, 0))))</f>
        <v>0</v>
      </c>
      <c r="L83" s="608"/>
      <c r="M83" s="395" t="s">
        <v>97</v>
      </c>
      <c r="N83" s="402">
        <v>84864000.000000015</v>
      </c>
      <c r="O83" s="397">
        <v>3</v>
      </c>
      <c r="P83" s="398">
        <v>6</v>
      </c>
      <c r="Q83" s="399">
        <v>28976869.369499996</v>
      </c>
      <c r="R83" s="400">
        <f t="shared" ref="R83:R89" si="71">Q83-N83</f>
        <v>-55887130.630500019</v>
      </c>
      <c r="S83" s="401">
        <f t="shared" ref="S83:S88" si="72">Q83/N83</f>
        <v>0.34145066659007345</v>
      </c>
      <c r="T83" s="192">
        <f t="shared" ref="T83:T87" si="73">IF(S83&gt;120%,Q83* 0.55%, IF(S83&gt;100%,Q83* 0.45%, IF(S83&gt;80%,Q83* 0.35%, IF(S83&gt;60%,Q83* 0.2%, 0))))</f>
        <v>0</v>
      </c>
    </row>
    <row r="84" spans="1:20" ht="14.5" customHeight="1" x14ac:dyDescent="0.4">
      <c r="A84" s="623"/>
      <c r="B84" s="395" t="s">
        <v>98</v>
      </c>
      <c r="C84" s="402">
        <v>122653440.00000001</v>
      </c>
      <c r="D84" s="397">
        <v>13</v>
      </c>
      <c r="E84" s="398">
        <v>9</v>
      </c>
      <c r="F84" s="399">
        <v>33433276.576400004</v>
      </c>
      <c r="G84" s="400">
        <f t="shared" si="68"/>
        <v>-89220163.423600018</v>
      </c>
      <c r="H84" s="401">
        <f t="shared" si="69"/>
        <v>0.27258327672179433</v>
      </c>
      <c r="I84" s="192">
        <f t="shared" si="70"/>
        <v>0</v>
      </c>
      <c r="L84" s="608"/>
      <c r="M84" s="395" t="s">
        <v>98</v>
      </c>
      <c r="N84" s="402">
        <v>93350400.000000015</v>
      </c>
      <c r="O84" s="397">
        <v>4</v>
      </c>
      <c r="P84" s="398">
        <v>4</v>
      </c>
      <c r="Q84" s="399">
        <v>30174840.090199992</v>
      </c>
      <c r="R84" s="400">
        <f t="shared" si="71"/>
        <v>-63175559.909800023</v>
      </c>
      <c r="S84" s="401">
        <f t="shared" si="72"/>
        <v>0.32324275086341342</v>
      </c>
      <c r="T84" s="192">
        <f t="shared" si="73"/>
        <v>0</v>
      </c>
    </row>
    <row r="85" spans="1:20" ht="14.5" customHeight="1" x14ac:dyDescent="0.4">
      <c r="A85" s="623"/>
      <c r="B85" s="395" t="s">
        <v>99</v>
      </c>
      <c r="C85" s="402">
        <v>96370560</v>
      </c>
      <c r="D85" s="397">
        <v>5</v>
      </c>
      <c r="E85" s="398">
        <v>2</v>
      </c>
      <c r="F85" s="399">
        <v>3112274.7745999997</v>
      </c>
      <c r="G85" s="400">
        <f t="shared" si="68"/>
        <v>-93258285.225400001</v>
      </c>
      <c r="H85" s="401">
        <f t="shared" si="69"/>
        <v>3.2294870701176787E-2</v>
      </c>
      <c r="I85" s="192">
        <f t="shared" si="70"/>
        <v>0</v>
      </c>
      <c r="L85" s="608"/>
      <c r="M85" s="395" t="s">
        <v>99</v>
      </c>
      <c r="N85" s="402">
        <v>84864000.000000015</v>
      </c>
      <c r="O85" s="397">
        <v>8</v>
      </c>
      <c r="P85" s="398">
        <v>4</v>
      </c>
      <c r="Q85" s="399">
        <v>3527126.2071000007</v>
      </c>
      <c r="R85" s="400">
        <f t="shared" si="71"/>
        <v>-81336873.792900011</v>
      </c>
      <c r="S85" s="401">
        <f t="shared" si="72"/>
        <v>4.1562101799349549E-2</v>
      </c>
      <c r="T85" s="192">
        <f t="shared" si="73"/>
        <v>0</v>
      </c>
    </row>
    <row r="86" spans="1:20" ht="14.5" customHeight="1" x14ac:dyDescent="0.4">
      <c r="A86" s="623"/>
      <c r="B86" s="395" t="s">
        <v>100</v>
      </c>
      <c r="C86" s="402">
        <v>219024000</v>
      </c>
      <c r="D86" s="397">
        <v>11</v>
      </c>
      <c r="E86" s="398">
        <v>8</v>
      </c>
      <c r="F86" s="399">
        <v>46200016.215900011</v>
      </c>
      <c r="G86" s="400">
        <f t="shared" si="68"/>
        <v>-172823983.7841</v>
      </c>
      <c r="H86" s="401">
        <f t="shared" si="69"/>
        <v>0.21093586189595667</v>
      </c>
      <c r="I86" s="192">
        <f t="shared" si="70"/>
        <v>0</v>
      </c>
      <c r="L86" s="608"/>
      <c r="M86" s="395" t="s">
        <v>100</v>
      </c>
      <c r="N86" s="402">
        <v>271564800.00000006</v>
      </c>
      <c r="O86" s="397">
        <v>14</v>
      </c>
      <c r="P86" s="398">
        <v>14</v>
      </c>
      <c r="Q86" s="399">
        <v>239056318.0176</v>
      </c>
      <c r="R86" s="400">
        <f t="shared" si="71"/>
        <v>-32508481.98240006</v>
      </c>
      <c r="S86" s="401">
        <f t="shared" si="72"/>
        <v>0.8802919893064195</v>
      </c>
      <c r="T86" s="192">
        <f t="shared" si="73"/>
        <v>836697.1130615999</v>
      </c>
    </row>
    <row r="87" spans="1:20" ht="14.5" customHeight="1" x14ac:dyDescent="0.4">
      <c r="A87" s="623"/>
      <c r="B87" s="395" t="s">
        <v>101</v>
      </c>
      <c r="C87" s="402">
        <v>227784960</v>
      </c>
      <c r="D87" s="397">
        <v>15</v>
      </c>
      <c r="E87" s="398">
        <v>10</v>
      </c>
      <c r="F87" s="399">
        <v>158814188.2881999</v>
      </c>
      <c r="G87" s="400">
        <f t="shared" si="68"/>
        <v>-68970771.711800098</v>
      </c>
      <c r="H87" s="401">
        <f t="shared" si="69"/>
        <v>0.69721103749870006</v>
      </c>
      <c r="I87" s="192">
        <f t="shared" si="70"/>
        <v>317628.37657639984</v>
      </c>
      <c r="L87" s="608"/>
      <c r="M87" s="395" t="s">
        <v>101</v>
      </c>
      <c r="N87" s="402">
        <v>212160000.00000003</v>
      </c>
      <c r="O87" s="397">
        <v>10</v>
      </c>
      <c r="P87" s="398">
        <v>6</v>
      </c>
      <c r="Q87" s="399">
        <v>46070310.810899988</v>
      </c>
      <c r="R87" s="400">
        <f t="shared" si="71"/>
        <v>-166089689.18910003</v>
      </c>
      <c r="S87" s="401">
        <f t="shared" si="72"/>
        <v>0.21714890088093883</v>
      </c>
      <c r="T87" s="192">
        <f t="shared" si="73"/>
        <v>0</v>
      </c>
    </row>
    <row r="88" spans="1:20" ht="14.5" customHeight="1" thickBot="1" x14ac:dyDescent="0.45">
      <c r="A88" s="623"/>
      <c r="B88" s="403" t="s">
        <v>77</v>
      </c>
      <c r="C88" s="404">
        <f t="shared" ref="C88" si="74">SUM(C82:C87)</f>
        <v>876096000</v>
      </c>
      <c r="D88" s="405">
        <f>SUM(D82:D87)</f>
        <v>53</v>
      </c>
      <c r="E88" s="406">
        <f t="shared" ref="E88" si="75">SUM(E82:E87)</f>
        <v>39</v>
      </c>
      <c r="F88" s="404">
        <f>SUM(F82:F87)</f>
        <v>313297887.38249987</v>
      </c>
      <c r="G88" s="404">
        <f t="shared" si="68"/>
        <v>-562798112.61750007</v>
      </c>
      <c r="H88" s="407">
        <f t="shared" si="69"/>
        <v>0.35760680037632847</v>
      </c>
      <c r="I88" s="197">
        <f>SUM(I82:I87)</f>
        <v>317628.37657639984</v>
      </c>
      <c r="L88" s="609"/>
      <c r="M88" s="446" t="s">
        <v>77</v>
      </c>
      <c r="N88" s="447">
        <f t="shared" ref="N88" si="76">SUM(N82:N87)</f>
        <v>848640000.00000012</v>
      </c>
      <c r="O88" s="448">
        <f>SUM(O82:O87)</f>
        <v>47</v>
      </c>
      <c r="P88" s="449">
        <f t="shared" ref="P88" si="77">SUM(P82:P87)</f>
        <v>42</v>
      </c>
      <c r="Q88" s="447">
        <f>SUM(Q82:Q87)</f>
        <v>390061048.94549996</v>
      </c>
      <c r="R88" s="447">
        <f t="shared" si="71"/>
        <v>-458578951.05450016</v>
      </c>
      <c r="S88" s="450">
        <f t="shared" si="72"/>
        <v>0.45963076091805699</v>
      </c>
      <c r="T88" s="197">
        <f>SUM(T82:T87)</f>
        <v>836697.1130615999</v>
      </c>
    </row>
    <row r="89" spans="1:20" x14ac:dyDescent="0.4">
      <c r="B89" s="408" t="str">
        <f>$B$12</f>
        <v>TARGET Q3</v>
      </c>
      <c r="C89" s="409">
        <v>788486400</v>
      </c>
      <c r="D89" s="431"/>
      <c r="E89" s="431"/>
      <c r="F89" s="409">
        <f>F88</f>
        <v>313297887.38249987</v>
      </c>
      <c r="G89" s="409">
        <f t="shared" si="68"/>
        <v>-475188512.61750013</v>
      </c>
      <c r="H89" s="410">
        <f>F89/C89</f>
        <v>0.39734088930703165</v>
      </c>
      <c r="I89" s="192">
        <f>IF(H89&gt;=1,3500000,IF(H89&gt;=0.9,2500000,0))</f>
        <v>0</v>
      </c>
      <c r="M89" s="408" t="str">
        <f>$B$12</f>
        <v>TARGET Q3</v>
      </c>
      <c r="N89" s="409">
        <v>763776000.00000012</v>
      </c>
      <c r="O89" s="431"/>
      <c r="P89" s="431"/>
      <c r="Q89" s="409">
        <f>Q88</f>
        <v>390061048.94549996</v>
      </c>
      <c r="R89" s="409">
        <f t="shared" si="71"/>
        <v>-373714951.05450016</v>
      </c>
      <c r="S89" s="410">
        <f>Q89/N89</f>
        <v>0.51070084546450778</v>
      </c>
      <c r="T89" s="192">
        <f>IF(S89&gt;=1,3500000,IF(S89&gt;=0.9,2500000,0))</f>
        <v>0</v>
      </c>
    </row>
    <row r="90" spans="1:20" ht="16.5" thickBot="1" x14ac:dyDescent="0.45">
      <c r="B90" s="417"/>
      <c r="C90" s="412">
        <f>C89/C88</f>
        <v>0.9</v>
      </c>
      <c r="D90" s="413"/>
      <c r="E90" s="414"/>
      <c r="F90" s="415"/>
      <c r="G90" s="416"/>
      <c r="H90" s="413"/>
      <c r="N90" s="412">
        <f>N89/N88</f>
        <v>0.9</v>
      </c>
    </row>
    <row r="91" spans="1:20" ht="20.5" customHeight="1" x14ac:dyDescent="0.35">
      <c r="A91" s="624">
        <v>9</v>
      </c>
      <c r="B91" s="390" t="s">
        <v>57</v>
      </c>
      <c r="C91" s="391" t="s">
        <v>43</v>
      </c>
      <c r="D91" s="657" t="s">
        <v>119</v>
      </c>
      <c r="E91" s="658"/>
      <c r="F91" s="658"/>
      <c r="G91" s="659"/>
      <c r="H91" s="390" t="s">
        <v>66</v>
      </c>
      <c r="L91" s="607">
        <v>9</v>
      </c>
      <c r="M91" s="440" t="s">
        <v>57</v>
      </c>
      <c r="N91" s="441" t="s">
        <v>165</v>
      </c>
      <c r="O91" s="647" t="s">
        <v>119</v>
      </c>
      <c r="P91" s="648"/>
      <c r="Q91" s="648"/>
      <c r="R91" s="649"/>
      <c r="S91" s="440" t="s">
        <v>66</v>
      </c>
    </row>
    <row r="92" spans="1:20" ht="33.65" customHeight="1" x14ac:dyDescent="0.35">
      <c r="A92" s="625"/>
      <c r="B92" s="390" t="s">
        <v>93</v>
      </c>
      <c r="C92" s="391" t="s">
        <v>94</v>
      </c>
      <c r="D92" s="392" t="s">
        <v>91</v>
      </c>
      <c r="E92" s="392" t="s">
        <v>62</v>
      </c>
      <c r="F92" s="393" t="str">
        <f>"OMSET "&amp;UPPER(TEXT($B$1,"MMM"))&amp;CHAR(10)&amp;" (1-"&amp;DAY($B$1)&amp;")"</f>
        <v>OMSET JUL
 (1-31)</v>
      </c>
      <c r="G92" s="391" t="s">
        <v>65</v>
      </c>
      <c r="H92" s="394">
        <f>100/DAY(EOMONTH($B$1,0))*DAY($B$1)/100</f>
        <v>1</v>
      </c>
      <c r="L92" s="608"/>
      <c r="M92" s="440" t="s">
        <v>93</v>
      </c>
      <c r="N92" s="441" t="s">
        <v>94</v>
      </c>
      <c r="O92" s="442" t="s">
        <v>91</v>
      </c>
      <c r="P92" s="442" t="s">
        <v>62</v>
      </c>
      <c r="Q92" s="443" t="str">
        <f>F92</f>
        <v>OMSET JUL
 (1-31)</v>
      </c>
      <c r="R92" s="444" t="s">
        <v>65</v>
      </c>
      <c r="S92" s="445">
        <f>H92</f>
        <v>1</v>
      </c>
    </row>
    <row r="93" spans="1:20" ht="14.5" customHeight="1" x14ac:dyDescent="0.4">
      <c r="A93" s="625"/>
      <c r="B93" s="395" t="s">
        <v>96</v>
      </c>
      <c r="C93" s="396">
        <v>194201280</v>
      </c>
      <c r="D93" s="397">
        <v>21</v>
      </c>
      <c r="E93" s="398">
        <v>17</v>
      </c>
      <c r="F93" s="399">
        <v>267012285.32419991</v>
      </c>
      <c r="G93" s="400">
        <f>F93-C93</f>
        <v>72811005.324199915</v>
      </c>
      <c r="H93" s="401">
        <f>F93/C93</f>
        <v>1.3749254656004322</v>
      </c>
      <c r="I93" s="192">
        <f>IF(H93&gt;120%,F93* 0.55%, IF(H93&gt;100%,F93* 0.45%, IF(H93&gt;80%,F93* 0.35%, IF(H93&gt;60%,F93* 0.2%, 0))))</f>
        <v>1468567.5692830996</v>
      </c>
      <c r="L93" s="608"/>
      <c r="M93" s="395" t="s">
        <v>96</v>
      </c>
      <c r="N93" s="396">
        <v>89856000</v>
      </c>
      <c r="O93" s="397">
        <v>10</v>
      </c>
      <c r="P93" s="398">
        <v>11</v>
      </c>
      <c r="Q93" s="399">
        <v>81292418.918599948</v>
      </c>
      <c r="R93" s="400">
        <f>Q93-N93</f>
        <v>-8563581.0814000517</v>
      </c>
      <c r="S93" s="401">
        <f>Q93/N93</f>
        <v>0.90469661367743892</v>
      </c>
      <c r="T93" s="192">
        <f>IF(S93&gt;120%,Q93* 0.55%, IF(S93&gt;100%,Q93* 0.45%, IF(S93&gt;80%,Q93* 0.35%, IF(S93&gt;60%,Q93* 0.2%, 0))))</f>
        <v>284523.46621509979</v>
      </c>
    </row>
    <row r="94" spans="1:20" ht="14.5" customHeight="1" x14ac:dyDescent="0.4">
      <c r="A94" s="625"/>
      <c r="B94" s="395" t="s">
        <v>97</v>
      </c>
      <c r="C94" s="402">
        <v>157210560</v>
      </c>
      <c r="D94" s="397">
        <v>13</v>
      </c>
      <c r="E94" s="398">
        <v>13</v>
      </c>
      <c r="F94" s="399">
        <v>125262050.2887</v>
      </c>
      <c r="G94" s="400">
        <f t="shared" ref="G94:G100" si="78">F94-C94</f>
        <v>-31948509.711300001</v>
      </c>
      <c r="H94" s="401">
        <f t="shared" ref="H94:H99" si="79">F94/C94</f>
        <v>0.79677885689549099</v>
      </c>
      <c r="I94" s="192">
        <f t="shared" ref="I94:I98" si="80">IF(H94&gt;120%,F94* 0.55%, IF(H94&gt;100%,F94* 0.45%, IF(H94&gt;80%,F94* 0.35%, IF(H94&gt;60%,F94* 0.2%, 0))))</f>
        <v>250524.10057740001</v>
      </c>
      <c r="L94" s="608"/>
      <c r="M94" s="395" t="s">
        <v>97</v>
      </c>
      <c r="N94" s="402">
        <v>323481600</v>
      </c>
      <c r="O94" s="397">
        <v>15</v>
      </c>
      <c r="P94" s="398">
        <v>12</v>
      </c>
      <c r="Q94" s="399">
        <v>195787277.02670008</v>
      </c>
      <c r="R94" s="400">
        <f t="shared" ref="R94:R100" si="81">Q94-N94</f>
        <v>-127694322.97329992</v>
      </c>
      <c r="S94" s="401">
        <f t="shared" ref="S94:S99" si="82">Q94/N94</f>
        <v>0.60525011940926499</v>
      </c>
      <c r="T94" s="192">
        <f t="shared" ref="T94:T98" si="83">IF(S94&gt;120%,Q94* 0.55%, IF(S94&gt;100%,Q94* 0.45%, IF(S94&gt;80%,Q94* 0.35%, IF(S94&gt;60%,Q94* 0.2%, 0))))</f>
        <v>391574.55405340018</v>
      </c>
    </row>
    <row r="95" spans="1:20" ht="14.5" customHeight="1" x14ac:dyDescent="0.4">
      <c r="A95" s="625"/>
      <c r="B95" s="395" t="s">
        <v>98</v>
      </c>
      <c r="C95" s="402">
        <v>175705920</v>
      </c>
      <c r="D95" s="397">
        <v>18</v>
      </c>
      <c r="E95" s="398">
        <v>13</v>
      </c>
      <c r="F95" s="399">
        <v>198501105.97539991</v>
      </c>
      <c r="G95" s="400">
        <f t="shared" si="78"/>
        <v>22795185.975399911</v>
      </c>
      <c r="H95" s="401">
        <f t="shared" si="79"/>
        <v>1.1297348773188742</v>
      </c>
      <c r="I95" s="192">
        <f t="shared" si="80"/>
        <v>893254.97688929969</v>
      </c>
      <c r="L95" s="608"/>
      <c r="M95" s="395" t="s">
        <v>98</v>
      </c>
      <c r="N95" s="402">
        <v>125798400.00000001</v>
      </c>
      <c r="O95" s="397">
        <v>15</v>
      </c>
      <c r="P95" s="398">
        <v>7</v>
      </c>
      <c r="Q95" s="399">
        <v>49855081.207499981</v>
      </c>
      <c r="R95" s="400">
        <f t="shared" si="81"/>
        <v>-75943318.792500034</v>
      </c>
      <c r="S95" s="401">
        <f t="shared" si="82"/>
        <v>0.39630934262677409</v>
      </c>
      <c r="T95" s="192">
        <f t="shared" si="83"/>
        <v>0</v>
      </c>
    </row>
    <row r="96" spans="1:20" ht="14.5" customHeight="1" x14ac:dyDescent="0.4">
      <c r="A96" s="625"/>
      <c r="B96" s="395" t="s">
        <v>99</v>
      </c>
      <c r="C96" s="402">
        <v>157210560</v>
      </c>
      <c r="D96" s="397">
        <v>16</v>
      </c>
      <c r="E96" s="398">
        <v>16</v>
      </c>
      <c r="F96" s="399">
        <v>129182627.5783</v>
      </c>
      <c r="G96" s="400">
        <f t="shared" si="78"/>
        <v>-28027932.421700001</v>
      </c>
      <c r="H96" s="401">
        <f t="shared" si="79"/>
        <v>0.8217172407394262</v>
      </c>
      <c r="I96" s="192">
        <f t="shared" si="80"/>
        <v>452139.19652404997</v>
      </c>
      <c r="L96" s="608"/>
      <c r="M96" s="395" t="s">
        <v>99</v>
      </c>
      <c r="N96" s="402">
        <v>107827200</v>
      </c>
      <c r="O96" s="397">
        <v>11</v>
      </c>
      <c r="P96" s="398">
        <v>8</v>
      </c>
      <c r="Q96" s="399">
        <v>45249644.144599989</v>
      </c>
      <c r="R96" s="400">
        <f t="shared" si="81"/>
        <v>-62577555.855400011</v>
      </c>
      <c r="S96" s="401">
        <f t="shared" si="82"/>
        <v>0.41964962592555488</v>
      </c>
      <c r="T96" s="192">
        <f t="shared" si="83"/>
        <v>0</v>
      </c>
    </row>
    <row r="97" spans="1:21" ht="14.5" customHeight="1" x14ac:dyDescent="0.4">
      <c r="A97" s="625"/>
      <c r="B97" s="395" t="s">
        <v>100</v>
      </c>
      <c r="C97" s="402">
        <v>110972160</v>
      </c>
      <c r="D97" s="397">
        <v>14</v>
      </c>
      <c r="E97" s="398">
        <v>13</v>
      </c>
      <c r="F97" s="399">
        <v>114894635.01730005</v>
      </c>
      <c r="G97" s="400">
        <f t="shared" si="78"/>
        <v>3922475.0173000544</v>
      </c>
      <c r="H97" s="401">
        <f t="shared" si="79"/>
        <v>1.0353464780472874</v>
      </c>
      <c r="I97" s="192">
        <f t="shared" si="80"/>
        <v>517025.85757785029</v>
      </c>
      <c r="L97" s="608"/>
      <c r="M97" s="395" t="s">
        <v>100</v>
      </c>
      <c r="N97" s="402">
        <v>116812800</v>
      </c>
      <c r="O97" s="397">
        <v>7</v>
      </c>
      <c r="P97" s="398">
        <v>6</v>
      </c>
      <c r="Q97" s="399">
        <v>51112373.874199964</v>
      </c>
      <c r="R97" s="400">
        <f t="shared" si="81"/>
        <v>-65700426.125800036</v>
      </c>
      <c r="S97" s="401">
        <f t="shared" si="82"/>
        <v>0.43755798914331273</v>
      </c>
      <c r="T97" s="192">
        <f t="shared" si="83"/>
        <v>0</v>
      </c>
    </row>
    <row r="98" spans="1:21" ht="14.5" customHeight="1" x14ac:dyDescent="0.4">
      <c r="A98" s="625"/>
      <c r="B98" s="395" t="s">
        <v>101</v>
      </c>
      <c r="C98" s="402">
        <v>129467520.00000001</v>
      </c>
      <c r="D98" s="397">
        <v>11</v>
      </c>
      <c r="E98" s="398">
        <v>10</v>
      </c>
      <c r="F98" s="399">
        <v>122009518.92619997</v>
      </c>
      <c r="G98" s="400">
        <f t="shared" si="78"/>
        <v>-7458001.0738000423</v>
      </c>
      <c r="H98" s="401">
        <f t="shared" si="79"/>
        <v>0.94239481011299175</v>
      </c>
      <c r="I98" s="192">
        <f t="shared" si="80"/>
        <v>427033.31624169985</v>
      </c>
      <c r="L98" s="608"/>
      <c r="M98" s="395" t="s">
        <v>101</v>
      </c>
      <c r="N98" s="402">
        <v>134784000</v>
      </c>
      <c r="O98" s="397">
        <v>9</v>
      </c>
      <c r="P98" s="398">
        <v>6</v>
      </c>
      <c r="Q98" s="399">
        <v>70862031.530999988</v>
      </c>
      <c r="R98" s="400">
        <f t="shared" si="81"/>
        <v>-63921968.469000012</v>
      </c>
      <c r="S98" s="401">
        <f t="shared" si="82"/>
        <v>0.52574512947382468</v>
      </c>
      <c r="T98" s="192">
        <f t="shared" si="83"/>
        <v>0</v>
      </c>
    </row>
    <row r="99" spans="1:21" s="187" customFormat="1" ht="14.5" customHeight="1" thickBot="1" x14ac:dyDescent="0.45">
      <c r="A99" s="625"/>
      <c r="B99" s="403" t="s">
        <v>77</v>
      </c>
      <c r="C99" s="404">
        <f t="shared" ref="C99" si="84">SUM(C93:C98)</f>
        <v>924768000</v>
      </c>
      <c r="D99" s="405">
        <f>SUM(D93:D98)</f>
        <v>93</v>
      </c>
      <c r="E99" s="406">
        <f t="shared" ref="E99" si="85">SUM(E93:E98)</f>
        <v>82</v>
      </c>
      <c r="F99" s="404">
        <f>SUM(F93:F98)</f>
        <v>956862223.11009979</v>
      </c>
      <c r="G99" s="404">
        <f t="shared" si="78"/>
        <v>32094223.110099792</v>
      </c>
      <c r="H99" s="407">
        <f t="shared" si="79"/>
        <v>1.0347051618461061</v>
      </c>
      <c r="I99" s="197">
        <f>SUM(I93:I98)</f>
        <v>4008545.0170933991</v>
      </c>
      <c r="J99" s="217"/>
      <c r="L99" s="609"/>
      <c r="M99" s="446" t="s">
        <v>77</v>
      </c>
      <c r="N99" s="447">
        <f t="shared" ref="N99" si="86">SUM(N93:N98)</f>
        <v>898560000</v>
      </c>
      <c r="O99" s="448">
        <f>SUM(O93:O98)</f>
        <v>67</v>
      </c>
      <c r="P99" s="449">
        <f t="shared" ref="P99" si="87">SUM(P93:P98)</f>
        <v>50</v>
      </c>
      <c r="Q99" s="447">
        <f>SUM(Q93:Q98)</f>
        <v>494158826.7026</v>
      </c>
      <c r="R99" s="447">
        <f t="shared" si="81"/>
        <v>-404401173.2974</v>
      </c>
      <c r="S99" s="450">
        <f t="shared" si="82"/>
        <v>0.54994527544359861</v>
      </c>
      <c r="T99" s="197">
        <f>SUM(T93:T98)</f>
        <v>676098.02026849997</v>
      </c>
      <c r="U99" s="218"/>
    </row>
    <row r="100" spans="1:21" ht="15" customHeight="1" x14ac:dyDescent="0.4">
      <c r="A100" s="219"/>
      <c r="B100" s="408" t="str">
        <f>$B$12</f>
        <v>TARGET Q3</v>
      </c>
      <c r="C100" s="409">
        <v>832291200</v>
      </c>
      <c r="D100" s="431"/>
      <c r="E100" s="431"/>
      <c r="F100" s="409">
        <f>F99</f>
        <v>956862223.11009979</v>
      </c>
      <c r="G100" s="409">
        <f t="shared" si="78"/>
        <v>124571023.11009979</v>
      </c>
      <c r="H100" s="410">
        <f>F100/C100</f>
        <v>1.149672402051229</v>
      </c>
      <c r="I100" s="192">
        <f>IF(H100&gt;=1,3500000,IF(H100&gt;=0.9,2500000,0))</f>
        <v>3500000</v>
      </c>
      <c r="M100" s="408" t="str">
        <f>$B$12</f>
        <v>TARGET Q3</v>
      </c>
      <c r="N100" s="409">
        <v>808704000</v>
      </c>
      <c r="O100" s="431"/>
      <c r="P100" s="431"/>
      <c r="Q100" s="409">
        <f>Q99</f>
        <v>494158826.7026</v>
      </c>
      <c r="R100" s="409">
        <f t="shared" si="81"/>
        <v>-314545173.2974</v>
      </c>
      <c r="S100" s="410">
        <f>Q100/N100</f>
        <v>0.6110503060484429</v>
      </c>
      <c r="T100" s="192">
        <f>IF(S100&gt;=1,3500000,IF(S100&gt;=0.9,2500000,0))</f>
        <v>0</v>
      </c>
    </row>
    <row r="101" spans="1:21" ht="16.5" thickBot="1" x14ac:dyDescent="0.45">
      <c r="B101" s="417"/>
      <c r="C101" s="412">
        <f>C100/C99</f>
        <v>0.9</v>
      </c>
      <c r="D101" s="413"/>
      <c r="E101" s="414"/>
      <c r="F101" s="415"/>
      <c r="G101" s="416"/>
      <c r="H101" s="413"/>
      <c r="N101" s="412">
        <f>N100/N99</f>
        <v>0.9</v>
      </c>
    </row>
    <row r="102" spans="1:21" ht="17.149999999999999" customHeight="1" x14ac:dyDescent="0.35">
      <c r="A102" s="623">
        <v>10</v>
      </c>
      <c r="B102" s="390" t="s">
        <v>57</v>
      </c>
      <c r="C102" s="391" t="s">
        <v>37</v>
      </c>
      <c r="D102" s="657" t="s">
        <v>182</v>
      </c>
      <c r="E102" s="658"/>
      <c r="F102" s="658"/>
      <c r="G102" s="659"/>
      <c r="H102" s="390" t="s">
        <v>66</v>
      </c>
      <c r="L102" s="613">
        <v>10</v>
      </c>
      <c r="M102" s="440" t="s">
        <v>57</v>
      </c>
      <c r="N102" s="441" t="s">
        <v>122</v>
      </c>
      <c r="O102" s="647" t="s">
        <v>182</v>
      </c>
      <c r="P102" s="648"/>
      <c r="Q102" s="648"/>
      <c r="R102" s="649"/>
      <c r="S102" s="440" t="s">
        <v>66</v>
      </c>
    </row>
    <row r="103" spans="1:21" ht="37.5" customHeight="1" x14ac:dyDescent="0.35">
      <c r="A103" s="623"/>
      <c r="B103" s="390" t="s">
        <v>93</v>
      </c>
      <c r="C103" s="391" t="s">
        <v>94</v>
      </c>
      <c r="D103" s="392" t="s">
        <v>91</v>
      </c>
      <c r="E103" s="392" t="s">
        <v>62</v>
      </c>
      <c r="F103" s="393" t="str">
        <f>"OMSET "&amp;UPPER(TEXT($B$1,"MMM"))&amp;CHAR(10)&amp;" (1-"&amp;DAY($B$1)&amp;")"</f>
        <v>OMSET JUL
 (1-31)</v>
      </c>
      <c r="G103" s="391" t="s">
        <v>65</v>
      </c>
      <c r="H103" s="394">
        <f>100/DAY(EOMONTH($B$1,0))*DAY($B$1)/100</f>
        <v>1</v>
      </c>
      <c r="L103" s="614"/>
      <c r="M103" s="440" t="s">
        <v>93</v>
      </c>
      <c r="N103" s="441" t="s">
        <v>94</v>
      </c>
      <c r="O103" s="442" t="s">
        <v>91</v>
      </c>
      <c r="P103" s="442" t="s">
        <v>62</v>
      </c>
      <c r="Q103" s="443" t="str">
        <f>F103</f>
        <v>OMSET JUL
 (1-31)</v>
      </c>
      <c r="R103" s="444" t="s">
        <v>65</v>
      </c>
      <c r="S103" s="445">
        <f>H103</f>
        <v>1</v>
      </c>
    </row>
    <row r="104" spans="1:21" ht="14.5" customHeight="1" x14ac:dyDescent="0.4">
      <c r="A104" s="623"/>
      <c r="B104" s="395" t="s">
        <v>96</v>
      </c>
      <c r="C104" s="396">
        <v>369907200</v>
      </c>
      <c r="D104" s="397">
        <v>27</v>
      </c>
      <c r="E104" s="398">
        <v>20</v>
      </c>
      <c r="F104" s="399">
        <v>280287291.00870001</v>
      </c>
      <c r="G104" s="400">
        <f>F104-C104</f>
        <v>-89619908.991299987</v>
      </c>
      <c r="H104" s="401">
        <f>F104/C104</f>
        <v>0.75772326412867874</v>
      </c>
      <c r="I104" s="192">
        <f>IF(H104&gt;120%,F104* 0.55%, IF(H104&gt;100%,F104* 0.45%, IF(H104&gt;80%,F104* 0.35%, IF(H104&gt;60%,F104* 0.2%, 0))))</f>
        <v>560574.58201740007</v>
      </c>
      <c r="L104" s="614"/>
      <c r="M104" s="395" t="s">
        <v>96</v>
      </c>
      <c r="N104" s="396">
        <v>123302400</v>
      </c>
      <c r="O104" s="397">
        <v>14</v>
      </c>
      <c r="P104" s="398">
        <v>8</v>
      </c>
      <c r="Q104" s="399">
        <v>59617171.53989999</v>
      </c>
      <c r="R104" s="400">
        <f>Q104-N104</f>
        <v>-63685228.46010001</v>
      </c>
      <c r="S104" s="401">
        <f>Q104/N104</f>
        <v>0.48350373991017198</v>
      </c>
      <c r="T104" s="192">
        <f>IF(S104&gt;120%,Q104* 0.55%, IF(S104&gt;100%,Q104* 0.45%, IF(S104&gt;80%,Q104* 0.35%, IF(S104&gt;60%,Q104* 0.2%, 0))))</f>
        <v>0</v>
      </c>
    </row>
    <row r="105" spans="1:21" ht="14.5" customHeight="1" x14ac:dyDescent="0.4">
      <c r="A105" s="623"/>
      <c r="B105" s="395" t="s">
        <v>97</v>
      </c>
      <c r="C105" s="402">
        <v>0</v>
      </c>
      <c r="D105" s="397"/>
      <c r="E105" s="398"/>
      <c r="F105" s="399"/>
      <c r="G105" s="400">
        <f t="shared" ref="G105:G111" si="88">F105-C105</f>
        <v>0</v>
      </c>
      <c r="H105" s="401">
        <v>0</v>
      </c>
      <c r="I105" s="192">
        <f t="shared" ref="I105:I109" si="89">IF(H105&gt;120%,F105* 0.55%, IF(H105&gt;100%,F105* 0.45%, IF(H105&gt;80%,F105* 0.35%, IF(H105&gt;60%,F105* 0.2%, 0))))</f>
        <v>0</v>
      </c>
      <c r="L105" s="614"/>
      <c r="M105" s="395" t="s">
        <v>97</v>
      </c>
      <c r="N105" s="402">
        <v>426816000</v>
      </c>
      <c r="O105" s="397">
        <v>26</v>
      </c>
      <c r="P105" s="398">
        <v>24</v>
      </c>
      <c r="Q105" s="399">
        <v>355430617.11560005</v>
      </c>
      <c r="R105" s="400">
        <f t="shared" ref="R105:R111" si="90">Q105-N105</f>
        <v>-71385382.884399951</v>
      </c>
      <c r="S105" s="401">
        <f t="shared" ref="S105:S110" si="91">Q105/N105</f>
        <v>0.83274904669834315</v>
      </c>
      <c r="T105" s="192">
        <f t="shared" ref="T105:T109" si="92">IF(S105&gt;120%,Q105* 0.55%, IF(S105&gt;100%,Q105* 0.45%, IF(S105&gt;80%,Q105* 0.35%, IF(S105&gt;60%,Q105* 0.2%, 0))))</f>
        <v>1244007.1599046001</v>
      </c>
    </row>
    <row r="106" spans="1:21" ht="14.5" customHeight="1" x14ac:dyDescent="0.4">
      <c r="A106" s="623"/>
      <c r="B106" s="395" t="s">
        <v>98</v>
      </c>
      <c r="C106" s="402">
        <v>138715200</v>
      </c>
      <c r="D106" s="397">
        <v>11</v>
      </c>
      <c r="E106" s="398">
        <v>9</v>
      </c>
      <c r="F106" s="399">
        <v>38870890.090400018</v>
      </c>
      <c r="G106" s="400">
        <f t="shared" si="88"/>
        <v>-99844309.90959999</v>
      </c>
      <c r="H106" s="401">
        <f t="shared" ref="H106:H110" si="93">F106/C106</f>
        <v>0.28022084162658467</v>
      </c>
      <c r="I106" s="192">
        <f t="shared" si="89"/>
        <v>0</v>
      </c>
      <c r="L106" s="614"/>
      <c r="M106" s="395" t="s">
        <v>98</v>
      </c>
      <c r="N106" s="402">
        <v>0</v>
      </c>
      <c r="O106" s="397"/>
      <c r="P106" s="398"/>
      <c r="Q106" s="399"/>
      <c r="R106" s="400">
        <f t="shared" si="90"/>
        <v>0</v>
      </c>
      <c r="S106" s="401">
        <v>0</v>
      </c>
      <c r="T106" s="192">
        <f t="shared" si="92"/>
        <v>0</v>
      </c>
    </row>
    <row r="107" spans="1:21" ht="14.5" customHeight="1" x14ac:dyDescent="0.4">
      <c r="A107" s="623"/>
      <c r="B107" s="395" t="s">
        <v>99</v>
      </c>
      <c r="C107" s="402">
        <v>138715200</v>
      </c>
      <c r="D107" s="397">
        <v>8</v>
      </c>
      <c r="E107" s="398">
        <v>6</v>
      </c>
      <c r="F107" s="399">
        <v>83786389.19539997</v>
      </c>
      <c r="G107" s="400">
        <f t="shared" si="88"/>
        <v>-54928810.80460003</v>
      </c>
      <c r="H107" s="401">
        <f t="shared" si="93"/>
        <v>0.60401736215930169</v>
      </c>
      <c r="I107" s="192">
        <f t="shared" si="89"/>
        <v>167572.77839079994</v>
      </c>
      <c r="L107" s="614"/>
      <c r="M107" s="395" t="s">
        <v>99</v>
      </c>
      <c r="N107" s="402">
        <v>151756800</v>
      </c>
      <c r="O107" s="397">
        <v>18</v>
      </c>
      <c r="P107" s="398">
        <v>15</v>
      </c>
      <c r="Q107" s="399">
        <v>48887499.999899991</v>
      </c>
      <c r="R107" s="400">
        <f t="shared" si="90"/>
        <v>-102869300.00010002</v>
      </c>
      <c r="S107" s="401">
        <f t="shared" si="91"/>
        <v>0.3221437194241048</v>
      </c>
      <c r="T107" s="192">
        <f t="shared" si="92"/>
        <v>0</v>
      </c>
    </row>
    <row r="108" spans="1:21" ht="14.5" customHeight="1" x14ac:dyDescent="0.4">
      <c r="A108" s="623"/>
      <c r="B108" s="395" t="s">
        <v>100</v>
      </c>
      <c r="C108" s="402">
        <v>129467520.00000001</v>
      </c>
      <c r="D108" s="397">
        <v>7</v>
      </c>
      <c r="E108" s="398">
        <v>5</v>
      </c>
      <c r="F108" s="399">
        <v>25835463.963800002</v>
      </c>
      <c r="G108" s="400">
        <f t="shared" si="88"/>
        <v>-103632056.03620002</v>
      </c>
      <c r="H108" s="401">
        <f t="shared" si="93"/>
        <v>0.19955170195428165</v>
      </c>
      <c r="I108" s="192">
        <f t="shared" si="89"/>
        <v>0</v>
      </c>
      <c r="L108" s="614"/>
      <c r="M108" s="395" t="s">
        <v>100</v>
      </c>
      <c r="N108" s="402">
        <v>132787200.00000001</v>
      </c>
      <c r="O108" s="397">
        <v>8</v>
      </c>
      <c r="P108" s="398">
        <v>6</v>
      </c>
      <c r="Q108" s="399">
        <v>26347999.999799997</v>
      </c>
      <c r="R108" s="400">
        <f t="shared" si="90"/>
        <v>-106439200.00020002</v>
      </c>
      <c r="S108" s="401">
        <f t="shared" si="91"/>
        <v>0.19842273953965436</v>
      </c>
      <c r="T108" s="192">
        <f t="shared" si="92"/>
        <v>0</v>
      </c>
    </row>
    <row r="109" spans="1:21" ht="14.5" customHeight="1" x14ac:dyDescent="0.4">
      <c r="A109" s="623"/>
      <c r="B109" s="395" t="s">
        <v>101</v>
      </c>
      <c r="C109" s="402">
        <v>147962880</v>
      </c>
      <c r="D109" s="397">
        <v>17</v>
      </c>
      <c r="E109" s="398">
        <v>14</v>
      </c>
      <c r="F109" s="399">
        <v>83995450.793099999</v>
      </c>
      <c r="G109" s="400">
        <f t="shared" si="88"/>
        <v>-63967429.206900001</v>
      </c>
      <c r="H109" s="401">
        <f t="shared" si="93"/>
        <v>0.56767920976598996</v>
      </c>
      <c r="I109" s="192">
        <f t="shared" si="89"/>
        <v>0</v>
      </c>
      <c r="L109" s="614"/>
      <c r="M109" s="395" t="s">
        <v>101</v>
      </c>
      <c r="N109" s="402">
        <v>113817600</v>
      </c>
      <c r="O109" s="397">
        <v>11</v>
      </c>
      <c r="P109" s="398">
        <v>10</v>
      </c>
      <c r="Q109" s="399">
        <v>33428003.603399992</v>
      </c>
      <c r="R109" s="400">
        <f t="shared" si="90"/>
        <v>-80389596.396600008</v>
      </c>
      <c r="S109" s="401">
        <f t="shared" si="91"/>
        <v>0.29369801861399286</v>
      </c>
      <c r="T109" s="192">
        <f t="shared" si="92"/>
        <v>0</v>
      </c>
    </row>
    <row r="110" spans="1:21" ht="14.5" customHeight="1" thickBot="1" x14ac:dyDescent="0.45">
      <c r="A110" s="623"/>
      <c r="B110" s="403" t="s">
        <v>77</v>
      </c>
      <c r="C110" s="404">
        <f t="shared" ref="C110" si="94">SUM(C104:C109)</f>
        <v>924768000</v>
      </c>
      <c r="D110" s="405">
        <f>SUM(D104:D109)</f>
        <v>70</v>
      </c>
      <c r="E110" s="406">
        <f t="shared" ref="E110" si="95">SUM(E104:E109)</f>
        <v>54</v>
      </c>
      <c r="F110" s="404">
        <f>SUM(F104:F109)</f>
        <v>512775485.05140001</v>
      </c>
      <c r="G110" s="404">
        <f t="shared" si="88"/>
        <v>-411992514.94859999</v>
      </c>
      <c r="H110" s="407">
        <f t="shared" si="93"/>
        <v>0.55449094805551236</v>
      </c>
      <c r="I110" s="197">
        <f>SUM(I104:I109)</f>
        <v>728147.36040819995</v>
      </c>
      <c r="L110" s="615"/>
      <c r="M110" s="446" t="s">
        <v>77</v>
      </c>
      <c r="N110" s="447">
        <f t="shared" ref="N110" si="96">SUM(N104:N109)</f>
        <v>948480000</v>
      </c>
      <c r="O110" s="448">
        <f>SUM(O104:O109)</f>
        <v>77</v>
      </c>
      <c r="P110" s="449">
        <f t="shared" ref="P110" si="97">SUM(P104:P109)</f>
        <v>63</v>
      </c>
      <c r="Q110" s="447">
        <f>SUM(Q104:Q109)</f>
        <v>523711292.2586</v>
      </c>
      <c r="R110" s="447">
        <f t="shared" si="90"/>
        <v>-424768707.7414</v>
      </c>
      <c r="S110" s="450">
        <f t="shared" si="91"/>
        <v>0.55215849807966433</v>
      </c>
      <c r="T110" s="197">
        <f>SUM(T104:T109)</f>
        <v>1244007.1599046001</v>
      </c>
    </row>
    <row r="111" spans="1:21" ht="14.5" customHeight="1" x14ac:dyDescent="0.4">
      <c r="B111" s="408" t="str">
        <f>$B$12</f>
        <v>TARGET Q3</v>
      </c>
      <c r="C111" s="409">
        <v>832291200</v>
      </c>
      <c r="D111" s="431"/>
      <c r="E111" s="431"/>
      <c r="F111" s="409">
        <f>F110</f>
        <v>512775485.05140001</v>
      </c>
      <c r="G111" s="409">
        <f t="shared" si="88"/>
        <v>-319515714.94859999</v>
      </c>
      <c r="H111" s="410">
        <f>F111/C111</f>
        <v>0.61610105339501364</v>
      </c>
      <c r="I111" s="192">
        <f>IF(H111&gt;=1,3500000,IF(H111&gt;=0.9,2500000,0))</f>
        <v>0</v>
      </c>
      <c r="M111" s="408" t="str">
        <f>$B$12</f>
        <v>TARGET Q3</v>
      </c>
      <c r="N111" s="409">
        <v>853632000</v>
      </c>
      <c r="O111" s="431"/>
      <c r="P111" s="431"/>
      <c r="Q111" s="409">
        <f>Q110</f>
        <v>523711292.2586</v>
      </c>
      <c r="R111" s="409">
        <f t="shared" si="90"/>
        <v>-329920707.7414</v>
      </c>
      <c r="S111" s="410">
        <f>Q111/N111</f>
        <v>0.61350944231073812</v>
      </c>
      <c r="T111" s="192">
        <f>IF(S111&gt;=1,3500000,IF(S111&gt;=0.9,2500000,0))</f>
        <v>0</v>
      </c>
    </row>
    <row r="112" spans="1:21" ht="14.5" customHeight="1" x14ac:dyDescent="0.4">
      <c r="B112" s="417"/>
      <c r="C112" s="412">
        <f>C111/C110</f>
        <v>0.9</v>
      </c>
      <c r="D112" s="413"/>
      <c r="E112" s="414"/>
      <c r="F112" s="415"/>
      <c r="G112" s="416"/>
      <c r="H112" s="413"/>
      <c r="N112" s="412">
        <f>N111/N110</f>
        <v>0.9</v>
      </c>
    </row>
    <row r="113" spans="2:21" x14ac:dyDescent="0.4">
      <c r="B113" s="417"/>
      <c r="C113" s="412"/>
      <c r="D113" s="413"/>
      <c r="E113" s="414"/>
      <c r="F113" s="415"/>
      <c r="G113" s="416"/>
      <c r="H113" s="413"/>
    </row>
    <row r="114" spans="2:21" s="290" customFormat="1" ht="14.5" customHeight="1" x14ac:dyDescent="0.4">
      <c r="B114" s="418"/>
      <c r="C114" s="419"/>
      <c r="D114" s="420"/>
      <c r="E114" s="421"/>
      <c r="F114" s="422"/>
      <c r="G114" s="423"/>
      <c r="H114" s="420"/>
      <c r="I114" s="297"/>
      <c r="J114" s="298"/>
      <c r="M114" s="418"/>
      <c r="N114" s="420"/>
      <c r="O114" s="451"/>
      <c r="P114" s="420"/>
      <c r="Q114" s="422"/>
      <c r="R114" s="419"/>
      <c r="S114" s="420"/>
      <c r="T114" s="291"/>
      <c r="U114" s="300"/>
    </row>
    <row r="115" spans="2:21" ht="14.5" customHeight="1" x14ac:dyDescent="0.4">
      <c r="B115" s="417"/>
      <c r="C115" s="424"/>
      <c r="D115" s="413"/>
      <c r="E115" s="414"/>
      <c r="F115" s="415"/>
      <c r="G115" s="416"/>
      <c r="H115" s="413"/>
    </row>
    <row r="116" spans="2:21" ht="15" customHeight="1" x14ac:dyDescent="0.35">
      <c r="B116" s="642" t="s">
        <v>123</v>
      </c>
      <c r="C116" s="642"/>
      <c r="D116" s="642"/>
      <c r="E116" s="642"/>
      <c r="F116" s="642"/>
      <c r="G116" s="642"/>
      <c r="H116" s="642"/>
      <c r="I116"/>
      <c r="J116"/>
      <c r="M116" s="632" t="s">
        <v>124</v>
      </c>
      <c r="N116" s="633"/>
      <c r="O116" s="633"/>
      <c r="P116" s="633"/>
      <c r="Q116" s="633"/>
      <c r="R116" s="633"/>
      <c r="S116" s="634"/>
      <c r="T116" s="194"/>
      <c r="U116" s="194"/>
    </row>
    <row r="117" spans="2:21" ht="15" customHeight="1" x14ac:dyDescent="0.35">
      <c r="B117" s="642"/>
      <c r="C117" s="642"/>
      <c r="D117" s="642"/>
      <c r="E117" s="642"/>
      <c r="F117" s="642"/>
      <c r="G117" s="642"/>
      <c r="H117" s="642"/>
      <c r="I117"/>
      <c r="J117"/>
      <c r="M117" s="635"/>
      <c r="N117" s="636"/>
      <c r="O117" s="636"/>
      <c r="P117" s="636"/>
      <c r="Q117" s="636"/>
      <c r="R117" s="636"/>
      <c r="S117" s="637"/>
      <c r="T117" s="194"/>
      <c r="U117" s="194"/>
    </row>
    <row r="118" spans="2:21" ht="15" customHeight="1" x14ac:dyDescent="0.35">
      <c r="B118" s="655" t="s">
        <v>125</v>
      </c>
      <c r="C118" s="654" t="s">
        <v>94</v>
      </c>
      <c r="D118" s="655" t="s">
        <v>91</v>
      </c>
      <c r="E118" s="655" t="s">
        <v>62</v>
      </c>
      <c r="F118" s="656" t="str">
        <f>F48</f>
        <v>OMSET JUL
 (1-31)</v>
      </c>
      <c r="G118" s="654" t="s">
        <v>126</v>
      </c>
      <c r="H118" s="425" t="s">
        <v>128</v>
      </c>
      <c r="I118"/>
      <c r="J118"/>
      <c r="M118" s="638" t="s">
        <v>125</v>
      </c>
      <c r="N118" s="643" t="s">
        <v>94</v>
      </c>
      <c r="O118" s="638" t="s">
        <v>91</v>
      </c>
      <c r="P118" s="638" t="s">
        <v>62</v>
      </c>
      <c r="Q118" s="640" t="str">
        <f>Q48</f>
        <v>OMSET JUL
 (1-31)</v>
      </c>
      <c r="R118" s="643" t="s">
        <v>126</v>
      </c>
      <c r="S118" s="452" t="s">
        <v>128</v>
      </c>
      <c r="T118" s="194"/>
      <c r="U118" s="194"/>
    </row>
    <row r="119" spans="2:21" ht="30" customHeight="1" x14ac:dyDescent="0.35">
      <c r="B119" s="655"/>
      <c r="C119" s="654"/>
      <c r="D119" s="655"/>
      <c r="E119" s="655"/>
      <c r="F119" s="656"/>
      <c r="G119" s="654"/>
      <c r="H119" s="426">
        <f>100/DAY(EOMONTH($B$1,0))*DAY($B$1)/100</f>
        <v>1</v>
      </c>
      <c r="I119"/>
      <c r="J119"/>
      <c r="M119" s="639"/>
      <c r="N119" s="644"/>
      <c r="O119" s="639"/>
      <c r="P119" s="639"/>
      <c r="Q119" s="641"/>
      <c r="R119" s="644"/>
      <c r="S119" s="453">
        <f>100/DAY(EOMONTH($B$1,0))*DAY($B$1)/100</f>
        <v>1</v>
      </c>
      <c r="T119" s="194"/>
      <c r="U119" s="194"/>
    </row>
    <row r="120" spans="2:21" x14ac:dyDescent="0.4">
      <c r="B120" s="400" t="str">
        <f>C3</f>
        <v>CHRISTOPER</v>
      </c>
      <c r="C120" s="396">
        <f t="shared" ref="C120:F120" si="98">C11</f>
        <v>1370304000</v>
      </c>
      <c r="D120" s="397">
        <f t="shared" si="98"/>
        <v>94</v>
      </c>
      <c r="E120" s="427">
        <f t="shared" si="98"/>
        <v>85</v>
      </c>
      <c r="F120" s="428">
        <f t="shared" si="98"/>
        <v>1409845632.6701002</v>
      </c>
      <c r="G120" s="428">
        <f>G11</f>
        <v>39541632.670100212</v>
      </c>
      <c r="H120" s="429">
        <f>F120/C120</f>
        <v>1.0288561024926588</v>
      </c>
      <c r="I120"/>
      <c r="J120"/>
      <c r="M120" s="400" t="str">
        <f>N3</f>
        <v>FERDIAN</v>
      </c>
      <c r="N120" s="396">
        <f t="shared" ref="N120:Q120" si="99">N11</f>
        <v>1123200000</v>
      </c>
      <c r="O120" s="397">
        <f t="shared" si="99"/>
        <v>85</v>
      </c>
      <c r="P120" s="427">
        <f t="shared" si="99"/>
        <v>73</v>
      </c>
      <c r="Q120" s="428">
        <f t="shared" si="99"/>
        <v>928259879.1954999</v>
      </c>
      <c r="R120" s="428">
        <f>R11</f>
        <v>-194940120.8045001</v>
      </c>
      <c r="S120" s="429">
        <f>Q120/N120</f>
        <v>0.82644220013844361</v>
      </c>
      <c r="T120" s="228"/>
      <c r="U120" s="194"/>
    </row>
    <row r="121" spans="2:21" x14ac:dyDescent="0.4">
      <c r="B121" s="400" t="str">
        <f>C14</f>
        <v>AGPC : BOGOR</v>
      </c>
      <c r="C121" s="396">
        <f>C22</f>
        <v>1522560000</v>
      </c>
      <c r="D121" s="397">
        <f t="shared" ref="D121:F121" si="100">D22</f>
        <v>95</v>
      </c>
      <c r="E121" s="427">
        <f t="shared" si="100"/>
        <v>79</v>
      </c>
      <c r="F121" s="428">
        <f t="shared" si="100"/>
        <v>1398557367.1848001</v>
      </c>
      <c r="G121" s="428">
        <f t="shared" ref="G121" si="101">G22</f>
        <v>-124002632.81519985</v>
      </c>
      <c r="H121" s="429">
        <f>F121/C121</f>
        <v>0.91855648853562433</v>
      </c>
      <c r="I121"/>
      <c r="J121"/>
      <c r="M121" s="400" t="str">
        <f>N14</f>
        <v>LUDFY</v>
      </c>
      <c r="N121" s="396">
        <f>N22</f>
        <v>1422720000</v>
      </c>
      <c r="O121" s="397">
        <f t="shared" ref="O121:R121" si="102">O22</f>
        <v>80</v>
      </c>
      <c r="P121" s="427">
        <f t="shared" si="102"/>
        <v>72</v>
      </c>
      <c r="Q121" s="428">
        <f t="shared" si="102"/>
        <v>815491184.66620028</v>
      </c>
      <c r="R121" s="428">
        <f t="shared" si="102"/>
        <v>-607228815.33379972</v>
      </c>
      <c r="S121" s="429">
        <f>Q121/N121</f>
        <v>0.57319162215066932</v>
      </c>
      <c r="T121" s="228"/>
      <c r="U121" s="194"/>
    </row>
    <row r="122" spans="2:21" x14ac:dyDescent="0.4">
      <c r="B122" s="400" t="str">
        <f>C25</f>
        <v>DIKI</v>
      </c>
      <c r="C122" s="396">
        <f t="shared" ref="C122:F122" si="103">C33</f>
        <v>1446432000</v>
      </c>
      <c r="D122" s="397">
        <f t="shared" si="103"/>
        <v>94</v>
      </c>
      <c r="E122" s="427">
        <f t="shared" si="103"/>
        <v>87</v>
      </c>
      <c r="F122" s="428">
        <f t="shared" si="103"/>
        <v>1878744324.2985997</v>
      </c>
      <c r="G122" s="428">
        <f t="shared" ref="G122" si="104">G33</f>
        <v>432312324.29859972</v>
      </c>
      <c r="H122" s="429">
        <f t="shared" ref="H122:H126" si="105">F122/C122</f>
        <v>1.2988818861160425</v>
      </c>
      <c r="I122"/>
      <c r="J122"/>
      <c r="M122" s="400" t="str">
        <f>N25</f>
        <v>ALI AKBAR</v>
      </c>
      <c r="N122" s="396">
        <f t="shared" ref="N122:R122" si="106">N33</f>
        <v>1347840000</v>
      </c>
      <c r="O122" s="397">
        <f t="shared" si="106"/>
        <v>68</v>
      </c>
      <c r="P122" s="427">
        <f t="shared" si="106"/>
        <v>62</v>
      </c>
      <c r="Q122" s="428">
        <f t="shared" si="106"/>
        <v>857945792.78900015</v>
      </c>
      <c r="R122" s="428">
        <f t="shared" si="106"/>
        <v>-489894207.21099985</v>
      </c>
      <c r="S122" s="429">
        <f t="shared" ref="S122:S126" si="107">Q122/N122</f>
        <v>0.63653385623590353</v>
      </c>
      <c r="T122" s="228"/>
      <c r="U122" s="194"/>
    </row>
    <row r="123" spans="2:21" ht="14.5" customHeight="1" x14ac:dyDescent="0.4">
      <c r="B123" s="400" t="str">
        <f>C36</f>
        <v>NUR HABIBI</v>
      </c>
      <c r="C123" s="396">
        <f t="shared" ref="C123:F123" si="108">C44</f>
        <v>1674816000</v>
      </c>
      <c r="D123" s="397">
        <f t="shared" si="108"/>
        <v>85</v>
      </c>
      <c r="E123" s="427">
        <f t="shared" si="108"/>
        <v>79</v>
      </c>
      <c r="F123" s="428">
        <f t="shared" si="108"/>
        <v>1630024959.0342996</v>
      </c>
      <c r="G123" s="428">
        <f t="shared" ref="G123" si="109">G44</f>
        <v>-44791040.965700388</v>
      </c>
      <c r="H123" s="429">
        <f t="shared" si="105"/>
        <v>0.97325614218773859</v>
      </c>
      <c r="I123"/>
      <c r="J123"/>
      <c r="M123" s="400" t="str">
        <f>N36</f>
        <v>GILBERT</v>
      </c>
      <c r="N123" s="396">
        <f t="shared" ref="N123:R123" si="110">N44</f>
        <v>1872000000</v>
      </c>
      <c r="O123" s="397">
        <f t="shared" si="110"/>
        <v>62</v>
      </c>
      <c r="P123" s="427">
        <f t="shared" si="110"/>
        <v>54</v>
      </c>
      <c r="Q123" s="428">
        <f t="shared" si="110"/>
        <v>1912389206.6014996</v>
      </c>
      <c r="R123" s="428">
        <f t="shared" si="110"/>
        <v>40389206.601499557</v>
      </c>
      <c r="S123" s="429">
        <f t="shared" si="107"/>
        <v>1.0215754308768694</v>
      </c>
      <c r="T123" s="228"/>
      <c r="U123" s="194"/>
    </row>
    <row r="124" spans="2:21" ht="14.5" customHeight="1" x14ac:dyDescent="0.4">
      <c r="B124" s="400" t="str">
        <f>C47</f>
        <v>RIDWAN</v>
      </c>
      <c r="C124" s="396">
        <f t="shared" ref="C124:F124" si="111">C55</f>
        <v>1598688000</v>
      </c>
      <c r="D124" s="397">
        <f t="shared" si="111"/>
        <v>114</v>
      </c>
      <c r="E124" s="427">
        <f t="shared" si="111"/>
        <v>92</v>
      </c>
      <c r="F124" s="428">
        <f t="shared" si="111"/>
        <v>1704131235.2603996</v>
      </c>
      <c r="G124" s="428">
        <f t="shared" ref="G124" si="112">G55</f>
        <v>105443235.26039958</v>
      </c>
      <c r="H124" s="429">
        <f t="shared" si="105"/>
        <v>1.0659561060447065</v>
      </c>
      <c r="I124"/>
      <c r="J124"/>
      <c r="M124" s="400" t="str">
        <f>N47</f>
        <v>ACHMAD FAUZI</v>
      </c>
      <c r="N124" s="396">
        <f t="shared" ref="N124:R124" si="113">N55</f>
        <v>1722240000</v>
      </c>
      <c r="O124" s="397">
        <f t="shared" si="113"/>
        <v>80</v>
      </c>
      <c r="P124" s="427">
        <f t="shared" si="113"/>
        <v>70</v>
      </c>
      <c r="Q124" s="428">
        <f t="shared" si="113"/>
        <v>1498258684.6825998</v>
      </c>
      <c r="R124" s="428">
        <f t="shared" si="113"/>
        <v>-223981315.31740022</v>
      </c>
      <c r="S124" s="429">
        <f t="shared" si="107"/>
        <v>0.86994767551711716</v>
      </c>
      <c r="T124" s="228"/>
      <c r="U124" s="194"/>
    </row>
    <row r="125" spans="2:21" x14ac:dyDescent="0.4">
      <c r="B125" s="403" t="s">
        <v>77</v>
      </c>
      <c r="C125" s="404">
        <f t="shared" ref="C125:E125" si="114">SUM(C120:C124)</f>
        <v>7612800000</v>
      </c>
      <c r="D125" s="405">
        <f t="shared" si="114"/>
        <v>482</v>
      </c>
      <c r="E125" s="406">
        <f t="shared" si="114"/>
        <v>422</v>
      </c>
      <c r="F125" s="430">
        <f>SUM(F120:F124)</f>
        <v>8021303518.4481993</v>
      </c>
      <c r="G125" s="404">
        <f>F125-C125</f>
        <v>408503518.44819927</v>
      </c>
      <c r="H125" s="407">
        <f t="shared" si="105"/>
        <v>1.0536600880685423</v>
      </c>
      <c r="I125"/>
      <c r="J125"/>
      <c r="M125" s="446" t="s">
        <v>77</v>
      </c>
      <c r="N125" s="447">
        <f t="shared" ref="N125:Q125" si="115">SUM(N120:N124)</f>
        <v>7488000000</v>
      </c>
      <c r="O125" s="448">
        <f t="shared" si="115"/>
        <v>375</v>
      </c>
      <c r="P125" s="449">
        <f t="shared" si="115"/>
        <v>331</v>
      </c>
      <c r="Q125" s="454">
        <f t="shared" si="115"/>
        <v>6012344747.9347992</v>
      </c>
      <c r="R125" s="447">
        <f>Q125-N125</f>
        <v>-1475655252.0652008</v>
      </c>
      <c r="S125" s="450">
        <f t="shared" si="107"/>
        <v>0.80293065544001052</v>
      </c>
      <c r="T125" s="194"/>
      <c r="U125" s="194"/>
    </row>
    <row r="126" spans="2:21" x14ac:dyDescent="0.4">
      <c r="B126" s="408" t="str">
        <f>$B$12</f>
        <v>TARGET Q3</v>
      </c>
      <c r="C126" s="409">
        <f>SUM(C56,C45,C34,C23,C12)</f>
        <v>6851520000</v>
      </c>
      <c r="D126" s="431"/>
      <c r="E126" s="431"/>
      <c r="F126" s="432">
        <f>F125</f>
        <v>8021303518.4481993</v>
      </c>
      <c r="G126" s="409">
        <f>F126-C126</f>
        <v>1169783518.4481993</v>
      </c>
      <c r="H126" s="433">
        <f t="shared" si="105"/>
        <v>1.1707334311872692</v>
      </c>
      <c r="I126"/>
      <c r="J126"/>
      <c r="M126" s="408" t="str">
        <f>$B$12</f>
        <v>TARGET Q3</v>
      </c>
      <c r="N126" s="409">
        <f>SUM(N56,N45,N34,N23,N12)</f>
        <v>6739200000</v>
      </c>
      <c r="O126" s="431"/>
      <c r="P126" s="431"/>
      <c r="Q126" s="432">
        <f>Q125</f>
        <v>6012344747.9347992</v>
      </c>
      <c r="R126" s="409">
        <f>Q126-N126</f>
        <v>-726855252.06520081</v>
      </c>
      <c r="S126" s="433">
        <f t="shared" si="107"/>
        <v>0.89214517271112281</v>
      </c>
      <c r="T126" s="194"/>
      <c r="U126" s="194"/>
    </row>
    <row r="127" spans="2:21" x14ac:dyDescent="0.4">
      <c r="B127" s="417"/>
      <c r="C127" s="434"/>
      <c r="D127" s="435"/>
      <c r="E127" s="435"/>
      <c r="F127" s="435"/>
      <c r="G127" s="435"/>
      <c r="H127" s="435"/>
      <c r="I127" s="197"/>
      <c r="J127" s="246"/>
      <c r="N127" s="434"/>
      <c r="O127" s="435"/>
      <c r="P127" s="435"/>
      <c r="Q127" s="435"/>
      <c r="R127" s="455"/>
      <c r="S127" s="456"/>
      <c r="T127" s="197"/>
      <c r="U127" s="246"/>
    </row>
    <row r="128" spans="2:21" x14ac:dyDescent="0.4">
      <c r="B128" s="417"/>
      <c r="C128" s="424"/>
      <c r="D128" s="413"/>
      <c r="E128" s="414"/>
      <c r="F128" s="415"/>
      <c r="G128" s="416"/>
      <c r="H128" s="436"/>
    </row>
    <row r="129" spans="2:21" ht="15" customHeight="1" x14ac:dyDescent="0.35">
      <c r="B129" s="642" t="s">
        <v>187</v>
      </c>
      <c r="C129" s="642"/>
      <c r="D129" s="642"/>
      <c r="E129" s="642"/>
      <c r="F129" s="642"/>
      <c r="G129" s="642"/>
      <c r="H129" s="642"/>
      <c r="I129"/>
      <c r="J129"/>
      <c r="M129" s="632" t="s">
        <v>130</v>
      </c>
      <c r="N129" s="633"/>
      <c r="O129" s="633"/>
      <c r="P129" s="633"/>
      <c r="Q129" s="633"/>
      <c r="R129" s="633"/>
      <c r="S129" s="634"/>
      <c r="T129" s="194"/>
      <c r="U129" s="194"/>
    </row>
    <row r="130" spans="2:21" ht="15" customHeight="1" x14ac:dyDescent="0.35">
      <c r="B130" s="642"/>
      <c r="C130" s="642"/>
      <c r="D130" s="642"/>
      <c r="E130" s="642"/>
      <c r="F130" s="642"/>
      <c r="G130" s="642"/>
      <c r="H130" s="642"/>
      <c r="I130"/>
      <c r="J130"/>
      <c r="M130" s="635"/>
      <c r="N130" s="636"/>
      <c r="O130" s="636"/>
      <c r="P130" s="636"/>
      <c r="Q130" s="636"/>
      <c r="R130" s="636"/>
      <c r="S130" s="637"/>
      <c r="T130" s="194"/>
      <c r="U130" s="194"/>
    </row>
    <row r="131" spans="2:21" ht="15" customHeight="1" x14ac:dyDescent="0.35">
      <c r="B131" s="645" t="s">
        <v>125</v>
      </c>
      <c r="C131" s="650" t="s">
        <v>94</v>
      </c>
      <c r="D131" s="645" t="s">
        <v>91</v>
      </c>
      <c r="E131" s="645" t="s">
        <v>62</v>
      </c>
      <c r="F131" s="652" t="str">
        <f>F48</f>
        <v>OMSET JUL
 (1-31)</v>
      </c>
      <c r="G131" s="650" t="s">
        <v>126</v>
      </c>
      <c r="H131" s="425" t="s">
        <v>128</v>
      </c>
      <c r="I131" s="194"/>
      <c r="J131" s="194"/>
      <c r="M131" s="638" t="s">
        <v>125</v>
      </c>
      <c r="N131" s="643" t="s">
        <v>94</v>
      </c>
      <c r="O131" s="638" t="s">
        <v>91</v>
      </c>
      <c r="P131" s="638" t="s">
        <v>62</v>
      </c>
      <c r="Q131" s="640" t="str">
        <f>Q48</f>
        <v>OMSET JUL
 (1-31)</v>
      </c>
      <c r="R131" s="643" t="s">
        <v>126</v>
      </c>
      <c r="S131" s="452" t="s">
        <v>128</v>
      </c>
      <c r="T131" s="194"/>
      <c r="U131" s="194"/>
    </row>
    <row r="132" spans="2:21" ht="27.75" customHeight="1" x14ac:dyDescent="0.35">
      <c r="B132" s="646"/>
      <c r="C132" s="651"/>
      <c r="D132" s="646"/>
      <c r="E132" s="646"/>
      <c r="F132" s="653"/>
      <c r="G132" s="651"/>
      <c r="H132" s="426">
        <f>100/DAY(EOMONTH($B$1,0))*DAY($B$1)/100</f>
        <v>1</v>
      </c>
      <c r="I132" s="194"/>
      <c r="J132" s="194"/>
      <c r="M132" s="639"/>
      <c r="N132" s="644"/>
      <c r="O132" s="639"/>
      <c r="P132" s="639"/>
      <c r="Q132" s="641"/>
      <c r="R132" s="644"/>
      <c r="S132" s="453">
        <f>100/DAY(EOMONTH($B$1,0))*DAY($B$1)/100</f>
        <v>1</v>
      </c>
      <c r="T132" s="194"/>
      <c r="U132" s="194"/>
    </row>
    <row r="133" spans="2:21" ht="15" customHeight="1" x14ac:dyDescent="0.4">
      <c r="B133" s="400" t="str">
        <f>C58</f>
        <v>AHMAD</v>
      </c>
      <c r="C133" s="396">
        <f t="shared" ref="C133:F133" si="116">C66</f>
        <v>924768000</v>
      </c>
      <c r="D133" s="397">
        <f t="shared" si="116"/>
        <v>83</v>
      </c>
      <c r="E133" s="427">
        <f t="shared" si="116"/>
        <v>72</v>
      </c>
      <c r="F133" s="428">
        <f t="shared" si="116"/>
        <v>633270626.84490001</v>
      </c>
      <c r="G133" s="428">
        <f>G66</f>
        <v>-291497373.15509999</v>
      </c>
      <c r="H133" s="429">
        <f>F133/C133</f>
        <v>0.68478864628198644</v>
      </c>
      <c r="I133" s="228"/>
      <c r="J133" s="194"/>
      <c r="M133" s="400" t="str">
        <f>N58</f>
        <v>AGUSTIAN</v>
      </c>
      <c r="N133" s="396">
        <f t="shared" ref="N133:Q133" si="117">N66</f>
        <v>1148160000</v>
      </c>
      <c r="O133" s="397">
        <f t="shared" si="117"/>
        <v>77</v>
      </c>
      <c r="P133" s="427">
        <f t="shared" si="117"/>
        <v>70</v>
      </c>
      <c r="Q133" s="428">
        <f t="shared" si="117"/>
        <v>936566393.25959992</v>
      </c>
      <c r="R133" s="428">
        <f>R66</f>
        <v>-211593606.74040008</v>
      </c>
      <c r="S133" s="429">
        <f>Q133/N133</f>
        <v>0.81571069647052674</v>
      </c>
      <c r="T133" s="194"/>
      <c r="U133" s="194"/>
    </row>
    <row r="134" spans="2:21" x14ac:dyDescent="0.4">
      <c r="B134" s="400" t="str">
        <f>C69</f>
        <v>ALFIN</v>
      </c>
      <c r="C134" s="396">
        <f t="shared" ref="C134:F134" si="118">C77</f>
        <v>1216800000</v>
      </c>
      <c r="D134" s="397">
        <f t="shared" si="118"/>
        <v>105</v>
      </c>
      <c r="E134" s="427">
        <f t="shared" si="118"/>
        <v>92</v>
      </c>
      <c r="F134" s="428">
        <f t="shared" si="118"/>
        <v>1003942568.2142</v>
      </c>
      <c r="G134" s="428">
        <f>G77</f>
        <v>-212857431.78579998</v>
      </c>
      <c r="H134" s="429">
        <f>F134/C134</f>
        <v>0.82506785684927686</v>
      </c>
      <c r="I134" s="228"/>
      <c r="J134" s="194"/>
      <c r="M134" s="400" t="str">
        <f>N69</f>
        <v>RAY FAHMI</v>
      </c>
      <c r="N134" s="396">
        <f t="shared" ref="N134:Q134" si="119">N77</f>
        <v>1148160000</v>
      </c>
      <c r="O134" s="397">
        <f t="shared" si="119"/>
        <v>90</v>
      </c>
      <c r="P134" s="427">
        <f t="shared" si="119"/>
        <v>77</v>
      </c>
      <c r="Q134" s="428">
        <f t="shared" si="119"/>
        <v>1080915306.4856997</v>
      </c>
      <c r="R134" s="428">
        <f>R77</f>
        <v>-67244693.514300346</v>
      </c>
      <c r="S134" s="429">
        <f>Q134/N134</f>
        <v>0.94143264569894414</v>
      </c>
      <c r="T134" s="194"/>
      <c r="U134" s="194"/>
    </row>
    <row r="135" spans="2:21" x14ac:dyDescent="0.4">
      <c r="B135" s="400" t="str">
        <f>C80</f>
        <v>NURRAHMAN</v>
      </c>
      <c r="C135" s="396">
        <f t="shared" ref="C135:F135" si="120">C88</f>
        <v>876096000</v>
      </c>
      <c r="D135" s="397">
        <f t="shared" si="120"/>
        <v>53</v>
      </c>
      <c r="E135" s="427">
        <f t="shared" si="120"/>
        <v>39</v>
      </c>
      <c r="F135" s="428">
        <f t="shared" si="120"/>
        <v>313297887.38249987</v>
      </c>
      <c r="G135" s="428">
        <f>G88</f>
        <v>-562798112.61750007</v>
      </c>
      <c r="H135" s="429">
        <f t="shared" ref="H135:H139" si="121">F135/C135</f>
        <v>0.35760680037632847</v>
      </c>
      <c r="I135" s="228"/>
      <c r="J135" s="194"/>
      <c r="M135" s="400" t="str">
        <f>N80</f>
        <v>AGPS:JAKTIM-CKR</v>
      </c>
      <c r="N135" s="396">
        <f t="shared" ref="N135:Q135" si="122">N88</f>
        <v>848640000.00000012</v>
      </c>
      <c r="O135" s="397">
        <f t="shared" si="122"/>
        <v>47</v>
      </c>
      <c r="P135" s="427">
        <f t="shared" si="122"/>
        <v>42</v>
      </c>
      <c r="Q135" s="428">
        <f t="shared" si="122"/>
        <v>390061048.94549996</v>
      </c>
      <c r="R135" s="428">
        <f>R88</f>
        <v>-458578951.05450016</v>
      </c>
      <c r="S135" s="429">
        <f t="shared" ref="S135:S139" si="123">Q135/N135</f>
        <v>0.45963076091805699</v>
      </c>
      <c r="T135" s="194"/>
      <c r="U135" s="194"/>
    </row>
    <row r="136" spans="2:21" x14ac:dyDescent="0.4">
      <c r="B136" s="400" t="str">
        <f>C91</f>
        <v>IPNU</v>
      </c>
      <c r="C136" s="396">
        <f t="shared" ref="C136:F136" si="124">C99</f>
        <v>924768000</v>
      </c>
      <c r="D136" s="397">
        <f t="shared" si="124"/>
        <v>93</v>
      </c>
      <c r="E136" s="427">
        <f t="shared" si="124"/>
        <v>82</v>
      </c>
      <c r="F136" s="428">
        <f t="shared" si="124"/>
        <v>956862223.11009979</v>
      </c>
      <c r="G136" s="428">
        <f>G99</f>
        <v>32094223.110099792</v>
      </c>
      <c r="H136" s="429">
        <f t="shared" si="121"/>
        <v>1.0347051618461061</v>
      </c>
      <c r="I136" s="228"/>
      <c r="J136" s="194"/>
      <c r="M136" s="400" t="str">
        <f>N91</f>
        <v>DIMAS</v>
      </c>
      <c r="N136" s="396">
        <f t="shared" ref="N136:Q136" si="125">N99</f>
        <v>898560000</v>
      </c>
      <c r="O136" s="397">
        <f t="shared" si="125"/>
        <v>67</v>
      </c>
      <c r="P136" s="427">
        <f t="shared" si="125"/>
        <v>50</v>
      </c>
      <c r="Q136" s="428">
        <f t="shared" si="125"/>
        <v>494158826.7026</v>
      </c>
      <c r="R136" s="428">
        <f>R99</f>
        <v>-404401173.2974</v>
      </c>
      <c r="S136" s="429">
        <f t="shared" si="123"/>
        <v>0.54994527544359861</v>
      </c>
      <c r="T136" s="194"/>
      <c r="U136" s="194"/>
    </row>
    <row r="137" spans="2:21" x14ac:dyDescent="0.4">
      <c r="B137" s="400" t="str">
        <f>C102</f>
        <v>SYAEPULLOH</v>
      </c>
      <c r="C137" s="396">
        <f t="shared" ref="C137:F137" si="126">C110</f>
        <v>924768000</v>
      </c>
      <c r="D137" s="397">
        <f t="shared" si="126"/>
        <v>70</v>
      </c>
      <c r="E137" s="427">
        <f t="shared" si="126"/>
        <v>54</v>
      </c>
      <c r="F137" s="428">
        <f t="shared" si="126"/>
        <v>512775485.05140001</v>
      </c>
      <c r="G137" s="428">
        <f>G110</f>
        <v>-411992514.94859999</v>
      </c>
      <c r="H137" s="429">
        <f t="shared" si="121"/>
        <v>0.55449094805551236</v>
      </c>
      <c r="I137" s="228"/>
      <c r="J137" s="194"/>
      <c r="M137" s="400" t="str">
        <f>N102</f>
        <v>DEVANI</v>
      </c>
      <c r="N137" s="396">
        <f t="shared" ref="N137:Q137" si="127">N110</f>
        <v>948480000</v>
      </c>
      <c r="O137" s="397">
        <f t="shared" si="127"/>
        <v>77</v>
      </c>
      <c r="P137" s="427">
        <f t="shared" si="127"/>
        <v>63</v>
      </c>
      <c r="Q137" s="428">
        <f t="shared" si="127"/>
        <v>523711292.2586</v>
      </c>
      <c r="R137" s="428">
        <f>R110</f>
        <v>-424768707.7414</v>
      </c>
      <c r="S137" s="429">
        <f t="shared" si="123"/>
        <v>0.55215849807966433</v>
      </c>
      <c r="T137" s="194"/>
      <c r="U137" s="194"/>
    </row>
    <row r="138" spans="2:21" x14ac:dyDescent="0.4">
      <c r="B138" s="403" t="s">
        <v>77</v>
      </c>
      <c r="C138" s="404">
        <f t="shared" ref="C138:E138" si="128">SUM(C133:C137)</f>
        <v>4867200000</v>
      </c>
      <c r="D138" s="405">
        <f>SUM(D133:D137)</f>
        <v>404</v>
      </c>
      <c r="E138" s="406">
        <f t="shared" si="128"/>
        <v>339</v>
      </c>
      <c r="F138" s="430">
        <f>SUM(F133:F137)</f>
        <v>3420148790.6030998</v>
      </c>
      <c r="G138" s="404">
        <f>F138-C138</f>
        <v>-1447051209.3969002</v>
      </c>
      <c r="H138" s="407">
        <f t="shared" si="121"/>
        <v>0.70269329195494323</v>
      </c>
      <c r="I138" s="194"/>
      <c r="J138" s="194"/>
      <c r="M138" s="446" t="s">
        <v>77</v>
      </c>
      <c r="N138" s="447">
        <f t="shared" ref="N138" si="129">SUM(N133:N137)</f>
        <v>4992000000</v>
      </c>
      <c r="O138" s="448">
        <f>SUM(O133:O137)</f>
        <v>358</v>
      </c>
      <c r="P138" s="449">
        <f t="shared" ref="P138" si="130">SUM(P133:P137)</f>
        <v>302</v>
      </c>
      <c r="Q138" s="454">
        <f>SUM(Q133:Q137)</f>
        <v>3425412867.6519995</v>
      </c>
      <c r="R138" s="447">
        <f>Q138-N138</f>
        <v>-1566587132.3480005</v>
      </c>
      <c r="S138" s="450">
        <f t="shared" si="123"/>
        <v>0.68618046227003193</v>
      </c>
      <c r="T138" s="194"/>
      <c r="U138" s="194"/>
    </row>
    <row r="139" spans="2:21" x14ac:dyDescent="0.4">
      <c r="B139" s="408" t="str">
        <f>$B$12</f>
        <v>TARGET Q3</v>
      </c>
      <c r="C139" s="409">
        <f>SUM(C111,C100,C89,C78,C67)</f>
        <v>4380480000</v>
      </c>
      <c r="D139" s="431"/>
      <c r="E139" s="431"/>
      <c r="F139" s="432">
        <f>F138</f>
        <v>3420148790.6030998</v>
      </c>
      <c r="G139" s="409">
        <f>F139-C139</f>
        <v>-960331209.39690018</v>
      </c>
      <c r="H139" s="433">
        <f t="shared" si="121"/>
        <v>0.78077032439438143</v>
      </c>
      <c r="I139" s="194"/>
      <c r="J139" s="194"/>
      <c r="M139" s="408" t="str">
        <f>$B$12</f>
        <v>TARGET Q3</v>
      </c>
      <c r="N139" s="409">
        <f>SUM(N111,N100,N89,N78,N67)</f>
        <v>4492800000</v>
      </c>
      <c r="O139" s="431"/>
      <c r="P139" s="431"/>
      <c r="Q139" s="432">
        <f>Q138</f>
        <v>3425412867.6519995</v>
      </c>
      <c r="R139" s="409">
        <f>Q139-N139</f>
        <v>-1067387132.3480005</v>
      </c>
      <c r="S139" s="433">
        <f t="shared" si="123"/>
        <v>0.76242273585559106</v>
      </c>
      <c r="T139" s="194"/>
      <c r="U139" s="194"/>
    </row>
    <row r="140" spans="2:21" x14ac:dyDescent="0.4">
      <c r="B140" s="417"/>
      <c r="C140" s="434"/>
      <c r="D140" s="435"/>
      <c r="E140" s="435"/>
      <c r="F140" s="435"/>
      <c r="G140" s="435"/>
      <c r="H140" s="435"/>
      <c r="I140" s="197"/>
      <c r="J140" s="246"/>
      <c r="N140" s="434"/>
      <c r="O140" s="435"/>
      <c r="P140" s="435"/>
      <c r="Q140" s="435"/>
      <c r="R140" s="455"/>
      <c r="S140" s="456"/>
      <c r="T140" s="197"/>
      <c r="U140" s="246"/>
    </row>
    <row r="141" spans="2:21" ht="15" customHeight="1" x14ac:dyDescent="0.4">
      <c r="B141" s="417"/>
      <c r="C141" s="424"/>
      <c r="D141" s="413"/>
      <c r="E141" s="414"/>
      <c r="F141" s="415"/>
      <c r="G141" s="416"/>
      <c r="H141" s="413"/>
    </row>
    <row r="142" spans="2:21" ht="15" customHeight="1" x14ac:dyDescent="0.35">
      <c r="B142" s="642" t="s">
        <v>131</v>
      </c>
      <c r="C142" s="642"/>
      <c r="D142" s="642"/>
      <c r="E142" s="642"/>
      <c r="F142" s="642"/>
      <c r="G142" s="642"/>
      <c r="H142" s="642"/>
      <c r="I142"/>
      <c r="J142"/>
      <c r="M142" s="642" t="s">
        <v>132</v>
      </c>
      <c r="N142" s="642"/>
      <c r="O142" s="642"/>
      <c r="P142" s="642"/>
      <c r="Q142" s="642"/>
      <c r="R142" s="642"/>
      <c r="S142" s="642"/>
      <c r="T142" s="194"/>
      <c r="U142" s="194"/>
    </row>
    <row r="143" spans="2:21" ht="15" customHeight="1" x14ac:dyDescent="0.35">
      <c r="B143" s="642"/>
      <c r="C143" s="642"/>
      <c r="D143" s="642"/>
      <c r="E143" s="642"/>
      <c r="F143" s="642"/>
      <c r="G143" s="642"/>
      <c r="H143" s="642"/>
      <c r="I143"/>
      <c r="J143"/>
      <c r="M143" s="642"/>
      <c r="N143" s="642"/>
      <c r="O143" s="642"/>
      <c r="P143" s="642"/>
      <c r="Q143" s="642"/>
      <c r="R143" s="642"/>
      <c r="S143" s="642"/>
      <c r="T143" s="194"/>
      <c r="U143" s="194"/>
    </row>
    <row r="144" spans="2:21" ht="15" customHeight="1" x14ac:dyDescent="0.35">
      <c r="B144" s="645" t="s">
        <v>133</v>
      </c>
      <c r="C144" s="650" t="s">
        <v>94</v>
      </c>
      <c r="D144" s="645" t="s">
        <v>91</v>
      </c>
      <c r="E144" s="645" t="s">
        <v>62</v>
      </c>
      <c r="F144" s="652" t="str">
        <f>F131</f>
        <v>OMSET JUL
 (1-31)</v>
      </c>
      <c r="G144" s="650" t="s">
        <v>126</v>
      </c>
      <c r="H144" s="425" t="s">
        <v>128</v>
      </c>
      <c r="I144" s="194"/>
      <c r="J144" s="194"/>
      <c r="M144" s="638" t="s">
        <v>133</v>
      </c>
      <c r="N144" s="643" t="s">
        <v>94</v>
      </c>
      <c r="O144" s="638" t="s">
        <v>91</v>
      </c>
      <c r="P144" s="638" t="s">
        <v>62</v>
      </c>
      <c r="Q144" s="640" t="str">
        <f>Q131</f>
        <v>OMSET JUL
 (1-31)</v>
      </c>
      <c r="R144" s="643" t="s">
        <v>126</v>
      </c>
      <c r="S144" s="452" t="s">
        <v>128</v>
      </c>
      <c r="T144" s="194"/>
      <c r="U144" s="194"/>
    </row>
    <row r="145" spans="2:21" x14ac:dyDescent="0.35">
      <c r="B145" s="646"/>
      <c r="C145" s="651"/>
      <c r="D145" s="646"/>
      <c r="E145" s="646"/>
      <c r="F145" s="653"/>
      <c r="G145" s="651"/>
      <c r="H145" s="426">
        <f>100/DAY(EOMONTH($B$1,0))*DAY($B$1)/100</f>
        <v>1</v>
      </c>
      <c r="I145" s="194"/>
      <c r="J145" s="194"/>
      <c r="M145" s="639"/>
      <c r="N145" s="644"/>
      <c r="O145" s="639"/>
      <c r="P145" s="639"/>
      <c r="Q145" s="641"/>
      <c r="R145" s="644"/>
      <c r="S145" s="453">
        <f>100/DAY(EOMONTH($B$1,0))*DAY($B$1)/100</f>
        <v>1</v>
      </c>
      <c r="T145" s="194"/>
      <c r="U145" s="194"/>
    </row>
    <row r="146" spans="2:21" x14ac:dyDescent="0.4">
      <c r="B146" s="437" t="s">
        <v>134</v>
      </c>
      <c r="C146" s="396">
        <f>C125</f>
        <v>7612800000</v>
      </c>
      <c r="D146" s="397">
        <f>D125</f>
        <v>482</v>
      </c>
      <c r="E146" s="427">
        <f>E125</f>
        <v>422</v>
      </c>
      <c r="F146" s="428">
        <f>F125</f>
        <v>8021303518.4481993</v>
      </c>
      <c r="G146" s="396">
        <f>F146-C146</f>
        <v>408503518.44819927</v>
      </c>
      <c r="H146" s="438">
        <f>F146/C146</f>
        <v>1.0536600880685423</v>
      </c>
      <c r="I146" s="194"/>
      <c r="J146" s="194"/>
      <c r="M146" s="437" t="s">
        <v>134</v>
      </c>
      <c r="N146" s="396">
        <f>N125</f>
        <v>7488000000</v>
      </c>
      <c r="O146" s="397">
        <f>O125</f>
        <v>375</v>
      </c>
      <c r="P146" s="427">
        <f>P125</f>
        <v>331</v>
      </c>
      <c r="Q146" s="428">
        <f>Q125</f>
        <v>6012344747.9347992</v>
      </c>
      <c r="R146" s="396">
        <f>Q146-N146</f>
        <v>-1475655252.0652008</v>
      </c>
      <c r="S146" s="438">
        <f>Q146/N146</f>
        <v>0.80293065544001052</v>
      </c>
      <c r="T146" s="194"/>
      <c r="U146" s="194"/>
    </row>
    <row r="147" spans="2:21" x14ac:dyDescent="0.4">
      <c r="B147" s="437" t="s">
        <v>136</v>
      </c>
      <c r="C147" s="396">
        <f>C138</f>
        <v>4867200000</v>
      </c>
      <c r="D147" s="397">
        <f>D138</f>
        <v>404</v>
      </c>
      <c r="E147" s="427">
        <f>E138</f>
        <v>339</v>
      </c>
      <c r="F147" s="428">
        <f>F138</f>
        <v>3420148790.6030998</v>
      </c>
      <c r="G147" s="396">
        <f>F147-C147</f>
        <v>-1447051209.3969002</v>
      </c>
      <c r="H147" s="438">
        <f t="shared" ref="H147:H148" si="131">F147/C147</f>
        <v>0.70269329195494323</v>
      </c>
      <c r="I147" s="194"/>
      <c r="J147" s="194"/>
      <c r="M147" s="437" t="s">
        <v>136</v>
      </c>
      <c r="N147" s="396">
        <f>N138</f>
        <v>4992000000</v>
      </c>
      <c r="O147" s="397">
        <f>O138</f>
        <v>358</v>
      </c>
      <c r="P147" s="427">
        <f>P138</f>
        <v>302</v>
      </c>
      <c r="Q147" s="428">
        <f>Q138</f>
        <v>3425412867.6519995</v>
      </c>
      <c r="R147" s="396">
        <f t="shared" ref="R147:R148" si="132">Q147-N147</f>
        <v>-1566587132.3480005</v>
      </c>
      <c r="S147" s="438">
        <f t="shared" ref="S147:S148" si="133">Q147/N147</f>
        <v>0.68618046227003193</v>
      </c>
      <c r="T147" s="194"/>
      <c r="U147" s="194"/>
    </row>
    <row r="148" spans="2:21" x14ac:dyDescent="0.4">
      <c r="B148" s="403" t="s">
        <v>77</v>
      </c>
      <c r="C148" s="404">
        <f>SUM(C146:C147)</f>
        <v>12480000000</v>
      </c>
      <c r="D148" s="405">
        <f t="shared" ref="D148:F148" si="134">SUM(D146:D147)</f>
        <v>886</v>
      </c>
      <c r="E148" s="406">
        <f t="shared" si="134"/>
        <v>761</v>
      </c>
      <c r="F148" s="430">
        <f t="shared" si="134"/>
        <v>11441452309.0513</v>
      </c>
      <c r="G148" s="404">
        <f t="shared" ref="G148" si="135">F148-C148</f>
        <v>-1038547690.9487</v>
      </c>
      <c r="H148" s="407">
        <f t="shared" si="131"/>
        <v>0.91678303758423874</v>
      </c>
      <c r="I148" s="194"/>
      <c r="J148" s="194"/>
      <c r="M148" s="446" t="s">
        <v>77</v>
      </c>
      <c r="N148" s="447">
        <f>SUM(N146:N147)</f>
        <v>12480000000</v>
      </c>
      <c r="O148" s="448">
        <f t="shared" ref="O148:Q148" si="136">SUM(O146:O147)</f>
        <v>733</v>
      </c>
      <c r="P148" s="449">
        <f t="shared" si="136"/>
        <v>633</v>
      </c>
      <c r="Q148" s="454">
        <f t="shared" si="136"/>
        <v>9437757615.5867996</v>
      </c>
      <c r="R148" s="447">
        <f t="shared" si="132"/>
        <v>-3042242384.4132004</v>
      </c>
      <c r="S148" s="450">
        <f t="shared" si="133"/>
        <v>0.75623057817201922</v>
      </c>
      <c r="T148" s="194"/>
      <c r="U148" s="194"/>
    </row>
  </sheetData>
  <mergeCells count="82">
    <mergeCell ref="A3:A11"/>
    <mergeCell ref="L3:L11"/>
    <mergeCell ref="A25:A33"/>
    <mergeCell ref="L25:L33"/>
    <mergeCell ref="A14:A22"/>
    <mergeCell ref="L14:L22"/>
    <mergeCell ref="D3:G3"/>
    <mergeCell ref="D14:G14"/>
    <mergeCell ref="D25:G25"/>
    <mergeCell ref="A69:A77"/>
    <mergeCell ref="L69:L77"/>
    <mergeCell ref="A36:A44"/>
    <mergeCell ref="L47:L55"/>
    <mergeCell ref="A58:A66"/>
    <mergeCell ref="A47:A55"/>
    <mergeCell ref="L36:L44"/>
    <mergeCell ref="L58:L66"/>
    <mergeCell ref="D36:G36"/>
    <mergeCell ref="D47:G47"/>
    <mergeCell ref="D58:G58"/>
    <mergeCell ref="D69:G69"/>
    <mergeCell ref="B116:H117"/>
    <mergeCell ref="A102:A110"/>
    <mergeCell ref="A91:A99"/>
    <mergeCell ref="A80:A88"/>
    <mergeCell ref="L91:L99"/>
    <mergeCell ref="D91:G91"/>
    <mergeCell ref="D102:G102"/>
    <mergeCell ref="L102:L110"/>
    <mergeCell ref="L80:L88"/>
    <mergeCell ref="D80:G80"/>
    <mergeCell ref="R118:R119"/>
    <mergeCell ref="M118:M119"/>
    <mergeCell ref="N118:N119"/>
    <mergeCell ref="O118:O119"/>
    <mergeCell ref="P118:P119"/>
    <mergeCell ref="Q118:Q119"/>
    <mergeCell ref="C131:C132"/>
    <mergeCell ref="B131:B132"/>
    <mergeCell ref="B129:H130"/>
    <mergeCell ref="C118:C119"/>
    <mergeCell ref="D118:D119"/>
    <mergeCell ref="E118:E119"/>
    <mergeCell ref="F118:F119"/>
    <mergeCell ref="G118:G119"/>
    <mergeCell ref="G131:G132"/>
    <mergeCell ref="F131:F132"/>
    <mergeCell ref="E131:E132"/>
    <mergeCell ref="D131:D132"/>
    <mergeCell ref="B118:B119"/>
    <mergeCell ref="F144:F145"/>
    <mergeCell ref="E144:E145"/>
    <mergeCell ref="D144:D145"/>
    <mergeCell ref="C144:C145"/>
    <mergeCell ref="R144:R145"/>
    <mergeCell ref="Q144:Q145"/>
    <mergeCell ref="P144:P145"/>
    <mergeCell ref="O144:O145"/>
    <mergeCell ref="B144:B145"/>
    <mergeCell ref="B142:H143"/>
    <mergeCell ref="O3:R3"/>
    <mergeCell ref="O14:R14"/>
    <mergeCell ref="O25:R25"/>
    <mergeCell ref="O36:R36"/>
    <mergeCell ref="O47:R47"/>
    <mergeCell ref="O58:R58"/>
    <mergeCell ref="O69:R69"/>
    <mergeCell ref="O80:R80"/>
    <mergeCell ref="O91:R91"/>
    <mergeCell ref="O102:R102"/>
    <mergeCell ref="M116:S117"/>
    <mergeCell ref="N144:N145"/>
    <mergeCell ref="M144:M145"/>
    <mergeCell ref="G144:G145"/>
    <mergeCell ref="M129:S130"/>
    <mergeCell ref="O131:O132"/>
    <mergeCell ref="P131:P132"/>
    <mergeCell ref="Q131:Q132"/>
    <mergeCell ref="M142:S143"/>
    <mergeCell ref="R131:R132"/>
    <mergeCell ref="N131:N132"/>
    <mergeCell ref="M131:M132"/>
  </mergeCells>
  <phoneticPr fontId="9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811CA-F5ED-4E41-8E80-703071B954BF}">
  <sheetPr>
    <tabColor rgb="FFFFFF00"/>
  </sheetPr>
  <dimension ref="A1:AC148"/>
  <sheetViews>
    <sheetView showGridLines="0" topLeftCell="G115" zoomScale="60" zoomScaleNormal="60" workbookViewId="0">
      <selection activeCell="M116" sqref="M116:S148"/>
    </sheetView>
  </sheetViews>
  <sheetFormatPr defaultColWidth="8.7265625" defaultRowHeight="16" x14ac:dyDescent="0.4"/>
  <cols>
    <col min="1" max="1" width="8.7265625" style="194"/>
    <col min="2" max="2" width="17" style="194" customWidth="1"/>
    <col min="3" max="3" width="19.453125" style="186" customWidth="1"/>
    <col min="4" max="4" width="8.1796875" style="187" customWidth="1"/>
    <col min="5" max="5" width="8.1796875" style="188" customWidth="1"/>
    <col min="6" max="6" width="20.6328125" style="189" customWidth="1"/>
    <col min="7" max="7" width="19.453125" style="191" customWidth="1"/>
    <col min="8" max="8" width="16.1796875" style="187" customWidth="1"/>
    <col min="9" max="9" width="16.453125" style="192" customWidth="1"/>
    <col min="10" max="10" width="18.7265625" style="193" bestFit="1" customWidth="1"/>
    <col min="11" max="11" width="18.54296875" style="194" customWidth="1"/>
    <col min="12" max="12" width="11.81640625" style="194" bestFit="1" customWidth="1"/>
    <col min="13" max="13" width="17" style="417" customWidth="1"/>
    <col min="14" max="14" width="19.453125" style="413" customWidth="1"/>
    <col min="15" max="15" width="8.1796875" style="439" customWidth="1"/>
    <col min="16" max="16" width="8.1796875" style="413" customWidth="1"/>
    <col min="17" max="17" width="20.6328125" style="415" customWidth="1"/>
    <col min="18" max="18" width="19.453125" style="424" customWidth="1"/>
    <col min="19" max="19" width="16.1796875" style="413" customWidth="1"/>
    <col min="20" max="20" width="15.7265625" style="186" customWidth="1"/>
    <col min="21" max="21" width="18.54296875" style="196" customWidth="1"/>
    <col min="22" max="22" width="14" style="194" bestFit="1" customWidth="1"/>
    <col min="23" max="23" width="12.54296875" style="194" customWidth="1"/>
    <col min="24" max="24" width="13" style="194" bestFit="1" customWidth="1"/>
    <col min="25" max="27" width="9.1796875" style="194" hidden="1" customWidth="1"/>
    <col min="28" max="28" width="7.7265625" style="194" hidden="1" customWidth="1"/>
    <col min="29" max="29" width="22.1796875" style="194" hidden="1" customWidth="1"/>
    <col min="30" max="30" width="24.1796875" style="194" customWidth="1"/>
    <col min="31" max="31" width="16" style="194" customWidth="1"/>
    <col min="32" max="32" width="12.54296875" style="194" bestFit="1" customWidth="1"/>
    <col min="33" max="34" width="18.26953125" style="194" customWidth="1"/>
    <col min="35" max="35" width="12.54296875" style="194" bestFit="1" customWidth="1"/>
    <col min="36" max="36" width="13.81640625" style="194" bestFit="1" customWidth="1"/>
    <col min="37" max="37" width="14.54296875" style="194" customWidth="1"/>
    <col min="38" max="16384" width="8.7265625" style="194"/>
  </cols>
  <sheetData>
    <row r="1" spans="1:22" ht="16.5" thickBot="1" x14ac:dyDescent="0.45">
      <c r="A1" s="184" t="s">
        <v>88</v>
      </c>
      <c r="B1" s="185">
        <v>46265</v>
      </c>
    </row>
    <row r="2" spans="1:22" ht="16.5" thickBot="1" x14ac:dyDescent="0.45"/>
    <row r="3" spans="1:22" ht="19.5" customHeight="1" x14ac:dyDescent="0.35">
      <c r="A3" s="627">
        <v>1</v>
      </c>
      <c r="B3" s="390" t="s">
        <v>57</v>
      </c>
      <c r="C3" s="391" t="s">
        <v>90</v>
      </c>
      <c r="D3" s="657" t="s">
        <v>175</v>
      </c>
      <c r="E3" s="658"/>
      <c r="F3" s="658"/>
      <c r="G3" s="659"/>
      <c r="H3" s="390" t="s">
        <v>66</v>
      </c>
      <c r="L3" s="613">
        <v>1</v>
      </c>
      <c r="M3" s="440" t="s">
        <v>57</v>
      </c>
      <c r="N3" s="441" t="s">
        <v>167</v>
      </c>
      <c r="O3" s="647" t="s">
        <v>183</v>
      </c>
      <c r="P3" s="648"/>
      <c r="Q3" s="648"/>
      <c r="R3" s="649"/>
      <c r="S3" s="440" t="s">
        <v>66</v>
      </c>
    </row>
    <row r="4" spans="1:22" s="199" customFormat="1" ht="36" customHeight="1" x14ac:dyDescent="0.35">
      <c r="A4" s="628"/>
      <c r="B4" s="390" t="s">
        <v>93</v>
      </c>
      <c r="C4" s="391" t="s">
        <v>94</v>
      </c>
      <c r="D4" s="392" t="s">
        <v>91</v>
      </c>
      <c r="E4" s="392" t="s">
        <v>62</v>
      </c>
      <c r="F4" s="393" t="str">
        <f>"OMSET "&amp;UPPER(TEXT($B$1,"MMM"))&amp;CHAR(10)&amp;" (1-"&amp;DAY($B$1)&amp;")"</f>
        <v>OMSET AGU
 (1-31)</v>
      </c>
      <c r="G4" s="391" t="s">
        <v>65</v>
      </c>
      <c r="H4" s="394">
        <f>100/DAY(EOMONTH($B$1,0))*DAY($B$1)/100</f>
        <v>1</v>
      </c>
      <c r="I4" s="197"/>
      <c r="J4" s="198"/>
      <c r="L4" s="614"/>
      <c r="M4" s="440" t="s">
        <v>93</v>
      </c>
      <c r="N4" s="441" t="s">
        <v>94</v>
      </c>
      <c r="O4" s="442" t="s">
        <v>91</v>
      </c>
      <c r="P4" s="442" t="s">
        <v>62</v>
      </c>
      <c r="Q4" s="443" t="str">
        <f>F4</f>
        <v>OMSET AGU
 (1-31)</v>
      </c>
      <c r="R4" s="444" t="s">
        <v>65</v>
      </c>
      <c r="S4" s="445">
        <f>H4</f>
        <v>1</v>
      </c>
      <c r="T4" s="202"/>
      <c r="U4" s="203"/>
    </row>
    <row r="5" spans="1:22" x14ac:dyDescent="0.4">
      <c r="A5" s="628"/>
      <c r="B5" s="395" t="s">
        <v>96</v>
      </c>
      <c r="C5" s="396">
        <v>184991040</v>
      </c>
      <c r="D5" s="397">
        <v>17</v>
      </c>
      <c r="E5" s="398">
        <v>12</v>
      </c>
      <c r="F5" s="399">
        <v>66237474.324600026</v>
      </c>
      <c r="G5" s="400">
        <f>F5-C5</f>
        <v>-118753565.67539997</v>
      </c>
      <c r="H5" s="401">
        <f>F5/C5</f>
        <v>0.35805774336205703</v>
      </c>
      <c r="I5" s="192">
        <f>IF(H5&gt;120%,F5* 0.55%, IF(H5&gt;100%,F5* 0.45%, IF(H5&gt;80%,F5* 0.35%, IF(H5&gt;60%,F5* 0.2%, 0))))</f>
        <v>0</v>
      </c>
      <c r="L5" s="614"/>
      <c r="M5" s="395" t="s">
        <v>96</v>
      </c>
      <c r="N5" s="396">
        <v>227448000</v>
      </c>
      <c r="O5" s="397">
        <v>12</v>
      </c>
      <c r="P5" s="398">
        <v>9</v>
      </c>
      <c r="Q5" s="399">
        <v>124734766.66589999</v>
      </c>
      <c r="R5" s="400">
        <f>Q5-N5</f>
        <v>-102713233.33410001</v>
      </c>
      <c r="S5" s="401">
        <f>Q5/N5</f>
        <v>0.54841003950749179</v>
      </c>
      <c r="T5" s="192">
        <f>IF(S5&gt;120%,Q5* 0.55%, IF(S5&gt;100%,Q5* 0.45%, IF(S5&gt;80%,Q5* 0.35%, IF(S5&gt;60%,Q5* 0.2%, 0))))</f>
        <v>0</v>
      </c>
    </row>
    <row r="6" spans="1:22" x14ac:dyDescent="0.4">
      <c r="A6" s="628"/>
      <c r="B6" s="395" t="s">
        <v>97</v>
      </c>
      <c r="C6" s="402">
        <v>308318400</v>
      </c>
      <c r="D6" s="397">
        <v>18</v>
      </c>
      <c r="E6" s="398">
        <v>10</v>
      </c>
      <c r="F6" s="399">
        <v>200623403.63</v>
      </c>
      <c r="G6" s="400">
        <f t="shared" ref="G6:G12" si="0">F6-C6</f>
        <v>-107694996.37</v>
      </c>
      <c r="H6" s="401">
        <f t="shared" ref="H6:H11" si="1">F6/C6</f>
        <v>0.65070201334075417</v>
      </c>
      <c r="I6" s="192">
        <f t="shared" ref="I6:I10" si="2">IF(H6&gt;120%,F6* 0.55%, IF(H6&gt;100%,F6* 0.45%, IF(H6&gt;80%,F6* 0.35%, IF(H6&gt;60%,F6* 0.2%, 0))))</f>
        <v>401246.80725999997</v>
      </c>
      <c r="L6" s="614"/>
      <c r="M6" s="395" t="s">
        <v>97</v>
      </c>
      <c r="N6" s="402">
        <v>176904000.00000003</v>
      </c>
      <c r="O6" s="397">
        <v>10</v>
      </c>
      <c r="P6" s="398">
        <v>6</v>
      </c>
      <c r="Q6" s="399">
        <v>41668912.838100001</v>
      </c>
      <c r="R6" s="400">
        <f t="shared" ref="R6:R12" si="3">Q6-N6</f>
        <v>-135235087.16190004</v>
      </c>
      <c r="S6" s="401">
        <f t="shared" ref="S6:S11" si="4">Q6/N6</f>
        <v>0.23554534006071087</v>
      </c>
      <c r="T6" s="192">
        <f t="shared" ref="T6:T10" si="5">IF(S6&gt;120%,Q6* 0.55%, IF(S6&gt;100%,Q6* 0.45%, IF(S6&gt;80%,Q6* 0.35%, IF(S6&gt;60%,Q6* 0.2%, 0))))</f>
        <v>0</v>
      </c>
    </row>
    <row r="7" spans="1:22" x14ac:dyDescent="0.4">
      <c r="A7" s="628"/>
      <c r="B7" s="395" t="s">
        <v>98</v>
      </c>
      <c r="C7" s="402">
        <v>123327360</v>
      </c>
      <c r="D7" s="397">
        <v>14</v>
      </c>
      <c r="E7" s="398">
        <v>12</v>
      </c>
      <c r="F7" s="399">
        <v>89539445.089799985</v>
      </c>
      <c r="G7" s="400">
        <f t="shared" si="0"/>
        <v>-33787914.910200015</v>
      </c>
      <c r="H7" s="401">
        <f t="shared" si="1"/>
        <v>0.72603066415919371</v>
      </c>
      <c r="I7" s="192">
        <f t="shared" si="2"/>
        <v>179078.89017959998</v>
      </c>
      <c r="L7" s="614"/>
      <c r="M7" s="395" t="s">
        <v>98</v>
      </c>
      <c r="N7" s="402">
        <v>202176000</v>
      </c>
      <c r="O7" s="397">
        <v>16</v>
      </c>
      <c r="P7" s="398">
        <v>10</v>
      </c>
      <c r="Q7" s="399">
        <v>68169711.710900024</v>
      </c>
      <c r="R7" s="400">
        <f t="shared" si="3"/>
        <v>-134006288.28909998</v>
      </c>
      <c r="S7" s="401">
        <f t="shared" si="4"/>
        <v>0.33718003972232125</v>
      </c>
      <c r="T7" s="192">
        <f t="shared" si="5"/>
        <v>0</v>
      </c>
    </row>
    <row r="8" spans="1:22" x14ac:dyDescent="0.4">
      <c r="A8" s="628"/>
      <c r="B8" s="395" t="s">
        <v>99</v>
      </c>
      <c r="C8" s="402">
        <v>169575120</v>
      </c>
      <c r="D8" s="397">
        <v>13</v>
      </c>
      <c r="E8" s="398">
        <v>10</v>
      </c>
      <c r="F8" s="399">
        <v>123694067.98209994</v>
      </c>
      <c r="G8" s="400">
        <f t="shared" si="0"/>
        <v>-45881052.017900065</v>
      </c>
      <c r="H8" s="401">
        <f t="shared" si="1"/>
        <v>0.72943523779962494</v>
      </c>
      <c r="I8" s="192">
        <f t="shared" si="2"/>
        <v>247388.13596419987</v>
      </c>
      <c r="L8" s="614"/>
      <c r="M8" s="395" t="s">
        <v>99</v>
      </c>
      <c r="N8" s="402">
        <v>391716000</v>
      </c>
      <c r="O8" s="397">
        <v>27</v>
      </c>
      <c r="P8" s="398">
        <v>23</v>
      </c>
      <c r="Q8" s="399">
        <v>445901130.96320015</v>
      </c>
      <c r="R8" s="400">
        <f t="shared" si="3"/>
        <v>54185130.963200152</v>
      </c>
      <c r="S8" s="401">
        <f t="shared" si="4"/>
        <v>1.1383275918349012</v>
      </c>
      <c r="T8" s="192">
        <f t="shared" si="5"/>
        <v>2006555.0893344008</v>
      </c>
    </row>
    <row r="9" spans="1:22" x14ac:dyDescent="0.4">
      <c r="A9" s="628"/>
      <c r="B9" s="395" t="s">
        <v>100</v>
      </c>
      <c r="C9" s="402">
        <v>231238800</v>
      </c>
      <c r="D9" s="397">
        <v>10</v>
      </c>
      <c r="E9" s="398">
        <v>10</v>
      </c>
      <c r="F9" s="399">
        <v>119284513.97250006</v>
      </c>
      <c r="G9" s="400">
        <f t="shared" si="0"/>
        <v>-111954286.02749994</v>
      </c>
      <c r="H9" s="401">
        <f t="shared" si="1"/>
        <v>0.51584990915235707</v>
      </c>
      <c r="I9" s="192">
        <f t="shared" si="2"/>
        <v>0</v>
      </c>
      <c r="L9" s="614"/>
      <c r="M9" s="395" t="s">
        <v>100</v>
      </c>
      <c r="N9" s="402">
        <v>138996000</v>
      </c>
      <c r="O9" s="397">
        <v>16</v>
      </c>
      <c r="P9" s="398">
        <v>11</v>
      </c>
      <c r="Q9" s="399">
        <v>55962364.864499979</v>
      </c>
      <c r="R9" s="400">
        <f t="shared" si="3"/>
        <v>-83033635.135500014</v>
      </c>
      <c r="S9" s="401">
        <f t="shared" si="4"/>
        <v>0.40261852761590244</v>
      </c>
      <c r="T9" s="192">
        <f t="shared" si="5"/>
        <v>0</v>
      </c>
    </row>
    <row r="10" spans="1:22" x14ac:dyDescent="0.4">
      <c r="A10" s="628"/>
      <c r="B10" s="395" t="s">
        <v>101</v>
      </c>
      <c r="C10" s="402">
        <v>524141280.00000006</v>
      </c>
      <c r="D10" s="397">
        <v>23</v>
      </c>
      <c r="E10" s="398">
        <v>22</v>
      </c>
      <c r="F10" s="399">
        <v>427866143.34750044</v>
      </c>
      <c r="G10" s="400">
        <f t="shared" si="0"/>
        <v>-96275136.652499616</v>
      </c>
      <c r="H10" s="401">
        <f t="shared" si="1"/>
        <v>0.81631834712102891</v>
      </c>
      <c r="I10" s="192">
        <f t="shared" si="2"/>
        <v>1497531.5017162515</v>
      </c>
      <c r="L10" s="614"/>
      <c r="M10" s="395" t="s">
        <v>101</v>
      </c>
      <c r="N10" s="402">
        <v>126360000</v>
      </c>
      <c r="O10" s="397">
        <v>7</v>
      </c>
      <c r="P10" s="398">
        <v>6</v>
      </c>
      <c r="Q10" s="399">
        <v>16492297.297300003</v>
      </c>
      <c r="R10" s="400">
        <f t="shared" si="3"/>
        <v>-109867702.70269999</v>
      </c>
      <c r="S10" s="401">
        <f t="shared" si="4"/>
        <v>0.13051833885169359</v>
      </c>
      <c r="T10" s="192">
        <f t="shared" si="5"/>
        <v>0</v>
      </c>
    </row>
    <row r="11" spans="1:22" s="199" customFormat="1" ht="14.5" customHeight="1" thickBot="1" x14ac:dyDescent="0.45">
      <c r="A11" s="628"/>
      <c r="B11" s="403" t="s">
        <v>77</v>
      </c>
      <c r="C11" s="404">
        <f t="shared" ref="C11:E11" si="6">SUM(C5:C10)</f>
        <v>1541592000</v>
      </c>
      <c r="D11" s="405">
        <f>SUM(D5:D10)</f>
        <v>95</v>
      </c>
      <c r="E11" s="406">
        <f t="shared" si="6"/>
        <v>76</v>
      </c>
      <c r="F11" s="404">
        <f>SUM(F5:F10)</f>
        <v>1027245048.3465005</v>
      </c>
      <c r="G11" s="404">
        <f t="shared" si="0"/>
        <v>-514346951.65349948</v>
      </c>
      <c r="H11" s="407">
        <f t="shared" si="1"/>
        <v>0.66635338555629542</v>
      </c>
      <c r="I11" s="197">
        <f>SUM(I5:I10)</f>
        <v>2325245.3351200512</v>
      </c>
      <c r="J11" s="198"/>
      <c r="L11" s="615"/>
      <c r="M11" s="446" t="s">
        <v>77</v>
      </c>
      <c r="N11" s="447">
        <f t="shared" ref="N11:P11" si="7">SUM(N5:N10)</f>
        <v>1263600000</v>
      </c>
      <c r="O11" s="448">
        <f>SUM(O5:O10)</f>
        <v>88</v>
      </c>
      <c r="P11" s="449">
        <f t="shared" si="7"/>
        <v>65</v>
      </c>
      <c r="Q11" s="447">
        <f>SUM(Q5:Q10)</f>
        <v>752929184.33990002</v>
      </c>
      <c r="R11" s="447">
        <f t="shared" si="3"/>
        <v>-510670815.66009998</v>
      </c>
      <c r="S11" s="450">
        <f t="shared" si="4"/>
        <v>0.59586038646715733</v>
      </c>
      <c r="T11" s="197">
        <f>SUM(T5:T10)</f>
        <v>2006555.0893344008</v>
      </c>
      <c r="U11" s="203"/>
      <c r="V11" s="194"/>
    </row>
    <row r="12" spans="1:22" x14ac:dyDescent="0.4">
      <c r="B12" s="408" t="s">
        <v>84</v>
      </c>
      <c r="C12" s="409">
        <v>1387432800</v>
      </c>
      <c r="D12" s="431"/>
      <c r="E12" s="431"/>
      <c r="F12" s="409">
        <f>F11</f>
        <v>1027245048.3465005</v>
      </c>
      <c r="G12" s="409">
        <f t="shared" si="0"/>
        <v>-360187751.65349948</v>
      </c>
      <c r="H12" s="410">
        <f>F12/C12</f>
        <v>0.740392650618106</v>
      </c>
      <c r="I12" s="192">
        <f>IF(H12&gt;=1,3500000,IF(H12&gt;=0.9,2500000,0))</f>
        <v>0</v>
      </c>
      <c r="M12" s="408" t="str">
        <f>$B$12</f>
        <v>TARGET Q3</v>
      </c>
      <c r="N12" s="409">
        <v>1137240000</v>
      </c>
      <c r="O12" s="431"/>
      <c r="P12" s="431"/>
      <c r="Q12" s="409">
        <f>Q11</f>
        <v>752929184.33990002</v>
      </c>
      <c r="R12" s="409">
        <f t="shared" si="3"/>
        <v>-384310815.66009998</v>
      </c>
      <c r="S12" s="410">
        <f>Q12/N12</f>
        <v>0.66206709607461922</v>
      </c>
      <c r="T12" s="192">
        <f>IF(S12&gt;=1,3500000,IF(S12&gt;=0.9,2500000,0))</f>
        <v>0</v>
      </c>
    </row>
    <row r="13" spans="1:22" ht="16.5" thickBot="1" x14ac:dyDescent="0.45">
      <c r="B13" s="411">
        <v>0.9</v>
      </c>
      <c r="C13" s="412">
        <f>C12/C11</f>
        <v>0.9</v>
      </c>
      <c r="D13" s="413"/>
      <c r="E13" s="414"/>
      <c r="F13" s="415"/>
      <c r="G13" s="416"/>
      <c r="H13" s="413"/>
      <c r="M13" s="417">
        <f>90%</f>
        <v>0.9</v>
      </c>
      <c r="N13" s="412">
        <f>N12/N11</f>
        <v>0.9</v>
      </c>
    </row>
    <row r="14" spans="1:22" ht="19.5" customHeight="1" x14ac:dyDescent="0.35">
      <c r="A14" s="623">
        <v>2</v>
      </c>
      <c r="B14" s="390" t="s">
        <v>57</v>
      </c>
      <c r="C14" s="391" t="s">
        <v>188</v>
      </c>
      <c r="D14" s="657" t="s">
        <v>103</v>
      </c>
      <c r="E14" s="658"/>
      <c r="F14" s="658"/>
      <c r="G14" s="659"/>
      <c r="H14" s="390" t="s">
        <v>66</v>
      </c>
      <c r="L14" s="607">
        <v>2</v>
      </c>
      <c r="M14" s="440" t="s">
        <v>57</v>
      </c>
      <c r="N14" s="441" t="s">
        <v>195</v>
      </c>
      <c r="O14" s="647" t="s">
        <v>103</v>
      </c>
      <c r="P14" s="648"/>
      <c r="Q14" s="648"/>
      <c r="R14" s="649"/>
      <c r="S14" s="440" t="s">
        <v>66</v>
      </c>
    </row>
    <row r="15" spans="1:22" ht="36" customHeight="1" x14ac:dyDescent="0.35">
      <c r="A15" s="623"/>
      <c r="B15" s="390" t="s">
        <v>93</v>
      </c>
      <c r="C15" s="391" t="s">
        <v>94</v>
      </c>
      <c r="D15" s="392" t="s">
        <v>91</v>
      </c>
      <c r="E15" s="392" t="s">
        <v>62</v>
      </c>
      <c r="F15" s="393" t="str">
        <f>"OMSET "&amp;UPPER(TEXT($B$1,"MMM"))&amp;CHAR(10)&amp;" (1-"&amp;DAY($B$1)&amp;")"</f>
        <v>OMSET AGU
 (1-31)</v>
      </c>
      <c r="G15" s="391" t="s">
        <v>65</v>
      </c>
      <c r="H15" s="394">
        <f>100/DAY(EOMONTH($B$1,0))*DAY($B$1)/100</f>
        <v>1</v>
      </c>
      <c r="I15" s="211"/>
      <c r="J15" s="212"/>
      <c r="L15" s="608"/>
      <c r="M15" s="440" t="s">
        <v>93</v>
      </c>
      <c r="N15" s="441" t="s">
        <v>94</v>
      </c>
      <c r="O15" s="442" t="s">
        <v>91</v>
      </c>
      <c r="P15" s="442" t="s">
        <v>62</v>
      </c>
      <c r="Q15" s="443" t="str">
        <f>F15</f>
        <v>OMSET AGU
 (1-31)</v>
      </c>
      <c r="R15" s="444" t="s">
        <v>65</v>
      </c>
      <c r="S15" s="445">
        <f>H15</f>
        <v>1</v>
      </c>
      <c r="T15" s="202"/>
    </row>
    <row r="16" spans="1:22" x14ac:dyDescent="0.4">
      <c r="A16" s="623"/>
      <c r="B16" s="395" t="s">
        <v>96</v>
      </c>
      <c r="C16" s="396">
        <v>445348800</v>
      </c>
      <c r="D16" s="397">
        <v>18</v>
      </c>
      <c r="E16" s="398">
        <v>16</v>
      </c>
      <c r="F16" s="399">
        <v>374839716.02970004</v>
      </c>
      <c r="G16" s="400">
        <f>F16-C16</f>
        <v>-70509083.970299959</v>
      </c>
      <c r="H16" s="401">
        <f>F16/C16</f>
        <v>0.84167671728249871</v>
      </c>
      <c r="I16" s="192">
        <f>IF(H16&gt;120%,F16* 0.55%, IF(H16&gt;100%,F16* 0.45%, IF(H16&gt;80%,F16* 0.35%, IF(H16&gt;60%,F16* 0.2%, 0))))</f>
        <v>1311939.0061039501</v>
      </c>
      <c r="L16" s="608"/>
      <c r="M16" s="395" t="s">
        <v>96</v>
      </c>
      <c r="N16" s="396">
        <v>256089600</v>
      </c>
      <c r="O16" s="397">
        <v>12</v>
      </c>
      <c r="P16" s="398">
        <v>10</v>
      </c>
      <c r="Q16" s="399">
        <v>75734092.323100001</v>
      </c>
      <c r="R16" s="400">
        <f>Q16-N16</f>
        <v>-180355507.6769</v>
      </c>
      <c r="S16" s="401">
        <f>Q16/N16</f>
        <v>0.29573279166002836</v>
      </c>
      <c r="T16" s="192">
        <f>IF(S16&gt;120%,Q16* 0.55%, IF(S16&gt;100%,Q16* 0.45%, IF(S16&gt;80%,Q16* 0.35%, IF(S16&gt;60%,Q16* 0.2%, 0))))</f>
        <v>0</v>
      </c>
    </row>
    <row r="17" spans="1:20" x14ac:dyDescent="0.4">
      <c r="A17" s="623"/>
      <c r="B17" s="395" t="s">
        <v>97</v>
      </c>
      <c r="C17" s="402">
        <v>291189600</v>
      </c>
      <c r="D17" s="397">
        <v>18</v>
      </c>
      <c r="E17" s="398">
        <v>12</v>
      </c>
      <c r="F17" s="399">
        <v>109973370.62169996</v>
      </c>
      <c r="G17" s="400">
        <f t="shared" ref="G17:G23" si="8">F17-C17</f>
        <v>-181216229.37830004</v>
      </c>
      <c r="H17" s="401">
        <f t="shared" ref="H17:H22" si="9">F17/C17</f>
        <v>0.37766929389545489</v>
      </c>
      <c r="I17" s="192">
        <f t="shared" ref="I17:I21" si="10">IF(H17&gt;120%,F17* 0.55%, IF(H17&gt;100%,F17* 0.45%, IF(H17&gt;80%,F17* 0.35%, IF(H17&gt;60%,F17* 0.2%, 0))))</f>
        <v>0</v>
      </c>
      <c r="L17" s="608"/>
      <c r="M17" s="395" t="s">
        <v>97</v>
      </c>
      <c r="N17" s="402">
        <v>224078400.00000003</v>
      </c>
      <c r="O17" s="397">
        <v>14</v>
      </c>
      <c r="P17" s="398">
        <v>10</v>
      </c>
      <c r="Q17" s="399">
        <v>69075683.783500001</v>
      </c>
      <c r="R17" s="400">
        <f t="shared" ref="R17:R23" si="11">Q17-N17</f>
        <v>-155002716.21650004</v>
      </c>
      <c r="S17" s="401">
        <f t="shared" ref="S17:S22" si="12">Q17/N17</f>
        <v>0.30826569532583237</v>
      </c>
      <c r="T17" s="192">
        <f t="shared" ref="T17:T21" si="13">IF(S17&gt;120%,Q17* 0.55%, IF(S17&gt;100%,Q17* 0.45%, IF(S17&gt;80%,Q17* 0.35%, IF(S17&gt;60%,Q17* 0.2%, 0))))</f>
        <v>0</v>
      </c>
    </row>
    <row r="18" spans="1:20" x14ac:dyDescent="0.4">
      <c r="A18" s="623"/>
      <c r="B18" s="395" t="s">
        <v>98</v>
      </c>
      <c r="C18" s="402">
        <v>256932000</v>
      </c>
      <c r="D18" s="397">
        <v>22</v>
      </c>
      <c r="E18" s="398">
        <v>15</v>
      </c>
      <c r="F18" s="399">
        <v>93431230.45389998</v>
      </c>
      <c r="G18" s="400">
        <f t="shared" si="8"/>
        <v>-163500769.54610002</v>
      </c>
      <c r="H18" s="401">
        <f t="shared" si="9"/>
        <v>0.36364186031284534</v>
      </c>
      <c r="I18" s="192">
        <f t="shared" si="10"/>
        <v>0</v>
      </c>
      <c r="J18" s="213"/>
      <c r="L18" s="608"/>
      <c r="M18" s="395" t="s">
        <v>98</v>
      </c>
      <c r="N18" s="402">
        <v>368128800</v>
      </c>
      <c r="O18" s="397">
        <v>18</v>
      </c>
      <c r="P18" s="398">
        <v>9</v>
      </c>
      <c r="Q18" s="399">
        <v>77469914.413899988</v>
      </c>
      <c r="R18" s="400">
        <f t="shared" si="11"/>
        <v>-290658885.58609998</v>
      </c>
      <c r="S18" s="401">
        <f t="shared" si="12"/>
        <v>0.21044241693097629</v>
      </c>
      <c r="T18" s="192">
        <f t="shared" si="13"/>
        <v>0</v>
      </c>
    </row>
    <row r="19" spans="1:20" x14ac:dyDescent="0.4">
      <c r="A19" s="623"/>
      <c r="B19" s="395" t="s">
        <v>99</v>
      </c>
      <c r="C19" s="402">
        <v>274060800</v>
      </c>
      <c r="D19" s="397">
        <v>9</v>
      </c>
      <c r="E19" s="398">
        <v>8</v>
      </c>
      <c r="F19" s="399">
        <v>123242374.4249</v>
      </c>
      <c r="G19" s="400">
        <f t="shared" si="8"/>
        <v>-150818425.5751</v>
      </c>
      <c r="H19" s="401">
        <f t="shared" si="9"/>
        <v>0.44968990247747942</v>
      </c>
      <c r="I19" s="192">
        <f t="shared" si="10"/>
        <v>0</v>
      </c>
      <c r="L19" s="608"/>
      <c r="M19" s="395" t="s">
        <v>99</v>
      </c>
      <c r="N19" s="402">
        <v>256089600</v>
      </c>
      <c r="O19" s="397">
        <v>14</v>
      </c>
      <c r="P19" s="398">
        <v>9</v>
      </c>
      <c r="Q19" s="399">
        <v>71676418.91870001</v>
      </c>
      <c r="R19" s="400">
        <f t="shared" si="11"/>
        <v>-184413181.08129999</v>
      </c>
      <c r="S19" s="401">
        <f t="shared" si="12"/>
        <v>0.27988805058346772</v>
      </c>
      <c r="T19" s="192">
        <f t="shared" si="13"/>
        <v>0</v>
      </c>
    </row>
    <row r="20" spans="1:20" x14ac:dyDescent="0.4">
      <c r="A20" s="623"/>
      <c r="B20" s="395" t="s">
        <v>100</v>
      </c>
      <c r="C20" s="402">
        <v>205545600</v>
      </c>
      <c r="D20" s="397">
        <v>13</v>
      </c>
      <c r="E20" s="398">
        <v>15</v>
      </c>
      <c r="F20" s="399">
        <v>213241742.97339991</v>
      </c>
      <c r="G20" s="400">
        <f t="shared" si="8"/>
        <v>7696142.9733999074</v>
      </c>
      <c r="H20" s="401">
        <f t="shared" si="9"/>
        <v>1.0374425089780559</v>
      </c>
      <c r="I20" s="192">
        <f t="shared" si="10"/>
        <v>959587.84338029975</v>
      </c>
      <c r="L20" s="608"/>
      <c r="M20" s="395" t="s">
        <v>100</v>
      </c>
      <c r="N20" s="402">
        <v>240084000</v>
      </c>
      <c r="O20" s="397">
        <v>11</v>
      </c>
      <c r="P20" s="398">
        <v>7</v>
      </c>
      <c r="Q20" s="399">
        <v>67557204.504300013</v>
      </c>
      <c r="R20" s="400">
        <f t="shared" si="11"/>
        <v>-172526795.4957</v>
      </c>
      <c r="S20" s="401">
        <f t="shared" si="12"/>
        <v>0.28138986564827317</v>
      </c>
      <c r="T20" s="192">
        <f t="shared" si="13"/>
        <v>0</v>
      </c>
    </row>
    <row r="21" spans="1:20" x14ac:dyDescent="0.4">
      <c r="A21" s="623"/>
      <c r="B21" s="395" t="s">
        <v>101</v>
      </c>
      <c r="C21" s="402">
        <v>239803200.00000003</v>
      </c>
      <c r="D21" s="397">
        <v>14</v>
      </c>
      <c r="E21" s="398">
        <v>12</v>
      </c>
      <c r="F21" s="399">
        <v>145253360.81110001</v>
      </c>
      <c r="G21" s="400">
        <f t="shared" si="8"/>
        <v>-94549839.188900024</v>
      </c>
      <c r="H21" s="401">
        <f t="shared" si="9"/>
        <v>0.60571902631449448</v>
      </c>
      <c r="I21" s="192">
        <f t="shared" si="10"/>
        <v>290506.72162220004</v>
      </c>
      <c r="L21" s="608"/>
      <c r="M21" s="395" t="s">
        <v>101</v>
      </c>
      <c r="N21" s="402">
        <v>256089600</v>
      </c>
      <c r="O21" s="397">
        <v>12</v>
      </c>
      <c r="P21" s="398">
        <v>12</v>
      </c>
      <c r="Q21" s="399">
        <v>85620626.171399996</v>
      </c>
      <c r="R21" s="400">
        <f t="shared" si="11"/>
        <v>-170468973.82859999</v>
      </c>
      <c r="S21" s="401">
        <f t="shared" si="12"/>
        <v>0.33433855248866018</v>
      </c>
      <c r="T21" s="192">
        <f t="shared" si="13"/>
        <v>0</v>
      </c>
    </row>
    <row r="22" spans="1:20" ht="14.5" customHeight="1" thickBot="1" x14ac:dyDescent="0.45">
      <c r="A22" s="623"/>
      <c r="B22" s="403" t="s">
        <v>77</v>
      </c>
      <c r="C22" s="404">
        <f t="shared" ref="C22" si="14">SUM(C16:C21)</f>
        <v>1712880000</v>
      </c>
      <c r="D22" s="405">
        <f>SUM(D16:D21)</f>
        <v>94</v>
      </c>
      <c r="E22" s="406">
        <f t="shared" ref="E22" si="15">SUM(E16:E21)</f>
        <v>78</v>
      </c>
      <c r="F22" s="404">
        <f>SUM(F16:F21)</f>
        <v>1059981795.3146999</v>
      </c>
      <c r="G22" s="404">
        <f t="shared" si="8"/>
        <v>-652898204.68530011</v>
      </c>
      <c r="H22" s="407">
        <f t="shared" si="9"/>
        <v>0.61883015466039648</v>
      </c>
      <c r="I22" s="197">
        <f>SUM(I16:I21)</f>
        <v>2562033.5711064502</v>
      </c>
      <c r="L22" s="609"/>
      <c r="M22" s="446" t="s">
        <v>77</v>
      </c>
      <c r="N22" s="447">
        <f t="shared" ref="N22" si="16">SUM(N16:N21)</f>
        <v>1600560000</v>
      </c>
      <c r="O22" s="448">
        <f>SUM(O16:O21)</f>
        <v>81</v>
      </c>
      <c r="P22" s="449">
        <f t="shared" ref="P22" si="17">SUM(P16:P21)</f>
        <v>57</v>
      </c>
      <c r="Q22" s="447">
        <f>SUM(Q16:Q21)</f>
        <v>447133940.11489999</v>
      </c>
      <c r="R22" s="447">
        <f t="shared" si="11"/>
        <v>-1153426059.8850999</v>
      </c>
      <c r="S22" s="450">
        <f t="shared" si="12"/>
        <v>0.27936093624412706</v>
      </c>
      <c r="T22" s="197">
        <f>SUM(T16:T21)</f>
        <v>0</v>
      </c>
    </row>
    <row r="23" spans="1:20" x14ac:dyDescent="0.4">
      <c r="B23" s="408" t="str">
        <f>$B$12</f>
        <v>TARGET Q3</v>
      </c>
      <c r="C23" s="409">
        <v>1541592000</v>
      </c>
      <c r="D23" s="431"/>
      <c r="E23" s="431"/>
      <c r="F23" s="409">
        <f>F22</f>
        <v>1059981795.3146999</v>
      </c>
      <c r="G23" s="409">
        <f t="shared" si="8"/>
        <v>-481610204.68530011</v>
      </c>
      <c r="H23" s="410">
        <f>F23/C23</f>
        <v>0.68758906073377379</v>
      </c>
      <c r="I23" s="192">
        <f>IF(H23&gt;=1,3500000,IF(H23&gt;=0.9,2500000,0))</f>
        <v>0</v>
      </c>
      <c r="M23" s="408" t="str">
        <f>$B$12</f>
        <v>TARGET Q3</v>
      </c>
      <c r="N23" s="409">
        <v>1440504000</v>
      </c>
      <c r="O23" s="431"/>
      <c r="P23" s="431"/>
      <c r="Q23" s="409">
        <f>Q22</f>
        <v>447133940.11489999</v>
      </c>
      <c r="R23" s="409">
        <f t="shared" si="11"/>
        <v>-993370059.88510001</v>
      </c>
      <c r="S23" s="410">
        <f>Q23/N23</f>
        <v>0.31040104027125226</v>
      </c>
      <c r="T23" s="192">
        <f>IF(S23&gt;=1,3500000,IF(S23&gt;=0.9,2500000,0))</f>
        <v>0</v>
      </c>
    </row>
    <row r="24" spans="1:20" ht="16.5" thickBot="1" x14ac:dyDescent="0.45">
      <c r="B24" s="417"/>
      <c r="C24" s="412">
        <f>C23/C22</f>
        <v>0.9</v>
      </c>
      <c r="D24" s="413"/>
      <c r="E24" s="414"/>
      <c r="F24" s="415"/>
      <c r="G24" s="416"/>
      <c r="H24" s="413"/>
      <c r="M24" s="417">
        <f>90%</f>
        <v>0.9</v>
      </c>
      <c r="N24" s="412">
        <f>N23/N22</f>
        <v>0.9</v>
      </c>
    </row>
    <row r="25" spans="1:20" ht="19.5" customHeight="1" x14ac:dyDescent="0.35">
      <c r="A25" s="623">
        <v>3</v>
      </c>
      <c r="B25" s="390" t="s">
        <v>57</v>
      </c>
      <c r="C25" s="391" t="s">
        <v>39</v>
      </c>
      <c r="D25" s="657" t="s">
        <v>174</v>
      </c>
      <c r="E25" s="658"/>
      <c r="F25" s="658"/>
      <c r="G25" s="659"/>
      <c r="H25" s="390" t="s">
        <v>66</v>
      </c>
      <c r="L25" s="613">
        <v>3</v>
      </c>
      <c r="M25" s="440" t="s">
        <v>57</v>
      </c>
      <c r="N25" s="441" t="s">
        <v>169</v>
      </c>
      <c r="O25" s="647" t="s">
        <v>174</v>
      </c>
      <c r="P25" s="648"/>
      <c r="Q25" s="648"/>
      <c r="R25" s="649"/>
      <c r="S25" s="440" t="s">
        <v>66</v>
      </c>
    </row>
    <row r="26" spans="1:20" ht="36" customHeight="1" x14ac:dyDescent="0.35">
      <c r="A26" s="623"/>
      <c r="B26" s="390" t="s">
        <v>93</v>
      </c>
      <c r="C26" s="391" t="s">
        <v>94</v>
      </c>
      <c r="D26" s="392" t="s">
        <v>91</v>
      </c>
      <c r="E26" s="392" t="s">
        <v>62</v>
      </c>
      <c r="F26" s="393" t="str">
        <f>"OMSET "&amp;UPPER(TEXT($B$1,"MMM"))&amp;CHAR(10)&amp;" (1-"&amp;DAY($B$1)&amp;")"</f>
        <v>OMSET AGU
 (1-31)</v>
      </c>
      <c r="G26" s="391" t="s">
        <v>65</v>
      </c>
      <c r="H26" s="394">
        <f>100/DAY(EOMONTH($B$1,0))*DAY($B$1)/100</f>
        <v>1</v>
      </c>
      <c r="L26" s="614"/>
      <c r="M26" s="440" t="s">
        <v>93</v>
      </c>
      <c r="N26" s="441" t="s">
        <v>94</v>
      </c>
      <c r="O26" s="442" t="s">
        <v>91</v>
      </c>
      <c r="P26" s="442" t="s">
        <v>62</v>
      </c>
      <c r="Q26" s="443" t="str">
        <f>F26</f>
        <v>OMSET AGU
 (1-31)</v>
      </c>
      <c r="R26" s="444" t="s">
        <v>65</v>
      </c>
      <c r="S26" s="445">
        <f>H26</f>
        <v>1</v>
      </c>
      <c r="T26" s="202"/>
    </row>
    <row r="27" spans="1:20" ht="14.5" customHeight="1" x14ac:dyDescent="0.4">
      <c r="A27" s="623"/>
      <c r="B27" s="395" t="s">
        <v>96</v>
      </c>
      <c r="C27" s="396">
        <v>406809000</v>
      </c>
      <c r="D27" s="397">
        <v>15</v>
      </c>
      <c r="E27" s="398">
        <v>11</v>
      </c>
      <c r="F27" s="399">
        <v>437115404.07259989</v>
      </c>
      <c r="G27" s="400">
        <f>F27-C27</f>
        <v>30306404.072599888</v>
      </c>
      <c r="H27" s="401">
        <f>F27/C27</f>
        <v>1.0744978701862542</v>
      </c>
      <c r="I27" s="192">
        <f>IF(H27&gt;120%,F27* 0.55%, IF(H27&gt;100%,F27* 0.45%, IF(H27&gt;80%,F27* 0.35%, IF(H27&gt;60%,F27* 0.2%, 0))))</f>
        <v>1967019.3183266998</v>
      </c>
      <c r="L27" s="614"/>
      <c r="M27" s="395" t="s">
        <v>96</v>
      </c>
      <c r="N27" s="396">
        <v>257774400.00000003</v>
      </c>
      <c r="O27" s="397">
        <v>13</v>
      </c>
      <c r="P27" s="398">
        <v>8</v>
      </c>
      <c r="Q27" s="399">
        <v>184362608.1074</v>
      </c>
      <c r="R27" s="400">
        <f>Q27-N27</f>
        <v>-73411791.89260003</v>
      </c>
      <c r="S27" s="401">
        <f>Q27/N27</f>
        <v>0.71520914453646278</v>
      </c>
      <c r="T27" s="192">
        <f>IF(S27&gt;120%,Q27* 0.55%, IF(S27&gt;100%,Q27* 0.45%, IF(S27&gt;80%,Q27* 0.35%, IF(S27&gt;60%,Q27* 0.2%, 0))))</f>
        <v>368725.21621480002</v>
      </c>
    </row>
    <row r="28" spans="1:20" ht="14.5" customHeight="1" x14ac:dyDescent="0.4">
      <c r="A28" s="623"/>
      <c r="B28" s="395" t="s">
        <v>97</v>
      </c>
      <c r="C28" s="402">
        <v>276630120</v>
      </c>
      <c r="D28" s="397">
        <v>20</v>
      </c>
      <c r="E28" s="398">
        <v>18</v>
      </c>
      <c r="F28" s="399">
        <v>244238532.73879993</v>
      </c>
      <c r="G28" s="400">
        <f t="shared" ref="G28:G34" si="18">F28-C28</f>
        <v>-32391587.26120007</v>
      </c>
      <c r="H28" s="401">
        <f t="shared" ref="H28:H33" si="19">F28/C28</f>
        <v>0.88290650612738741</v>
      </c>
      <c r="I28" s="192">
        <f t="shared" ref="I28:I32" si="20">IF(H28&gt;120%,F28* 0.55%, IF(H28&gt;100%,F28* 0.45%, IF(H28&gt;80%,F28* 0.35%, IF(H28&gt;60%,F28* 0.2%, 0))))</f>
        <v>854834.86458579963</v>
      </c>
      <c r="L28" s="614"/>
      <c r="M28" s="395" t="s">
        <v>97</v>
      </c>
      <c r="N28" s="402">
        <v>454896000</v>
      </c>
      <c r="O28" s="397">
        <v>13</v>
      </c>
      <c r="P28" s="398">
        <v>9</v>
      </c>
      <c r="Q28" s="399">
        <v>339754866.66620004</v>
      </c>
      <c r="R28" s="400">
        <f t="shared" ref="R28:R34" si="21">Q28-N28</f>
        <v>-115141133.33379996</v>
      </c>
      <c r="S28" s="401">
        <f t="shared" ref="S28:S33" si="22">Q28/N28</f>
        <v>0.74688470917792205</v>
      </c>
      <c r="T28" s="192">
        <f t="shared" ref="T28:T32" si="23">IF(S28&gt;120%,Q28* 0.55%, IF(S28&gt;100%,Q28* 0.45%, IF(S28&gt;80%,Q28* 0.35%, IF(S28&gt;60%,Q28* 0.2%, 0))))</f>
        <v>679509.73333240009</v>
      </c>
    </row>
    <row r="29" spans="1:20" ht="14.5" customHeight="1" x14ac:dyDescent="0.4">
      <c r="A29" s="623"/>
      <c r="B29" s="395" t="s">
        <v>98</v>
      </c>
      <c r="C29" s="402">
        <v>195268320</v>
      </c>
      <c r="D29" s="397">
        <v>22</v>
      </c>
      <c r="E29" s="398">
        <v>20</v>
      </c>
      <c r="F29" s="399">
        <v>335612211.26150006</v>
      </c>
      <c r="G29" s="400">
        <f t="shared" si="18"/>
        <v>140343891.26150006</v>
      </c>
      <c r="H29" s="401">
        <f t="shared" si="19"/>
        <v>1.7187232996192114</v>
      </c>
      <c r="I29" s="192">
        <f t="shared" si="20"/>
        <v>1845867.1619382505</v>
      </c>
      <c r="L29" s="614"/>
      <c r="M29" s="395" t="s">
        <v>98</v>
      </c>
      <c r="N29" s="402">
        <v>227448000</v>
      </c>
      <c r="O29" s="397">
        <v>8</v>
      </c>
      <c r="P29" s="398">
        <v>8</v>
      </c>
      <c r="Q29" s="399">
        <v>98940326.577700019</v>
      </c>
      <c r="R29" s="400">
        <f t="shared" si="21"/>
        <v>-128507673.42229998</v>
      </c>
      <c r="S29" s="401">
        <f t="shared" si="22"/>
        <v>0.43500196342768466</v>
      </c>
      <c r="T29" s="192">
        <f t="shared" si="23"/>
        <v>0</v>
      </c>
    </row>
    <row r="30" spans="1:20" ht="14.5" customHeight="1" x14ac:dyDescent="0.4">
      <c r="A30" s="623"/>
      <c r="B30" s="395" t="s">
        <v>99</v>
      </c>
      <c r="C30" s="402">
        <v>211540680</v>
      </c>
      <c r="D30" s="397">
        <v>9</v>
      </c>
      <c r="E30" s="398">
        <v>9</v>
      </c>
      <c r="F30" s="399">
        <v>262394876.16259992</v>
      </c>
      <c r="G30" s="400">
        <f t="shared" si="18"/>
        <v>50854196.162599921</v>
      </c>
      <c r="H30" s="401">
        <f t="shared" si="19"/>
        <v>1.24039913345556</v>
      </c>
      <c r="I30" s="192">
        <f t="shared" si="20"/>
        <v>1443171.8188942997</v>
      </c>
      <c r="L30" s="614"/>
      <c r="M30" s="395" t="s">
        <v>99</v>
      </c>
      <c r="N30" s="402">
        <v>166795200</v>
      </c>
      <c r="O30" s="397">
        <v>13</v>
      </c>
      <c r="P30" s="398">
        <v>9</v>
      </c>
      <c r="Q30" s="399">
        <v>53844612.612200022</v>
      </c>
      <c r="R30" s="400">
        <f t="shared" si="21"/>
        <v>-112950587.38779998</v>
      </c>
      <c r="S30" s="401">
        <f t="shared" si="22"/>
        <v>0.32281871787797262</v>
      </c>
      <c r="T30" s="192">
        <f t="shared" si="23"/>
        <v>0</v>
      </c>
    </row>
    <row r="31" spans="1:20" ht="14.5" customHeight="1" x14ac:dyDescent="0.4">
      <c r="A31" s="623"/>
      <c r="B31" s="395" t="s">
        <v>100</v>
      </c>
      <c r="C31" s="402">
        <v>178995960</v>
      </c>
      <c r="D31" s="397">
        <v>12</v>
      </c>
      <c r="E31" s="398">
        <v>11</v>
      </c>
      <c r="F31" s="399">
        <v>122653598.93290006</v>
      </c>
      <c r="G31" s="400">
        <f t="shared" si="18"/>
        <v>-56342361.067099944</v>
      </c>
      <c r="H31" s="401">
        <f t="shared" si="19"/>
        <v>0.68523110204777837</v>
      </c>
      <c r="I31" s="192">
        <f t="shared" si="20"/>
        <v>245307.19786580012</v>
      </c>
      <c r="L31" s="614"/>
      <c r="M31" s="395" t="s">
        <v>100</v>
      </c>
      <c r="N31" s="402">
        <v>227448000</v>
      </c>
      <c r="O31" s="397">
        <v>13</v>
      </c>
      <c r="P31" s="398">
        <v>11</v>
      </c>
      <c r="Q31" s="399">
        <v>73887066.666499972</v>
      </c>
      <c r="R31" s="400">
        <f t="shared" si="21"/>
        <v>-153560933.33350003</v>
      </c>
      <c r="S31" s="401">
        <f t="shared" si="22"/>
        <v>0.3248525670329041</v>
      </c>
      <c r="T31" s="192">
        <f t="shared" si="23"/>
        <v>0</v>
      </c>
    </row>
    <row r="32" spans="1:20" ht="14.5" customHeight="1" x14ac:dyDescent="0.4">
      <c r="A32" s="623"/>
      <c r="B32" s="395" t="s">
        <v>101</v>
      </c>
      <c r="C32" s="402">
        <v>357991920</v>
      </c>
      <c r="D32" s="397">
        <v>21</v>
      </c>
      <c r="E32" s="398">
        <v>19</v>
      </c>
      <c r="F32" s="399">
        <v>427672617.12039989</v>
      </c>
      <c r="G32" s="400">
        <f t="shared" si="18"/>
        <v>69680697.120399892</v>
      </c>
      <c r="H32" s="401">
        <f t="shared" si="19"/>
        <v>1.1946432118367361</v>
      </c>
      <c r="I32" s="192">
        <f t="shared" si="20"/>
        <v>1924526.7770417999</v>
      </c>
      <c r="L32" s="614"/>
      <c r="M32" s="395" t="s">
        <v>101</v>
      </c>
      <c r="N32" s="402">
        <v>181958400</v>
      </c>
      <c r="O32" s="397">
        <v>13</v>
      </c>
      <c r="P32" s="398">
        <v>9</v>
      </c>
      <c r="Q32" s="399">
        <v>62475804.504000001</v>
      </c>
      <c r="R32" s="400">
        <f t="shared" si="21"/>
        <v>-119482595.49599999</v>
      </c>
      <c r="S32" s="401">
        <f t="shared" si="22"/>
        <v>0.34335213160810385</v>
      </c>
      <c r="T32" s="192">
        <f t="shared" si="23"/>
        <v>0</v>
      </c>
    </row>
    <row r="33" spans="1:20" ht="14.5" customHeight="1" thickBot="1" x14ac:dyDescent="0.45">
      <c r="A33" s="623"/>
      <c r="B33" s="403" t="s">
        <v>77</v>
      </c>
      <c r="C33" s="404">
        <f t="shared" ref="C33" si="24">SUM(C27:C32)</f>
        <v>1627236000</v>
      </c>
      <c r="D33" s="405">
        <f>SUM(D27:D32)</f>
        <v>99</v>
      </c>
      <c r="E33" s="406">
        <f t="shared" ref="E33" si="25">SUM(E27:E32)</f>
        <v>88</v>
      </c>
      <c r="F33" s="404">
        <f>SUM(F27:F32)</f>
        <v>1829687240.2887998</v>
      </c>
      <c r="G33" s="404">
        <f t="shared" si="18"/>
        <v>202451240.28879976</v>
      </c>
      <c r="H33" s="407">
        <f t="shared" si="19"/>
        <v>1.1244141847210851</v>
      </c>
      <c r="I33" s="197">
        <f>SUM(I27:I32)</f>
        <v>8280727.1386526506</v>
      </c>
      <c r="L33" s="615"/>
      <c r="M33" s="446" t="s">
        <v>77</v>
      </c>
      <c r="N33" s="447">
        <f t="shared" ref="N33" si="26">SUM(N27:N32)</f>
        <v>1516320000</v>
      </c>
      <c r="O33" s="448">
        <f>SUM(O27:O32)</f>
        <v>73</v>
      </c>
      <c r="P33" s="449">
        <f t="shared" ref="P33" si="27">SUM(P27:P32)</f>
        <v>54</v>
      </c>
      <c r="Q33" s="447">
        <f>SUM(Q27:Q32)</f>
        <v>813265285.13399994</v>
      </c>
      <c r="R33" s="447">
        <f t="shared" si="21"/>
        <v>-703054714.86600006</v>
      </c>
      <c r="S33" s="450">
        <f t="shared" si="22"/>
        <v>0.53634146165321306</v>
      </c>
      <c r="T33" s="197">
        <f>SUM(T27:T32)</f>
        <v>1048234.9495472001</v>
      </c>
    </row>
    <row r="34" spans="1:20" x14ac:dyDescent="0.4">
      <c r="B34" s="408" t="str">
        <f>$B$12</f>
        <v>TARGET Q3</v>
      </c>
      <c r="C34" s="409">
        <v>1464512400</v>
      </c>
      <c r="D34" s="431"/>
      <c r="E34" s="431"/>
      <c r="F34" s="409">
        <f>F33</f>
        <v>1829687240.2887998</v>
      </c>
      <c r="G34" s="409">
        <f t="shared" si="18"/>
        <v>365174840.28879976</v>
      </c>
      <c r="H34" s="410">
        <f>F34/C34</f>
        <v>1.2493490941345391</v>
      </c>
      <c r="I34" s="192">
        <f>IF(H34&gt;=1,3500000,IF(H34&gt;=0.9,2500000,0))</f>
        <v>3500000</v>
      </c>
      <c r="M34" s="408" t="str">
        <f>$B$12</f>
        <v>TARGET Q3</v>
      </c>
      <c r="N34" s="409">
        <v>1364688000</v>
      </c>
      <c r="O34" s="431"/>
      <c r="P34" s="431"/>
      <c r="Q34" s="409">
        <f>Q33</f>
        <v>813265285.13399994</v>
      </c>
      <c r="R34" s="409">
        <f t="shared" si="21"/>
        <v>-551422714.86600006</v>
      </c>
      <c r="S34" s="410">
        <f>Q34/N34</f>
        <v>0.59593495739245894</v>
      </c>
      <c r="T34" s="192">
        <f>IF(S34&gt;=1,3500000,IF(S34&gt;=0.9,2500000,0))</f>
        <v>0</v>
      </c>
    </row>
    <row r="35" spans="1:20" ht="16.5" thickBot="1" x14ac:dyDescent="0.45">
      <c r="B35" s="417">
        <f>80%</f>
        <v>0.8</v>
      </c>
      <c r="C35" s="412">
        <f>C34/C33</f>
        <v>0.9</v>
      </c>
      <c r="D35" s="413"/>
      <c r="E35" s="414"/>
      <c r="F35" s="415"/>
      <c r="G35" s="416"/>
      <c r="H35" s="413"/>
      <c r="M35" s="417">
        <f>90%</f>
        <v>0.9</v>
      </c>
      <c r="N35" s="412">
        <f>N34/N33</f>
        <v>0.9</v>
      </c>
    </row>
    <row r="36" spans="1:20" ht="19.5" customHeight="1" x14ac:dyDescent="0.35">
      <c r="A36" s="623">
        <v>4</v>
      </c>
      <c r="B36" s="390" t="s">
        <v>57</v>
      </c>
      <c r="C36" s="391" t="s">
        <v>176</v>
      </c>
      <c r="D36" s="657" t="s">
        <v>177</v>
      </c>
      <c r="E36" s="658"/>
      <c r="F36" s="658"/>
      <c r="G36" s="659"/>
      <c r="H36" s="390" t="s">
        <v>66</v>
      </c>
      <c r="L36" s="607">
        <v>4</v>
      </c>
      <c r="M36" s="440" t="s">
        <v>57</v>
      </c>
      <c r="N36" s="441" t="s">
        <v>53</v>
      </c>
      <c r="O36" s="647" t="s">
        <v>184</v>
      </c>
      <c r="P36" s="648"/>
      <c r="Q36" s="648"/>
      <c r="R36" s="649"/>
      <c r="S36" s="440" t="s">
        <v>66</v>
      </c>
    </row>
    <row r="37" spans="1:20" ht="36" customHeight="1" x14ac:dyDescent="0.35">
      <c r="A37" s="623"/>
      <c r="B37" s="390" t="s">
        <v>93</v>
      </c>
      <c r="C37" s="391" t="s">
        <v>94</v>
      </c>
      <c r="D37" s="392" t="s">
        <v>91</v>
      </c>
      <c r="E37" s="392" t="s">
        <v>62</v>
      </c>
      <c r="F37" s="393" t="str">
        <f>"OMSET "&amp;UPPER(TEXT($B$1,"MMM"))&amp;CHAR(10)&amp;" (1-"&amp;DAY($B$1)&amp;")"</f>
        <v>OMSET AGU
 (1-31)</v>
      </c>
      <c r="G37" s="391" t="s">
        <v>65</v>
      </c>
      <c r="H37" s="394">
        <f>100/DAY(EOMONTH($B$1,0))*DAY($B$1)/100</f>
        <v>1</v>
      </c>
      <c r="I37" s="214"/>
      <c r="J37" s="212"/>
      <c r="L37" s="608"/>
      <c r="M37" s="440" t="s">
        <v>93</v>
      </c>
      <c r="N37" s="441" t="s">
        <v>94</v>
      </c>
      <c r="O37" s="442" t="s">
        <v>91</v>
      </c>
      <c r="P37" s="442" t="s">
        <v>62</v>
      </c>
      <c r="Q37" s="443" t="str">
        <f>F37</f>
        <v>OMSET AGU
 (1-31)</v>
      </c>
      <c r="R37" s="444" t="s">
        <v>65</v>
      </c>
      <c r="S37" s="445">
        <f>H37</f>
        <v>1</v>
      </c>
      <c r="T37" s="202"/>
    </row>
    <row r="38" spans="1:20" ht="14.5" customHeight="1" x14ac:dyDescent="0.4">
      <c r="A38" s="623"/>
      <c r="B38" s="395" t="s">
        <v>96</v>
      </c>
      <c r="C38" s="396">
        <v>131891760.00000001</v>
      </c>
      <c r="D38" s="397">
        <v>19</v>
      </c>
      <c r="E38" s="398">
        <v>18</v>
      </c>
      <c r="F38" s="399">
        <v>163442716.97359988</v>
      </c>
      <c r="G38" s="400">
        <f>F38-C38</f>
        <v>31550956.973599866</v>
      </c>
      <c r="H38" s="401">
        <f>F38/C38</f>
        <v>1.239218560534789</v>
      </c>
      <c r="I38" s="192">
        <f>IF(H38&gt;120%,F38* 0.55%, IF(H38&gt;100%,F38* 0.45%, IF(H38&gt;80%,F38* 0.35%, IF(H38&gt;60%,F38* 0.2%, 0))))</f>
        <v>898934.94335479941</v>
      </c>
      <c r="J38" s="215"/>
      <c r="K38" s="216"/>
      <c r="L38" s="608"/>
      <c r="M38" s="395" t="s">
        <v>96</v>
      </c>
      <c r="N38" s="396">
        <v>358020000</v>
      </c>
      <c r="O38" s="397">
        <v>10</v>
      </c>
      <c r="P38" s="398">
        <v>10</v>
      </c>
      <c r="Q38" s="399">
        <v>311048801.80120003</v>
      </c>
      <c r="R38" s="400">
        <f>Q38-N38</f>
        <v>-46971198.198799968</v>
      </c>
      <c r="S38" s="401">
        <f>Q38/N38</f>
        <v>0.86880286520641314</v>
      </c>
      <c r="T38" s="192">
        <f>IF(S38&gt;120%,Q38* 0.55%, IF(S38&gt;100%,Q38* 0.45%, IF(S38&gt;80%,Q38* 0.35%, IF(S38&gt;60%,Q38* 0.2%, 0))))</f>
        <v>1088670.8063042001</v>
      </c>
    </row>
    <row r="39" spans="1:20" ht="14.5" customHeight="1" x14ac:dyDescent="0.4">
      <c r="A39" s="623"/>
      <c r="B39" s="395" t="s">
        <v>97</v>
      </c>
      <c r="C39" s="402">
        <v>565250400</v>
      </c>
      <c r="D39" s="397">
        <v>13</v>
      </c>
      <c r="E39" s="398">
        <v>12</v>
      </c>
      <c r="F39" s="399">
        <v>470181163.0626002</v>
      </c>
      <c r="G39" s="400">
        <f t="shared" ref="G39:G45" si="28">F39-C39</f>
        <v>-95069236.937399805</v>
      </c>
      <c r="H39" s="401">
        <f t="shared" ref="H39:H44" si="29">F39/C39</f>
        <v>0.83181040307552223</v>
      </c>
      <c r="I39" s="192">
        <f t="shared" ref="I39:I43" si="30">IF(H39&gt;120%,F39* 0.55%, IF(H39&gt;100%,F39* 0.45%, IF(H39&gt;80%,F39* 0.35%, IF(H39&gt;60%,F39* 0.2%, 0))))</f>
        <v>1645634.0707191005</v>
      </c>
      <c r="J39" s="215"/>
      <c r="K39" s="216"/>
      <c r="L39" s="608"/>
      <c r="M39" s="395" t="s">
        <v>97</v>
      </c>
      <c r="N39" s="402">
        <v>210600000</v>
      </c>
      <c r="O39" s="397">
        <v>7</v>
      </c>
      <c r="P39" s="398">
        <v>5</v>
      </c>
      <c r="Q39" s="399">
        <v>28728441.443100002</v>
      </c>
      <c r="R39" s="400">
        <f t="shared" ref="R39:R45" si="31">Q39-N39</f>
        <v>-181871558.55689999</v>
      </c>
      <c r="S39" s="401">
        <f t="shared" ref="S39:S44" si="32">Q39/N39</f>
        <v>0.13641235253133904</v>
      </c>
      <c r="T39" s="192">
        <f t="shared" ref="T39:T43" si="33">IF(S39&gt;120%,Q39* 0.55%, IF(S39&gt;100%,Q39* 0.45%, IF(S39&gt;80%,Q39* 0.35%, IF(S39&gt;60%,Q39* 0.2%, 0))))</f>
        <v>0</v>
      </c>
    </row>
    <row r="40" spans="1:20" ht="14.5" customHeight="1" x14ac:dyDescent="0.4">
      <c r="A40" s="623"/>
      <c r="B40" s="395" t="s">
        <v>98</v>
      </c>
      <c r="C40" s="402">
        <v>546408720</v>
      </c>
      <c r="D40" s="397">
        <v>15</v>
      </c>
      <c r="E40" s="398">
        <v>13</v>
      </c>
      <c r="F40" s="399">
        <v>379891081.60779995</v>
      </c>
      <c r="G40" s="400">
        <f t="shared" si="28"/>
        <v>-166517638.39220005</v>
      </c>
      <c r="H40" s="401">
        <f t="shared" si="29"/>
        <v>0.69525076687612153</v>
      </c>
      <c r="I40" s="192">
        <f t="shared" si="30"/>
        <v>759782.16321559995</v>
      </c>
      <c r="J40" s="215"/>
      <c r="K40" s="216"/>
      <c r="L40" s="608"/>
      <c r="M40" s="395" t="s">
        <v>98</v>
      </c>
      <c r="N40" s="402">
        <v>336960000</v>
      </c>
      <c r="O40" s="397">
        <v>15</v>
      </c>
      <c r="P40" s="398">
        <v>11</v>
      </c>
      <c r="Q40" s="399">
        <v>247160303.60350004</v>
      </c>
      <c r="R40" s="400">
        <f t="shared" si="31"/>
        <v>-89799696.396499962</v>
      </c>
      <c r="S40" s="401">
        <f t="shared" si="32"/>
        <v>0.7335004261737299</v>
      </c>
      <c r="T40" s="192">
        <f t="shared" si="33"/>
        <v>494320.60720700008</v>
      </c>
    </row>
    <row r="41" spans="1:20" ht="14.5" customHeight="1" x14ac:dyDescent="0.4">
      <c r="A41" s="623"/>
      <c r="B41" s="395" t="s">
        <v>99</v>
      </c>
      <c r="C41" s="402">
        <v>244941840</v>
      </c>
      <c r="D41" s="397">
        <v>13</v>
      </c>
      <c r="E41" s="398">
        <v>13</v>
      </c>
      <c r="F41" s="399">
        <v>200827787.84359992</v>
      </c>
      <c r="G41" s="400">
        <f t="shared" si="28"/>
        <v>-44114052.156400084</v>
      </c>
      <c r="H41" s="401">
        <f t="shared" si="29"/>
        <v>0.81989989069895086</v>
      </c>
      <c r="I41" s="192">
        <f t="shared" si="30"/>
        <v>702897.25745259959</v>
      </c>
      <c r="J41" s="215"/>
      <c r="K41" s="216"/>
      <c r="L41" s="608"/>
      <c r="M41" s="395" t="s">
        <v>99</v>
      </c>
      <c r="N41" s="402">
        <v>737100000</v>
      </c>
      <c r="O41" s="397">
        <v>18</v>
      </c>
      <c r="P41" s="398">
        <v>15</v>
      </c>
      <c r="Q41" s="399">
        <v>496154495.49500012</v>
      </c>
      <c r="R41" s="400">
        <f t="shared" si="31"/>
        <v>-240945504.50499988</v>
      </c>
      <c r="S41" s="401">
        <f t="shared" si="32"/>
        <v>0.67311693867182221</v>
      </c>
      <c r="T41" s="192">
        <f t="shared" si="33"/>
        <v>992308.99099000031</v>
      </c>
    </row>
    <row r="42" spans="1:20" ht="14.5" customHeight="1" x14ac:dyDescent="0.4">
      <c r="A42" s="623"/>
      <c r="B42" s="395" t="s">
        <v>100</v>
      </c>
      <c r="C42" s="402">
        <v>188416800</v>
      </c>
      <c r="D42" s="397">
        <v>12</v>
      </c>
      <c r="E42" s="398">
        <v>9</v>
      </c>
      <c r="F42" s="399">
        <v>97140183.784100041</v>
      </c>
      <c r="G42" s="400">
        <f t="shared" si="28"/>
        <v>-91276616.215899959</v>
      </c>
      <c r="H42" s="401">
        <f t="shared" si="29"/>
        <v>0.51556009752898913</v>
      </c>
      <c r="I42" s="192">
        <f t="shared" si="30"/>
        <v>0</v>
      </c>
      <c r="J42" s="215"/>
      <c r="K42" s="216"/>
      <c r="L42" s="608"/>
      <c r="M42" s="395" t="s">
        <v>100</v>
      </c>
      <c r="N42" s="402">
        <v>252720000</v>
      </c>
      <c r="O42" s="397">
        <v>8</v>
      </c>
      <c r="P42" s="398">
        <v>7</v>
      </c>
      <c r="Q42" s="399">
        <v>102859341.9822</v>
      </c>
      <c r="R42" s="400">
        <f t="shared" si="31"/>
        <v>-149860658.0178</v>
      </c>
      <c r="S42" s="401">
        <f t="shared" si="32"/>
        <v>0.4070091088247863</v>
      </c>
      <c r="T42" s="192">
        <f t="shared" si="33"/>
        <v>0</v>
      </c>
    </row>
    <row r="43" spans="1:20" ht="14.5" customHeight="1" x14ac:dyDescent="0.4">
      <c r="A43" s="623"/>
      <c r="B43" s="395" t="s">
        <v>101</v>
      </c>
      <c r="C43" s="402">
        <v>207258480</v>
      </c>
      <c r="D43" s="397">
        <v>13</v>
      </c>
      <c r="E43" s="398">
        <v>13</v>
      </c>
      <c r="F43" s="399">
        <v>172783797.98280007</v>
      </c>
      <c r="G43" s="400">
        <f t="shared" si="28"/>
        <v>-34474682.017199934</v>
      </c>
      <c r="H43" s="401">
        <f t="shared" si="29"/>
        <v>0.83366334628527661</v>
      </c>
      <c r="I43" s="192">
        <f t="shared" si="30"/>
        <v>604743.29293980019</v>
      </c>
      <c r="J43" s="215"/>
      <c r="K43" s="216"/>
      <c r="L43" s="608"/>
      <c r="M43" s="395" t="s">
        <v>101</v>
      </c>
      <c r="N43" s="402">
        <v>210600000</v>
      </c>
      <c r="O43" s="397">
        <v>6</v>
      </c>
      <c r="P43" s="398">
        <v>5</v>
      </c>
      <c r="Q43" s="399">
        <v>73620247.747700006</v>
      </c>
      <c r="R43" s="400">
        <f t="shared" si="31"/>
        <v>-136979752.25229999</v>
      </c>
      <c r="S43" s="401">
        <f t="shared" si="32"/>
        <v>0.34957382596248815</v>
      </c>
      <c r="T43" s="192">
        <f t="shared" si="33"/>
        <v>0</v>
      </c>
    </row>
    <row r="44" spans="1:20" ht="14.5" customHeight="1" thickBot="1" x14ac:dyDescent="0.45">
      <c r="A44" s="623"/>
      <c r="B44" s="403" t="s">
        <v>77</v>
      </c>
      <c r="C44" s="404">
        <f t="shared" ref="C44" si="34">SUM(C38:C43)</f>
        <v>1884168000</v>
      </c>
      <c r="D44" s="405">
        <f>SUM(D38:D43)</f>
        <v>85</v>
      </c>
      <c r="E44" s="406">
        <f t="shared" ref="E44" si="35">SUM(E38:E43)</f>
        <v>78</v>
      </c>
      <c r="F44" s="404">
        <f>SUM(F38:F43)</f>
        <v>1484266731.2544999</v>
      </c>
      <c r="G44" s="404">
        <f t="shared" si="28"/>
        <v>-399901268.74550009</v>
      </c>
      <c r="H44" s="407">
        <f t="shared" si="29"/>
        <v>0.78775710618931005</v>
      </c>
      <c r="I44" s="197">
        <f>SUM(I38:I43)</f>
        <v>4611991.7276818994</v>
      </c>
      <c r="L44" s="609"/>
      <c r="M44" s="446" t="s">
        <v>77</v>
      </c>
      <c r="N44" s="447">
        <f t="shared" ref="N44" si="36">SUM(N38:N43)</f>
        <v>2106000000</v>
      </c>
      <c r="O44" s="448">
        <f>SUM(O38:O43)</f>
        <v>64</v>
      </c>
      <c r="P44" s="449">
        <f t="shared" ref="P44" si="37">SUM(P38:P43)</f>
        <v>53</v>
      </c>
      <c r="Q44" s="447">
        <f>SUM(Q38:Q43)</f>
        <v>1259571632.0727</v>
      </c>
      <c r="R44" s="447">
        <f t="shared" si="31"/>
        <v>-846428367.92729998</v>
      </c>
      <c r="S44" s="450">
        <f t="shared" si="32"/>
        <v>0.59808719471638183</v>
      </c>
      <c r="T44" s="197">
        <f>SUM(T38:T43)</f>
        <v>2575300.4045012007</v>
      </c>
    </row>
    <row r="45" spans="1:20" x14ac:dyDescent="0.4">
      <c r="B45" s="408" t="str">
        <f>$B$12</f>
        <v>TARGET Q3</v>
      </c>
      <c r="C45" s="409">
        <v>1695751200</v>
      </c>
      <c r="D45" s="431"/>
      <c r="E45" s="431"/>
      <c r="F45" s="409">
        <f>F44</f>
        <v>1484266731.2544999</v>
      </c>
      <c r="G45" s="409">
        <f t="shared" si="28"/>
        <v>-211484468.74550009</v>
      </c>
      <c r="H45" s="410">
        <f>F45/C45</f>
        <v>0.87528567354367781</v>
      </c>
      <c r="I45" s="192">
        <f>IF(H45&gt;=1,3500000,IF(H45&gt;=0.9,2500000,0))</f>
        <v>0</v>
      </c>
      <c r="M45" s="408" t="str">
        <f>$B$12</f>
        <v>TARGET Q3</v>
      </c>
      <c r="N45" s="409">
        <v>1895400000</v>
      </c>
      <c r="O45" s="431"/>
      <c r="P45" s="431"/>
      <c r="Q45" s="409">
        <f>Q44</f>
        <v>1259571632.0727</v>
      </c>
      <c r="R45" s="409">
        <f t="shared" si="31"/>
        <v>-635828367.92729998</v>
      </c>
      <c r="S45" s="410">
        <f>Q45/N45</f>
        <v>0.66454132746264638</v>
      </c>
      <c r="T45" s="192">
        <f>IF(S45&gt;=1,3500000,IF(S45&gt;=0.9,2500000,0))</f>
        <v>0</v>
      </c>
    </row>
    <row r="46" spans="1:20" ht="16.5" thickBot="1" x14ac:dyDescent="0.45">
      <c r="B46" s="417"/>
      <c r="C46" s="412">
        <f>C45/C44</f>
        <v>0.9</v>
      </c>
      <c r="D46" s="413"/>
      <c r="E46" s="414"/>
      <c r="F46" s="415"/>
      <c r="G46" s="416"/>
      <c r="H46" s="413"/>
      <c r="N46" s="412">
        <f>N45/N44</f>
        <v>0.9</v>
      </c>
    </row>
    <row r="47" spans="1:20" ht="19.5" customHeight="1" x14ac:dyDescent="0.35">
      <c r="A47" s="627">
        <v>5</v>
      </c>
      <c r="B47" s="390" t="s">
        <v>57</v>
      </c>
      <c r="C47" s="391" t="s">
        <v>35</v>
      </c>
      <c r="D47" s="657" t="s">
        <v>178</v>
      </c>
      <c r="E47" s="658"/>
      <c r="F47" s="658"/>
      <c r="G47" s="659"/>
      <c r="H47" s="390" t="s">
        <v>66</v>
      </c>
      <c r="L47" s="613">
        <v>5</v>
      </c>
      <c r="M47" s="440" t="s">
        <v>57</v>
      </c>
      <c r="N47" s="441" t="s">
        <v>185</v>
      </c>
      <c r="O47" s="647" t="s">
        <v>178</v>
      </c>
      <c r="P47" s="648"/>
      <c r="Q47" s="648"/>
      <c r="R47" s="649"/>
      <c r="S47" s="440" t="s">
        <v>66</v>
      </c>
    </row>
    <row r="48" spans="1:20" ht="36" customHeight="1" x14ac:dyDescent="0.35">
      <c r="A48" s="628"/>
      <c r="B48" s="390" t="s">
        <v>93</v>
      </c>
      <c r="C48" s="391" t="s">
        <v>94</v>
      </c>
      <c r="D48" s="392" t="s">
        <v>91</v>
      </c>
      <c r="E48" s="392" t="s">
        <v>62</v>
      </c>
      <c r="F48" s="393" t="str">
        <f>"OMSET "&amp;UPPER(TEXT($B$1,"MMM"))&amp;CHAR(10)&amp;" (1-"&amp;DAY($B$1)&amp;")"</f>
        <v>OMSET AGU
 (1-31)</v>
      </c>
      <c r="G48" s="391" t="s">
        <v>65</v>
      </c>
      <c r="H48" s="394">
        <f>100/DAY(EOMONTH($B$1,0))*DAY($B$1)/100</f>
        <v>1</v>
      </c>
      <c r="I48" s="211"/>
      <c r="J48" s="212"/>
      <c r="L48" s="614"/>
      <c r="M48" s="440" t="s">
        <v>93</v>
      </c>
      <c r="N48" s="441" t="s">
        <v>94</v>
      </c>
      <c r="O48" s="442" t="s">
        <v>91</v>
      </c>
      <c r="P48" s="442" t="s">
        <v>62</v>
      </c>
      <c r="Q48" s="443" t="str">
        <f>F48</f>
        <v>OMSET AGU
 (1-31)</v>
      </c>
      <c r="R48" s="444" t="s">
        <v>65</v>
      </c>
      <c r="S48" s="445">
        <f>H48</f>
        <v>1</v>
      </c>
    </row>
    <row r="49" spans="1:20" ht="14.5" customHeight="1" x14ac:dyDescent="0.4">
      <c r="A49" s="628"/>
      <c r="B49" s="395" t="s">
        <v>96</v>
      </c>
      <c r="C49" s="396">
        <v>179852400</v>
      </c>
      <c r="D49" s="397">
        <v>19</v>
      </c>
      <c r="E49" s="398">
        <v>17</v>
      </c>
      <c r="F49" s="399">
        <v>177951798.9483</v>
      </c>
      <c r="G49" s="400">
        <f>F49-C49</f>
        <v>-1900601.051699996</v>
      </c>
      <c r="H49" s="401">
        <f>F49/C49</f>
        <v>0.98943243986902596</v>
      </c>
      <c r="I49" s="192">
        <f>IF(H49&gt;120%,F49* 0.55%, IF(H49&gt;100%,F49* 0.45%, IF(H49&gt;80%,F49* 0.35%, IF(H49&gt;60%,F49* 0.2%, 0))))</f>
        <v>622831.2963190499</v>
      </c>
      <c r="L49" s="614"/>
      <c r="M49" s="395" t="s">
        <v>96</v>
      </c>
      <c r="N49" s="396">
        <v>775008000</v>
      </c>
      <c r="O49" s="397">
        <v>23</v>
      </c>
      <c r="P49" s="398">
        <v>19</v>
      </c>
      <c r="Q49" s="399">
        <v>692756635.1351999</v>
      </c>
      <c r="R49" s="400">
        <f>Q49-N49</f>
        <v>-82251364.864800096</v>
      </c>
      <c r="S49" s="401">
        <f>Q49/N49</f>
        <v>0.89387030215842922</v>
      </c>
      <c r="T49" s="192">
        <f>IF(S49&gt;120%,Q49* 0.55%, IF(S49&gt;100%,Q49* 0.45%, IF(S49&gt;80%,Q49* 0.35%, IF(S49&gt;60%,Q49* 0.2%, 0))))</f>
        <v>2424648.2229731996</v>
      </c>
    </row>
    <row r="50" spans="1:20" ht="14.5" customHeight="1" x14ac:dyDescent="0.4">
      <c r="A50" s="628"/>
      <c r="B50" s="395" t="s">
        <v>97</v>
      </c>
      <c r="C50" s="402">
        <v>701424360</v>
      </c>
      <c r="D50" s="397">
        <v>30</v>
      </c>
      <c r="E50" s="398">
        <v>29</v>
      </c>
      <c r="F50" s="399">
        <v>704252223.62089968</v>
      </c>
      <c r="G50" s="400">
        <f t="shared" ref="G50:G56" si="38">F50-C50</f>
        <v>2827863.6208996773</v>
      </c>
      <c r="H50" s="401">
        <f t="shared" ref="H50:H55" si="39">F50/C50</f>
        <v>1.0040316016696365</v>
      </c>
      <c r="I50" s="192">
        <f t="shared" ref="I50:I54" si="40">IF(H50&gt;120%,F50* 0.55%, IF(H50&gt;100%,F50* 0.45%, IF(H50&gt;80%,F50* 0.35%, IF(H50&gt;60%,F50* 0.2%, 0))))</f>
        <v>3169135.0062940489</v>
      </c>
      <c r="K50" s="216"/>
      <c r="L50" s="614"/>
      <c r="M50" s="395" t="s">
        <v>97</v>
      </c>
      <c r="N50" s="402">
        <v>348753600</v>
      </c>
      <c r="O50" s="397">
        <v>13</v>
      </c>
      <c r="P50" s="398">
        <v>11</v>
      </c>
      <c r="Q50" s="399">
        <v>116896094.59500004</v>
      </c>
      <c r="R50" s="400">
        <f t="shared" ref="R50:R56" si="41">Q50-N50</f>
        <v>-231857505.40499997</v>
      </c>
      <c r="S50" s="401">
        <f t="shared" ref="S50:S55" si="42">Q50/N50</f>
        <v>0.33518247437445819</v>
      </c>
      <c r="T50" s="192">
        <f t="shared" ref="T50:T54" si="43">IF(S50&gt;120%,Q50* 0.55%, IF(S50&gt;100%,Q50* 0.45%, IF(S50&gt;80%,Q50* 0.35%, IF(S50&gt;60%,Q50* 0.2%, 0))))</f>
        <v>0</v>
      </c>
    </row>
    <row r="51" spans="1:20" ht="14.5" customHeight="1" x14ac:dyDescent="0.4">
      <c r="A51" s="628"/>
      <c r="B51" s="395" t="s">
        <v>98</v>
      </c>
      <c r="C51" s="402">
        <v>377690040</v>
      </c>
      <c r="D51" s="397">
        <v>20</v>
      </c>
      <c r="E51" s="398">
        <v>19</v>
      </c>
      <c r="F51" s="399">
        <v>331731133.89169979</v>
      </c>
      <c r="G51" s="400">
        <f t="shared" si="38"/>
        <v>-45958906.108300209</v>
      </c>
      <c r="H51" s="401">
        <f t="shared" si="39"/>
        <v>0.87831581127132663</v>
      </c>
      <c r="I51" s="192">
        <f t="shared" si="40"/>
        <v>1161058.9686209492</v>
      </c>
      <c r="J51" s="191"/>
      <c r="K51" s="216"/>
      <c r="L51" s="614"/>
      <c r="M51" s="395" t="s">
        <v>98</v>
      </c>
      <c r="N51" s="402">
        <v>193752000</v>
      </c>
      <c r="O51" s="397">
        <v>11</v>
      </c>
      <c r="P51" s="398">
        <v>7</v>
      </c>
      <c r="Q51" s="399">
        <v>80036824.323899999</v>
      </c>
      <c r="R51" s="400">
        <f t="shared" si="41"/>
        <v>-113715175.6761</v>
      </c>
      <c r="S51" s="401">
        <f t="shared" si="42"/>
        <v>0.4130890226882819</v>
      </c>
      <c r="T51" s="192">
        <f t="shared" si="43"/>
        <v>0</v>
      </c>
    </row>
    <row r="52" spans="1:20" ht="14.5" customHeight="1" x14ac:dyDescent="0.4">
      <c r="A52" s="628"/>
      <c r="B52" s="395" t="s">
        <v>99</v>
      </c>
      <c r="C52" s="402">
        <v>233808120</v>
      </c>
      <c r="D52" s="397">
        <v>13</v>
      </c>
      <c r="E52" s="398">
        <v>11</v>
      </c>
      <c r="F52" s="399">
        <v>224939651.80149993</v>
      </c>
      <c r="G52" s="400">
        <f t="shared" si="38"/>
        <v>-8868468.198500067</v>
      </c>
      <c r="H52" s="401">
        <f t="shared" si="39"/>
        <v>0.96206946021164674</v>
      </c>
      <c r="I52" s="192">
        <f t="shared" si="40"/>
        <v>787288.78130524966</v>
      </c>
      <c r="K52" s="216"/>
      <c r="L52" s="614"/>
      <c r="M52" s="395" t="s">
        <v>99</v>
      </c>
      <c r="N52" s="402">
        <v>193752000</v>
      </c>
      <c r="O52" s="397">
        <v>13</v>
      </c>
      <c r="P52" s="398">
        <v>11</v>
      </c>
      <c r="Q52" s="399">
        <v>79187932.748399988</v>
      </c>
      <c r="R52" s="400">
        <f t="shared" si="41"/>
        <v>-114564067.25160001</v>
      </c>
      <c r="S52" s="401">
        <f t="shared" si="42"/>
        <v>0.40870769204137242</v>
      </c>
      <c r="T52" s="192">
        <f t="shared" si="43"/>
        <v>0</v>
      </c>
    </row>
    <row r="53" spans="1:20" ht="14.5" customHeight="1" x14ac:dyDescent="0.4">
      <c r="A53" s="628"/>
      <c r="B53" s="395" t="s">
        <v>100</v>
      </c>
      <c r="C53" s="402">
        <v>125896680.00000001</v>
      </c>
      <c r="D53" s="397">
        <v>16</v>
      </c>
      <c r="E53" s="398">
        <v>14</v>
      </c>
      <c r="F53" s="399">
        <v>92599819.792400002</v>
      </c>
      <c r="G53" s="400">
        <f t="shared" si="38"/>
        <v>-33296860.207600012</v>
      </c>
      <c r="H53" s="401">
        <f t="shared" si="39"/>
        <v>0.7355223330146593</v>
      </c>
      <c r="I53" s="192">
        <f t="shared" si="40"/>
        <v>185199.6395848</v>
      </c>
      <c r="K53" s="216"/>
      <c r="L53" s="614"/>
      <c r="M53" s="395" t="s">
        <v>100</v>
      </c>
      <c r="N53" s="402">
        <v>213127200</v>
      </c>
      <c r="O53" s="397">
        <v>12</v>
      </c>
      <c r="P53" s="398">
        <v>7</v>
      </c>
      <c r="Q53" s="399">
        <v>35203627.612599999</v>
      </c>
      <c r="R53" s="400">
        <f t="shared" si="41"/>
        <v>-177923572.3874</v>
      </c>
      <c r="S53" s="401">
        <f t="shared" si="42"/>
        <v>0.16517660632992878</v>
      </c>
      <c r="T53" s="192">
        <f t="shared" si="43"/>
        <v>0</v>
      </c>
    </row>
    <row r="54" spans="1:20" ht="14.5" customHeight="1" x14ac:dyDescent="0.4">
      <c r="A54" s="628"/>
      <c r="B54" s="395" t="s">
        <v>101</v>
      </c>
      <c r="C54" s="402">
        <v>179852400</v>
      </c>
      <c r="D54" s="397">
        <v>13</v>
      </c>
      <c r="E54" s="398">
        <v>11</v>
      </c>
      <c r="F54" s="399">
        <v>128579693.1353</v>
      </c>
      <c r="G54" s="400">
        <f t="shared" si="38"/>
        <v>-51272706.864700004</v>
      </c>
      <c r="H54" s="401">
        <f t="shared" si="39"/>
        <v>0.7149178611756084</v>
      </c>
      <c r="I54" s="192">
        <f t="shared" si="40"/>
        <v>257159.38627059999</v>
      </c>
      <c r="K54" s="216"/>
      <c r="L54" s="614"/>
      <c r="M54" s="395" t="s">
        <v>101</v>
      </c>
      <c r="N54" s="402">
        <v>213127200</v>
      </c>
      <c r="O54" s="397">
        <v>9</v>
      </c>
      <c r="P54" s="398">
        <v>7</v>
      </c>
      <c r="Q54" s="399">
        <v>26663808.108299997</v>
      </c>
      <c r="R54" s="400">
        <f t="shared" si="41"/>
        <v>-186463391.8917</v>
      </c>
      <c r="S54" s="401">
        <f t="shared" si="42"/>
        <v>0.12510748561563234</v>
      </c>
      <c r="T54" s="192">
        <f t="shared" si="43"/>
        <v>0</v>
      </c>
    </row>
    <row r="55" spans="1:20" ht="14.5" customHeight="1" thickBot="1" x14ac:dyDescent="0.45">
      <c r="A55" s="628"/>
      <c r="B55" s="403" t="s">
        <v>77</v>
      </c>
      <c r="C55" s="404">
        <f t="shared" ref="C55" si="44">SUM(C49:C54)</f>
        <v>1798524000</v>
      </c>
      <c r="D55" s="405">
        <f>SUM(D49:D54)</f>
        <v>111</v>
      </c>
      <c r="E55" s="406">
        <f t="shared" ref="E55" si="45">SUM(E49:E54)</f>
        <v>101</v>
      </c>
      <c r="F55" s="404">
        <f>SUM(F49:F54)</f>
        <v>1660054321.190099</v>
      </c>
      <c r="G55" s="404">
        <f t="shared" si="38"/>
        <v>-138469678.809901</v>
      </c>
      <c r="H55" s="407">
        <f t="shared" si="39"/>
        <v>0.92300926826114027</v>
      </c>
      <c r="I55" s="197">
        <f>SUM(I49:I54)</f>
        <v>6182673.078394698</v>
      </c>
      <c r="L55" s="615"/>
      <c r="M55" s="446" t="s">
        <v>77</v>
      </c>
      <c r="N55" s="447">
        <f t="shared" ref="N55" si="46">SUM(N49:N54)</f>
        <v>1937520000</v>
      </c>
      <c r="O55" s="448">
        <f>SUM(O49:O54)</f>
        <v>81</v>
      </c>
      <c r="P55" s="449">
        <f t="shared" ref="P55" si="47">SUM(P49:P54)</f>
        <v>62</v>
      </c>
      <c r="Q55" s="447">
        <f>SUM(Q49:Q54)</f>
        <v>1030744922.5233998</v>
      </c>
      <c r="R55" s="447">
        <f t="shared" si="41"/>
        <v>-906775077.47660017</v>
      </c>
      <c r="S55" s="450">
        <f t="shared" si="42"/>
        <v>0.53199188783775131</v>
      </c>
      <c r="T55" s="197">
        <f>SUM(T49:T54)</f>
        <v>2424648.2229731996</v>
      </c>
    </row>
    <row r="56" spans="1:20" x14ac:dyDescent="0.4">
      <c r="B56" s="408" t="str">
        <f>$B$12</f>
        <v>TARGET Q3</v>
      </c>
      <c r="C56" s="409">
        <v>1618671600</v>
      </c>
      <c r="D56" s="431"/>
      <c r="E56" s="431"/>
      <c r="F56" s="409">
        <f>F55</f>
        <v>1660054321.190099</v>
      </c>
      <c r="G56" s="409">
        <f t="shared" si="38"/>
        <v>41382721.190099001</v>
      </c>
      <c r="H56" s="410">
        <f>F56/C56</f>
        <v>1.0255658536234891</v>
      </c>
      <c r="I56" s="192">
        <f>IF(H56&gt;=1,3500000,IF(H56&gt;=0.9,2500000,0))</f>
        <v>3500000</v>
      </c>
      <c r="M56" s="408" t="str">
        <f>$B$12</f>
        <v>TARGET Q3</v>
      </c>
      <c r="N56" s="409">
        <v>1743768000</v>
      </c>
      <c r="O56" s="431"/>
      <c r="P56" s="431"/>
      <c r="Q56" s="409">
        <f>Q55</f>
        <v>1030744922.5233998</v>
      </c>
      <c r="R56" s="409">
        <f t="shared" si="41"/>
        <v>-713023077.47660017</v>
      </c>
      <c r="S56" s="410">
        <f>Q56/N56</f>
        <v>0.59110209759750143</v>
      </c>
      <c r="T56" s="192">
        <f>IF(S56&gt;=1,3500000,IF(S56&gt;=0.9,2500000,0))</f>
        <v>0</v>
      </c>
    </row>
    <row r="57" spans="1:20" ht="16.5" thickBot="1" x14ac:dyDescent="0.45">
      <c r="B57" s="417"/>
      <c r="C57" s="412">
        <f>C56/C55</f>
        <v>0.9</v>
      </c>
      <c r="D57" s="413"/>
      <c r="E57" s="414"/>
      <c r="F57" s="415"/>
      <c r="G57" s="416"/>
      <c r="H57" s="413"/>
      <c r="N57" s="412">
        <f>N56/N55</f>
        <v>0.9</v>
      </c>
    </row>
    <row r="58" spans="1:20" ht="19.5" customHeight="1" x14ac:dyDescent="0.35">
      <c r="A58" s="626">
        <v>6</v>
      </c>
      <c r="B58" s="390" t="s">
        <v>57</v>
      </c>
      <c r="C58" s="391" t="s">
        <v>34</v>
      </c>
      <c r="D58" s="657" t="s">
        <v>179</v>
      </c>
      <c r="E58" s="658"/>
      <c r="F58" s="658"/>
      <c r="G58" s="659"/>
      <c r="H58" s="390" t="s">
        <v>66</v>
      </c>
      <c r="L58" s="618">
        <v>6</v>
      </c>
      <c r="M58" s="440" t="s">
        <v>57</v>
      </c>
      <c r="N58" s="441" t="s">
        <v>51</v>
      </c>
      <c r="O58" s="647" t="s">
        <v>179</v>
      </c>
      <c r="P58" s="648"/>
      <c r="Q58" s="648"/>
      <c r="R58" s="649"/>
      <c r="S58" s="440" t="s">
        <v>66</v>
      </c>
    </row>
    <row r="59" spans="1:20" ht="36" customHeight="1" x14ac:dyDescent="0.35">
      <c r="A59" s="626"/>
      <c r="B59" s="390" t="s">
        <v>93</v>
      </c>
      <c r="C59" s="391" t="s">
        <v>94</v>
      </c>
      <c r="D59" s="392" t="s">
        <v>91</v>
      </c>
      <c r="E59" s="392" t="s">
        <v>62</v>
      </c>
      <c r="F59" s="393" t="str">
        <f>"OMSET "&amp;UPPER(TEXT($B$1,"MMM"))&amp;CHAR(10)&amp;" (1-"&amp;DAY($B$1)&amp;")"</f>
        <v>OMSET AGU
 (1-31)</v>
      </c>
      <c r="G59" s="391" t="s">
        <v>65</v>
      </c>
      <c r="H59" s="394">
        <f>100/DAY(EOMONTH($B$1,0))*DAY($B$1)/100</f>
        <v>1</v>
      </c>
      <c r="L59" s="619"/>
      <c r="M59" s="440" t="s">
        <v>93</v>
      </c>
      <c r="N59" s="441" t="s">
        <v>94</v>
      </c>
      <c r="O59" s="442" t="s">
        <v>91</v>
      </c>
      <c r="P59" s="442" t="s">
        <v>62</v>
      </c>
      <c r="Q59" s="443" t="str">
        <f>F59</f>
        <v>OMSET AGU
 (1-31)</v>
      </c>
      <c r="R59" s="444" t="s">
        <v>65</v>
      </c>
      <c r="S59" s="445">
        <f>H59</f>
        <v>1</v>
      </c>
    </row>
    <row r="60" spans="1:20" ht="14.5" customHeight="1" x14ac:dyDescent="0.4">
      <c r="A60" s="626"/>
      <c r="B60" s="395" t="s">
        <v>96</v>
      </c>
      <c r="C60" s="396">
        <v>135247320</v>
      </c>
      <c r="D60" s="397">
        <v>17</v>
      </c>
      <c r="E60" s="398">
        <v>15</v>
      </c>
      <c r="F60" s="399">
        <v>84195586.153100014</v>
      </c>
      <c r="G60" s="400">
        <f>F60-C60</f>
        <v>-51051733.846899986</v>
      </c>
      <c r="H60" s="401">
        <f>F60/C60</f>
        <v>0.62253053260574787</v>
      </c>
      <c r="I60" s="192">
        <f>IF(H60&gt;120%,F60* 0.55%, IF(H60&gt;100%,F60* 0.45%, IF(H60&gt;80%,F60* 0.35%, IF(H60&gt;60%,F60* 0.2%, 0))))</f>
        <v>168391.17230620002</v>
      </c>
      <c r="L60" s="619"/>
      <c r="M60" s="395" t="s">
        <v>96</v>
      </c>
      <c r="N60" s="396">
        <v>232502400</v>
      </c>
      <c r="O60" s="397">
        <v>12</v>
      </c>
      <c r="P60" s="398">
        <v>12</v>
      </c>
      <c r="Q60" s="399">
        <v>120146711.71170001</v>
      </c>
      <c r="R60" s="400">
        <f>Q60-N60</f>
        <v>-112355688.28829999</v>
      </c>
      <c r="S60" s="401">
        <f>Q60/N60</f>
        <v>0.51675471613067225</v>
      </c>
      <c r="T60" s="192">
        <f>IF(S60&gt;120%,Q60* 0.55%, IF(S60&gt;100%,Q60* 0.45%, IF(S60&gt;80%,Q60* 0.35%, IF(S60&gt;60%,Q60* 0.2%, 0))))</f>
        <v>0</v>
      </c>
    </row>
    <row r="61" spans="1:20" ht="14.5" customHeight="1" x14ac:dyDescent="0.4">
      <c r="A61" s="626"/>
      <c r="B61" s="395" t="s">
        <v>97</v>
      </c>
      <c r="C61" s="402">
        <v>156054600</v>
      </c>
      <c r="D61" s="397">
        <v>10</v>
      </c>
      <c r="E61" s="398">
        <v>9</v>
      </c>
      <c r="F61" s="399">
        <v>110106997.29680003</v>
      </c>
      <c r="G61" s="400">
        <f t="shared" ref="G61:G67" si="48">F61-C61</f>
        <v>-45947602.703199968</v>
      </c>
      <c r="H61" s="401">
        <f t="shared" ref="H61:H66" si="49">F61/C61</f>
        <v>0.70556713673803928</v>
      </c>
      <c r="I61" s="192">
        <f t="shared" ref="I61:I65" si="50">IF(H61&gt;120%,F61* 0.55%, IF(H61&gt;100%,F61* 0.45%, IF(H61&gt;80%,F61* 0.35%, IF(H61&gt;60%,F61* 0.2%, 0))))</f>
        <v>220213.99459360007</v>
      </c>
      <c r="L61" s="619"/>
      <c r="M61" s="395" t="s">
        <v>97</v>
      </c>
      <c r="N61" s="402">
        <v>219585600.00000003</v>
      </c>
      <c r="O61" s="397">
        <v>18</v>
      </c>
      <c r="P61" s="398">
        <v>16</v>
      </c>
      <c r="Q61" s="399">
        <v>89223710.810900003</v>
      </c>
      <c r="R61" s="400">
        <f t="shared" ref="R61:R67" si="51">Q61-N61</f>
        <v>-130361889.18910003</v>
      </c>
      <c r="S61" s="401">
        <f t="shared" ref="S61:S66" si="52">Q61/N61</f>
        <v>0.40632769549050574</v>
      </c>
      <c r="T61" s="192">
        <f t="shared" ref="T61:T65" si="53">IF(S61&gt;120%,Q61* 0.55%, IF(S61&gt;100%,Q61* 0.45%, IF(S61&gt;80%,Q61* 0.35%, IF(S61&gt;60%,Q61* 0.2%, 0))))</f>
        <v>0</v>
      </c>
    </row>
    <row r="62" spans="1:20" ht="14.5" customHeight="1" x14ac:dyDescent="0.4">
      <c r="A62" s="626"/>
      <c r="B62" s="395" t="s">
        <v>98</v>
      </c>
      <c r="C62" s="402">
        <v>239283720</v>
      </c>
      <c r="D62" s="397">
        <v>16</v>
      </c>
      <c r="E62" s="398">
        <v>14</v>
      </c>
      <c r="F62" s="399">
        <v>95254875.675799966</v>
      </c>
      <c r="G62" s="400">
        <f t="shared" si="48"/>
        <v>-144028844.32420003</v>
      </c>
      <c r="H62" s="401">
        <f t="shared" si="49"/>
        <v>0.39808339520883396</v>
      </c>
      <c r="I62" s="192">
        <f t="shared" si="50"/>
        <v>0</v>
      </c>
      <c r="L62" s="619"/>
      <c r="M62" s="395" t="s">
        <v>98</v>
      </c>
      <c r="N62" s="402">
        <v>284169600</v>
      </c>
      <c r="O62" s="397">
        <v>13</v>
      </c>
      <c r="P62" s="398">
        <v>8</v>
      </c>
      <c r="Q62" s="399">
        <v>209136397.29679993</v>
      </c>
      <c r="R62" s="400">
        <f t="shared" si="51"/>
        <v>-75033202.703200072</v>
      </c>
      <c r="S62" s="401">
        <f t="shared" si="52"/>
        <v>0.73595626448712292</v>
      </c>
      <c r="T62" s="192">
        <f t="shared" si="53"/>
        <v>418272.79459359986</v>
      </c>
    </row>
    <row r="63" spans="1:20" ht="14.5" customHeight="1" x14ac:dyDescent="0.4">
      <c r="A63" s="626"/>
      <c r="B63" s="395" t="s">
        <v>99</v>
      </c>
      <c r="C63" s="402">
        <v>218476440</v>
      </c>
      <c r="D63" s="397">
        <v>15</v>
      </c>
      <c r="E63" s="398">
        <v>15</v>
      </c>
      <c r="F63" s="399">
        <v>143061787.56800002</v>
      </c>
      <c r="G63" s="400">
        <f t="shared" si="48"/>
        <v>-75414652.431999981</v>
      </c>
      <c r="H63" s="401">
        <f t="shared" si="49"/>
        <v>0.6548156294015044</v>
      </c>
      <c r="I63" s="192">
        <f t="shared" si="50"/>
        <v>286123.57513600006</v>
      </c>
      <c r="L63" s="619"/>
      <c r="M63" s="395" t="s">
        <v>99</v>
      </c>
      <c r="N63" s="402">
        <v>258336000</v>
      </c>
      <c r="O63" s="397">
        <v>13</v>
      </c>
      <c r="P63" s="398">
        <v>13</v>
      </c>
      <c r="Q63" s="399">
        <v>211000964.44140005</v>
      </c>
      <c r="R63" s="400">
        <f t="shared" si="51"/>
        <v>-47335035.558599949</v>
      </c>
      <c r="S63" s="401">
        <f t="shared" si="52"/>
        <v>0.81676949570094781</v>
      </c>
      <c r="T63" s="192">
        <f t="shared" si="53"/>
        <v>738503.37554490007</v>
      </c>
    </row>
    <row r="64" spans="1:20" ht="14.5" customHeight="1" x14ac:dyDescent="0.4">
      <c r="A64" s="626"/>
      <c r="B64" s="395" t="s">
        <v>100</v>
      </c>
      <c r="C64" s="402">
        <v>135247320</v>
      </c>
      <c r="D64" s="397">
        <v>13</v>
      </c>
      <c r="E64" s="398">
        <v>13</v>
      </c>
      <c r="F64" s="399">
        <v>110026456.75580008</v>
      </c>
      <c r="G64" s="400">
        <f t="shared" si="48"/>
        <v>-25220863.244199917</v>
      </c>
      <c r="H64" s="401">
        <f t="shared" si="49"/>
        <v>0.81352042137175129</v>
      </c>
      <c r="I64" s="192">
        <f t="shared" si="50"/>
        <v>385092.59864530026</v>
      </c>
      <c r="L64" s="619"/>
      <c r="M64" s="395" t="s">
        <v>100</v>
      </c>
      <c r="N64" s="402">
        <v>142084800</v>
      </c>
      <c r="O64" s="397">
        <v>10</v>
      </c>
      <c r="P64" s="398">
        <v>7</v>
      </c>
      <c r="Q64" s="399">
        <v>47269684.684500001</v>
      </c>
      <c r="R64" s="400">
        <f t="shared" si="51"/>
        <v>-94815115.315499991</v>
      </c>
      <c r="S64" s="401">
        <f t="shared" si="52"/>
        <v>0.33268642869962162</v>
      </c>
      <c r="T64" s="192">
        <f t="shared" si="53"/>
        <v>0</v>
      </c>
    </row>
    <row r="65" spans="1:20" ht="14.5" customHeight="1" x14ac:dyDescent="0.4">
      <c r="A65" s="626"/>
      <c r="B65" s="395" t="s">
        <v>101</v>
      </c>
      <c r="C65" s="402">
        <v>156054600</v>
      </c>
      <c r="D65" s="397">
        <v>9</v>
      </c>
      <c r="E65" s="398">
        <v>7</v>
      </c>
      <c r="F65" s="399">
        <v>93001733.332300007</v>
      </c>
      <c r="G65" s="400">
        <f t="shared" si="48"/>
        <v>-63052866.667699993</v>
      </c>
      <c r="H65" s="401">
        <f t="shared" si="49"/>
        <v>0.59595637252794864</v>
      </c>
      <c r="I65" s="192">
        <f t="shared" si="50"/>
        <v>0</v>
      </c>
      <c r="L65" s="619"/>
      <c r="M65" s="395" t="s">
        <v>101</v>
      </c>
      <c r="N65" s="402">
        <v>155001600</v>
      </c>
      <c r="O65" s="397">
        <v>12</v>
      </c>
      <c r="P65" s="398">
        <v>9</v>
      </c>
      <c r="Q65" s="399">
        <v>36064706.306299999</v>
      </c>
      <c r="R65" s="400">
        <f t="shared" si="51"/>
        <v>-118936893.6937</v>
      </c>
      <c r="S65" s="401">
        <f t="shared" si="52"/>
        <v>0.23267312276970042</v>
      </c>
      <c r="T65" s="192">
        <f t="shared" si="53"/>
        <v>0</v>
      </c>
    </row>
    <row r="66" spans="1:20" ht="15" customHeight="1" thickBot="1" x14ac:dyDescent="0.45">
      <c r="A66" s="626"/>
      <c r="B66" s="403" t="s">
        <v>77</v>
      </c>
      <c r="C66" s="404">
        <f t="shared" ref="C66" si="54">SUM(C60:C65)</f>
        <v>1040364000</v>
      </c>
      <c r="D66" s="405">
        <f>SUM(D60:D65)</f>
        <v>80</v>
      </c>
      <c r="E66" s="406">
        <f t="shared" ref="E66" si="55">SUM(E60:E65)</f>
        <v>73</v>
      </c>
      <c r="F66" s="404">
        <f>SUM(F60:F65)</f>
        <v>635647436.78180003</v>
      </c>
      <c r="G66" s="404">
        <f t="shared" si="48"/>
        <v>-404716563.21819997</v>
      </c>
      <c r="H66" s="407">
        <f t="shared" si="49"/>
        <v>0.61098561347932068</v>
      </c>
      <c r="I66" s="197">
        <f>SUM(I60:I65)</f>
        <v>1059821.3406811003</v>
      </c>
      <c r="L66" s="620"/>
      <c r="M66" s="446" t="s">
        <v>77</v>
      </c>
      <c r="N66" s="447">
        <f t="shared" ref="N66" si="56">SUM(N60:N65)</f>
        <v>1291680000</v>
      </c>
      <c r="O66" s="448">
        <f>SUM(O60:O65)</f>
        <v>78</v>
      </c>
      <c r="P66" s="449">
        <f t="shared" ref="P66" si="57">SUM(P60:P65)</f>
        <v>65</v>
      </c>
      <c r="Q66" s="447">
        <f>SUM(Q60:Q65)</f>
        <v>712842175.25160003</v>
      </c>
      <c r="R66" s="447">
        <f t="shared" si="51"/>
        <v>-578837824.74839997</v>
      </c>
      <c r="S66" s="450">
        <f t="shared" si="52"/>
        <v>0.55187211635358602</v>
      </c>
      <c r="T66" s="197">
        <f>SUM(T60:T65)</f>
        <v>1156776.1701384999</v>
      </c>
    </row>
    <row r="67" spans="1:20" x14ac:dyDescent="0.4">
      <c r="B67" s="408" t="str">
        <f>$B$12</f>
        <v>TARGET Q3</v>
      </c>
      <c r="C67" s="409">
        <v>936327600</v>
      </c>
      <c r="D67" s="431"/>
      <c r="E67" s="431"/>
      <c r="F67" s="409">
        <f>F66</f>
        <v>635647436.78180003</v>
      </c>
      <c r="G67" s="409">
        <f t="shared" si="48"/>
        <v>-300680163.21819997</v>
      </c>
      <c r="H67" s="410">
        <f>F67/C67</f>
        <v>0.67887290386591193</v>
      </c>
      <c r="I67" s="192">
        <f>IF(H67&gt;=1,3500000,IF(H67&gt;=0.9,2500000,0))</f>
        <v>0</v>
      </c>
      <c r="M67" s="408" t="str">
        <f>$B$12</f>
        <v>TARGET Q3</v>
      </c>
      <c r="N67" s="409">
        <v>1162512000</v>
      </c>
      <c r="O67" s="431"/>
      <c r="P67" s="431"/>
      <c r="Q67" s="409">
        <f>Q66</f>
        <v>712842175.25160003</v>
      </c>
      <c r="R67" s="409">
        <f t="shared" si="51"/>
        <v>-449669824.74839997</v>
      </c>
      <c r="S67" s="410">
        <f>Q67/N67</f>
        <v>0.61319124039287343</v>
      </c>
      <c r="T67" s="192">
        <f>IF(S67&gt;=1,3500000,IF(S67&gt;=0.9,2500000,0))</f>
        <v>0</v>
      </c>
    </row>
    <row r="68" spans="1:20" ht="16.5" thickBot="1" x14ac:dyDescent="0.45">
      <c r="B68" s="417"/>
      <c r="C68" s="412">
        <f>C67/C66</f>
        <v>0.9</v>
      </c>
      <c r="D68" s="413"/>
      <c r="E68" s="414"/>
      <c r="F68" s="415"/>
      <c r="G68" s="416"/>
      <c r="H68" s="413"/>
      <c r="N68" s="412">
        <f>N67/N66</f>
        <v>0.9</v>
      </c>
    </row>
    <row r="69" spans="1:20" ht="19.5" customHeight="1" x14ac:dyDescent="0.35">
      <c r="A69" s="623">
        <v>7</v>
      </c>
      <c r="B69" s="390" t="s">
        <v>57</v>
      </c>
      <c r="C69" s="391" t="s">
        <v>166</v>
      </c>
      <c r="D69" s="657" t="s">
        <v>180</v>
      </c>
      <c r="E69" s="658"/>
      <c r="F69" s="658"/>
      <c r="G69" s="659"/>
      <c r="H69" s="390" t="s">
        <v>66</v>
      </c>
      <c r="L69" s="607">
        <v>7</v>
      </c>
      <c r="M69" s="440" t="s">
        <v>57</v>
      </c>
      <c r="N69" s="441" t="s">
        <v>186</v>
      </c>
      <c r="O69" s="647" t="s">
        <v>180</v>
      </c>
      <c r="P69" s="648"/>
      <c r="Q69" s="648"/>
      <c r="R69" s="649"/>
      <c r="S69" s="440" t="s">
        <v>66</v>
      </c>
    </row>
    <row r="70" spans="1:20" ht="36" customHeight="1" x14ac:dyDescent="0.35">
      <c r="A70" s="623"/>
      <c r="B70" s="390" t="s">
        <v>93</v>
      </c>
      <c r="C70" s="391" t="s">
        <v>94</v>
      </c>
      <c r="D70" s="392" t="s">
        <v>91</v>
      </c>
      <c r="E70" s="392" t="s">
        <v>62</v>
      </c>
      <c r="F70" s="393" t="str">
        <f>"OMSET "&amp;UPPER(TEXT($B$1,"MMM"))&amp;CHAR(10)&amp;" (1-"&amp;DAY($B$1)&amp;")"</f>
        <v>OMSET AGU
 (1-31)</v>
      </c>
      <c r="G70" s="391" t="s">
        <v>65</v>
      </c>
      <c r="H70" s="394">
        <f>100/DAY(EOMONTH($B$1,0))*DAY($B$1)/100</f>
        <v>1</v>
      </c>
      <c r="L70" s="608"/>
      <c r="M70" s="440" t="s">
        <v>93</v>
      </c>
      <c r="N70" s="441" t="s">
        <v>94</v>
      </c>
      <c r="O70" s="442" t="s">
        <v>91</v>
      </c>
      <c r="P70" s="442" t="s">
        <v>62</v>
      </c>
      <c r="Q70" s="443" t="str">
        <f>F70</f>
        <v>OMSET AGU
 (1-31)</v>
      </c>
      <c r="R70" s="444" t="s">
        <v>65</v>
      </c>
      <c r="S70" s="445">
        <f>H70</f>
        <v>1</v>
      </c>
    </row>
    <row r="71" spans="1:20" ht="14.5" customHeight="1" x14ac:dyDescent="0.4">
      <c r="A71" s="623"/>
      <c r="B71" s="395" t="s">
        <v>96</v>
      </c>
      <c r="C71" s="396">
        <v>136890000</v>
      </c>
      <c r="D71" s="397">
        <v>15</v>
      </c>
      <c r="E71" s="398">
        <v>14</v>
      </c>
      <c r="F71" s="399">
        <v>55373571.170999974</v>
      </c>
      <c r="G71" s="400">
        <f>F71-C71</f>
        <v>-81516428.829000026</v>
      </c>
      <c r="H71" s="401">
        <f>F71/C71</f>
        <v>0.40451144109138704</v>
      </c>
      <c r="I71" s="192">
        <f>IF(H71&gt;120%,F71* 0.55%, IF(H71&gt;100%,F71* 0.45%, IF(H71&gt;80%,F71* 0.35%, IF(H71&gt;60%,F71* 0.2%, 0))))</f>
        <v>0</v>
      </c>
      <c r="J71" s="191"/>
      <c r="K71" s="191"/>
      <c r="L71" s="608"/>
      <c r="M71" s="395" t="s">
        <v>96</v>
      </c>
      <c r="N71" s="396">
        <v>232502400</v>
      </c>
      <c r="O71" s="397">
        <v>21</v>
      </c>
      <c r="P71" s="398">
        <v>20</v>
      </c>
      <c r="Q71" s="399">
        <v>200044146.03590006</v>
      </c>
      <c r="R71" s="400">
        <f t="shared" ref="R71:R77" si="58">Q71-N71</f>
        <v>-32458253.964099944</v>
      </c>
      <c r="S71" s="401">
        <f t="shared" ref="S71:S78" si="59">Q71/N71</f>
        <v>0.86039604767907796</v>
      </c>
      <c r="T71" s="192">
        <f t="shared" ref="T71:T76" si="60">IF(S71&gt;120%,Q71* 0.55%, IF(S71&gt;100%,Q71* 0.45%, IF(S71&gt;80%,Q71* 0.35%, IF(S71&gt;60%,Q71* 0.2%, 0))))</f>
        <v>700154.51112565014</v>
      </c>
    </row>
    <row r="72" spans="1:20" ht="14.5" customHeight="1" x14ac:dyDescent="0.4">
      <c r="A72" s="623"/>
      <c r="B72" s="395" t="s">
        <v>97</v>
      </c>
      <c r="C72" s="402">
        <v>164268000</v>
      </c>
      <c r="D72" s="397">
        <v>16</v>
      </c>
      <c r="E72" s="398">
        <v>14</v>
      </c>
      <c r="F72" s="399">
        <v>102970216.21569997</v>
      </c>
      <c r="G72" s="400">
        <f t="shared" ref="G72:G78" si="61">F72-C72</f>
        <v>-61297783.784300029</v>
      </c>
      <c r="H72" s="401">
        <f t="shared" ref="H72:H77" si="62">F72/C72</f>
        <v>0.62684281914736872</v>
      </c>
      <c r="I72" s="192">
        <f t="shared" ref="I72:I76" si="63">IF(H72&gt;120%,F72* 0.55%, IF(H72&gt;100%,F72* 0.45%, IF(H72&gt;80%,F72* 0.35%, IF(H72&gt;60%,F72* 0.2%, 0))))</f>
        <v>205940.43243139994</v>
      </c>
      <c r="J72" s="191"/>
      <c r="K72" s="191"/>
      <c r="L72" s="608"/>
      <c r="M72" s="395" t="s">
        <v>97</v>
      </c>
      <c r="N72" s="402">
        <v>167918400</v>
      </c>
      <c r="O72" s="397">
        <v>16</v>
      </c>
      <c r="P72" s="398">
        <v>16</v>
      </c>
      <c r="Q72" s="399">
        <v>71326642.342399999</v>
      </c>
      <c r="R72" s="400">
        <f t="shared" si="58"/>
        <v>-96591757.657600001</v>
      </c>
      <c r="S72" s="401">
        <f t="shared" si="59"/>
        <v>0.42476966397011884</v>
      </c>
      <c r="T72" s="192">
        <f t="shared" si="60"/>
        <v>0</v>
      </c>
    </row>
    <row r="73" spans="1:20" ht="14.5" customHeight="1" x14ac:dyDescent="0.4">
      <c r="A73" s="623"/>
      <c r="B73" s="395" t="s">
        <v>98</v>
      </c>
      <c r="C73" s="402">
        <v>232713000.00000003</v>
      </c>
      <c r="D73" s="397">
        <v>18</v>
      </c>
      <c r="E73" s="398">
        <v>16</v>
      </c>
      <c r="F73" s="399">
        <v>185175281.18950003</v>
      </c>
      <c r="G73" s="400">
        <f t="shared" si="61"/>
        <v>-47537718.810499996</v>
      </c>
      <c r="H73" s="401">
        <f t="shared" si="62"/>
        <v>0.79572383661205004</v>
      </c>
      <c r="I73" s="192">
        <f t="shared" si="63"/>
        <v>370350.56237900007</v>
      </c>
      <c r="J73" s="191"/>
      <c r="K73" s="191"/>
      <c r="L73" s="608"/>
      <c r="M73" s="395" t="s">
        <v>98</v>
      </c>
      <c r="N73" s="402">
        <v>258336000</v>
      </c>
      <c r="O73" s="397">
        <v>14</v>
      </c>
      <c r="P73" s="398">
        <v>12</v>
      </c>
      <c r="Q73" s="399">
        <v>153721706.75640005</v>
      </c>
      <c r="R73" s="400">
        <f t="shared" si="58"/>
        <v>-104614293.24359995</v>
      </c>
      <c r="S73" s="401">
        <f t="shared" si="59"/>
        <v>0.59504562568283181</v>
      </c>
      <c r="T73" s="192">
        <f t="shared" si="60"/>
        <v>0</v>
      </c>
    </row>
    <row r="74" spans="1:20" ht="14.5" customHeight="1" x14ac:dyDescent="0.4">
      <c r="A74" s="623"/>
      <c r="B74" s="395" t="s">
        <v>99</v>
      </c>
      <c r="C74" s="402">
        <v>273780000</v>
      </c>
      <c r="D74" s="397">
        <v>19</v>
      </c>
      <c r="E74" s="398">
        <v>15</v>
      </c>
      <c r="F74" s="399">
        <v>136147400.53149998</v>
      </c>
      <c r="G74" s="400">
        <f t="shared" si="61"/>
        <v>-137632599.46850002</v>
      </c>
      <c r="H74" s="401">
        <f t="shared" si="62"/>
        <v>0.49728760512637876</v>
      </c>
      <c r="I74" s="192">
        <f t="shared" si="63"/>
        <v>0</v>
      </c>
      <c r="J74" s="191"/>
      <c r="K74" s="191"/>
      <c r="L74" s="608"/>
      <c r="M74" s="395" t="s">
        <v>99</v>
      </c>
      <c r="N74" s="402">
        <v>129168000</v>
      </c>
      <c r="O74" s="397">
        <v>11</v>
      </c>
      <c r="P74" s="398">
        <v>7</v>
      </c>
      <c r="Q74" s="399">
        <v>49356425.675400026</v>
      </c>
      <c r="R74" s="400">
        <f t="shared" si="58"/>
        <v>-79811574.324599981</v>
      </c>
      <c r="S74" s="401">
        <f t="shared" si="59"/>
        <v>0.38211031892883707</v>
      </c>
      <c r="T74" s="192">
        <f t="shared" si="60"/>
        <v>0</v>
      </c>
    </row>
    <row r="75" spans="1:20" ht="14.5" customHeight="1" x14ac:dyDescent="0.4">
      <c r="A75" s="623"/>
      <c r="B75" s="395" t="s">
        <v>100</v>
      </c>
      <c r="C75" s="402">
        <v>246402000</v>
      </c>
      <c r="D75" s="397">
        <v>17</v>
      </c>
      <c r="E75" s="398">
        <v>14</v>
      </c>
      <c r="F75" s="399">
        <v>189983341.38779995</v>
      </c>
      <c r="G75" s="400">
        <f t="shared" si="61"/>
        <v>-56418658.612200052</v>
      </c>
      <c r="H75" s="401">
        <f t="shared" si="62"/>
        <v>0.77103002973920642</v>
      </c>
      <c r="I75" s="192">
        <f t="shared" si="63"/>
        <v>379966.68277559988</v>
      </c>
      <c r="J75" s="191"/>
      <c r="K75" s="191"/>
      <c r="L75" s="608"/>
      <c r="M75" s="395" t="s">
        <v>100</v>
      </c>
      <c r="N75" s="402">
        <v>232502400</v>
      </c>
      <c r="O75" s="397">
        <v>15</v>
      </c>
      <c r="P75" s="398">
        <v>13</v>
      </c>
      <c r="Q75" s="399">
        <v>77632923.423299983</v>
      </c>
      <c r="R75" s="400">
        <f t="shared" si="58"/>
        <v>-154869476.57670003</v>
      </c>
      <c r="S75" s="401">
        <f t="shared" si="59"/>
        <v>0.33390160025573923</v>
      </c>
      <c r="T75" s="192">
        <f t="shared" si="60"/>
        <v>0</v>
      </c>
    </row>
    <row r="76" spans="1:20" ht="14.5" customHeight="1" x14ac:dyDescent="0.4">
      <c r="A76" s="623"/>
      <c r="B76" s="395" t="s">
        <v>101</v>
      </c>
      <c r="C76" s="402">
        <v>314847000</v>
      </c>
      <c r="D76" s="397">
        <v>13</v>
      </c>
      <c r="E76" s="398">
        <v>12</v>
      </c>
      <c r="F76" s="399">
        <v>194804513.60759988</v>
      </c>
      <c r="G76" s="400">
        <f t="shared" si="61"/>
        <v>-120042486.39240012</v>
      </c>
      <c r="H76" s="401">
        <f t="shared" si="62"/>
        <v>0.61872755213675179</v>
      </c>
      <c r="I76" s="192">
        <f t="shared" si="63"/>
        <v>389609.02721519978</v>
      </c>
      <c r="J76" s="191"/>
      <c r="K76" s="191"/>
      <c r="L76" s="608"/>
      <c r="M76" s="395" t="s">
        <v>101</v>
      </c>
      <c r="N76" s="402">
        <v>271252800</v>
      </c>
      <c r="O76" s="397">
        <v>9</v>
      </c>
      <c r="P76" s="398">
        <v>7</v>
      </c>
      <c r="Q76" s="399">
        <v>170530906.30629995</v>
      </c>
      <c r="R76" s="400">
        <f t="shared" si="58"/>
        <v>-100721893.69370005</v>
      </c>
      <c r="S76" s="401">
        <f t="shared" si="59"/>
        <v>0.62867887928272059</v>
      </c>
      <c r="T76" s="192">
        <f t="shared" si="60"/>
        <v>341061.81261259993</v>
      </c>
    </row>
    <row r="77" spans="1:20" ht="14.5" customHeight="1" thickBot="1" x14ac:dyDescent="0.45">
      <c r="A77" s="623"/>
      <c r="B77" s="403" t="s">
        <v>77</v>
      </c>
      <c r="C77" s="404">
        <f t="shared" ref="C77" si="64">SUM(C71:C76)</f>
        <v>1368900000</v>
      </c>
      <c r="D77" s="405">
        <f>SUM(D71:D76)</f>
        <v>98</v>
      </c>
      <c r="E77" s="406">
        <f t="shared" ref="E77" si="65">SUM(E71:E76)</f>
        <v>85</v>
      </c>
      <c r="F77" s="404">
        <f>SUM(F71:F76)</f>
        <v>864454324.10309982</v>
      </c>
      <c r="G77" s="404">
        <f t="shared" si="61"/>
        <v>-504445675.89690018</v>
      </c>
      <c r="H77" s="407">
        <f t="shared" si="62"/>
        <v>0.63149559800065735</v>
      </c>
      <c r="I77" s="197">
        <f>SUM(I71:I76)</f>
        <v>1345866.7048011997</v>
      </c>
      <c r="K77" s="191"/>
      <c r="L77" s="609"/>
      <c r="M77" s="446" t="s">
        <v>77</v>
      </c>
      <c r="N77" s="447">
        <f>SUM(N71:N76)</f>
        <v>1291680000</v>
      </c>
      <c r="O77" s="448">
        <f>SUM(O71:O76)</f>
        <v>86</v>
      </c>
      <c r="P77" s="449">
        <f>SUM(P71:P76)</f>
        <v>75</v>
      </c>
      <c r="Q77" s="447">
        <f>SUM(Q71:Q76)</f>
        <v>722612750.53970003</v>
      </c>
      <c r="R77" s="447">
        <f t="shared" si="58"/>
        <v>-569067249.46029997</v>
      </c>
      <c r="S77" s="450">
        <f t="shared" si="59"/>
        <v>0.55943635462320396</v>
      </c>
      <c r="T77" s="197">
        <f>SUM(T71:T76)</f>
        <v>1041216.3237382501</v>
      </c>
    </row>
    <row r="78" spans="1:20" ht="14.5" customHeight="1" x14ac:dyDescent="0.4">
      <c r="B78" s="408" t="str">
        <f>$B$12</f>
        <v>TARGET Q3</v>
      </c>
      <c r="C78" s="409">
        <v>1232010000</v>
      </c>
      <c r="D78" s="431"/>
      <c r="E78" s="431"/>
      <c r="F78" s="409">
        <f>F77</f>
        <v>864454324.10309982</v>
      </c>
      <c r="G78" s="409">
        <f t="shared" si="61"/>
        <v>-367555675.89690018</v>
      </c>
      <c r="H78" s="410">
        <f>F78/C78</f>
        <v>0.70166177555628595</v>
      </c>
      <c r="I78" s="192">
        <f>IF(H78&gt;=1,3500000,IF(H78&gt;=0.9,2500000,0))</f>
        <v>0</v>
      </c>
      <c r="M78" s="408" t="str">
        <f>$B$12</f>
        <v>TARGET Q3</v>
      </c>
      <c r="N78" s="409">
        <v>1162512000</v>
      </c>
      <c r="O78" s="431"/>
      <c r="P78" s="431"/>
      <c r="Q78" s="409">
        <f>Q77</f>
        <v>722612750.53970003</v>
      </c>
      <c r="R78" s="409">
        <f t="shared" ref="R78" si="66">Q78-N78</f>
        <v>-439899249.46029997</v>
      </c>
      <c r="S78" s="410">
        <f t="shared" si="59"/>
        <v>0.62159594958133768</v>
      </c>
      <c r="T78" s="192">
        <f>IF(S78&gt;=1,3500000,IF(S78&gt;=0.9,2500000,0))</f>
        <v>0</v>
      </c>
    </row>
    <row r="79" spans="1:20" ht="14.5" customHeight="1" thickBot="1" x14ac:dyDescent="0.45">
      <c r="B79" s="417"/>
      <c r="C79" s="412">
        <f>C78/C77</f>
        <v>0.9</v>
      </c>
      <c r="D79" s="413"/>
      <c r="E79" s="414"/>
      <c r="F79" s="415"/>
      <c r="G79" s="416"/>
      <c r="H79" s="413"/>
      <c r="N79" s="412">
        <f>N78/N77</f>
        <v>0.9</v>
      </c>
    </row>
    <row r="80" spans="1:20" ht="20.149999999999999" customHeight="1" x14ac:dyDescent="0.35">
      <c r="A80" s="623">
        <v>8</v>
      </c>
      <c r="B80" s="390" t="s">
        <v>57</v>
      </c>
      <c r="C80" s="391" t="s">
        <v>194</v>
      </c>
      <c r="D80" s="657" t="s">
        <v>181</v>
      </c>
      <c r="E80" s="658"/>
      <c r="F80" s="658"/>
      <c r="G80" s="659"/>
      <c r="H80" s="390" t="s">
        <v>66</v>
      </c>
      <c r="L80" s="607">
        <v>8</v>
      </c>
      <c r="M80" s="440" t="s">
        <v>57</v>
      </c>
      <c r="N80" s="441" t="s">
        <v>168</v>
      </c>
      <c r="O80" s="647" t="s">
        <v>181</v>
      </c>
      <c r="P80" s="648"/>
      <c r="Q80" s="648"/>
      <c r="R80" s="649"/>
      <c r="S80" s="440" t="s">
        <v>66</v>
      </c>
    </row>
    <row r="81" spans="1:20" ht="33" customHeight="1" x14ac:dyDescent="0.35">
      <c r="A81" s="623"/>
      <c r="B81" s="390" t="s">
        <v>93</v>
      </c>
      <c r="C81" s="391" t="s">
        <v>94</v>
      </c>
      <c r="D81" s="392" t="s">
        <v>91</v>
      </c>
      <c r="E81" s="392" t="s">
        <v>62</v>
      </c>
      <c r="F81" s="393" t="str">
        <f>"OMSET "&amp;UPPER(TEXT($B$1,"MMM"))&amp;CHAR(10)&amp;" (1-"&amp;DAY($B$1)&amp;")"</f>
        <v>OMSET AGU
 (1-31)</v>
      </c>
      <c r="G81" s="391" t="s">
        <v>65</v>
      </c>
      <c r="H81" s="394">
        <f>100/DAY(EOMONTH($B$1,0))*DAY($B$1)/100</f>
        <v>1</v>
      </c>
      <c r="L81" s="608"/>
      <c r="M81" s="440" t="s">
        <v>93</v>
      </c>
      <c r="N81" s="441" t="s">
        <v>94</v>
      </c>
      <c r="O81" s="442" t="s">
        <v>91</v>
      </c>
      <c r="P81" s="442" t="s">
        <v>62</v>
      </c>
      <c r="Q81" s="443" t="str">
        <f>F81</f>
        <v>OMSET AGU
 (1-31)</v>
      </c>
      <c r="R81" s="444" t="s">
        <v>65</v>
      </c>
      <c r="S81" s="445">
        <f>H81</f>
        <v>1</v>
      </c>
    </row>
    <row r="82" spans="1:20" ht="14.5" customHeight="1" x14ac:dyDescent="0.4">
      <c r="A82" s="623"/>
      <c r="B82" s="395" t="s">
        <v>96</v>
      </c>
      <c r="C82" s="396">
        <v>128129040</v>
      </c>
      <c r="D82" s="397">
        <v>3</v>
      </c>
      <c r="E82" s="398">
        <v>5</v>
      </c>
      <c r="F82" s="399">
        <v>60066568.468700007</v>
      </c>
      <c r="G82" s="400">
        <f>F82-C82</f>
        <v>-68062471.531299993</v>
      </c>
      <c r="H82" s="401">
        <f>F82/C82</f>
        <v>0.46879745972263592</v>
      </c>
      <c r="I82" s="192">
        <f>IF(H82&gt;120%,F82* 0.55%, IF(H82&gt;100%,F82* 0.45%, IF(H82&gt;80%,F82* 0.35%, IF(H82&gt;60%,F82* 0.2%, 0))))</f>
        <v>0</v>
      </c>
      <c r="L82" s="608"/>
      <c r="M82" s="395" t="s">
        <v>96</v>
      </c>
      <c r="N82" s="396">
        <v>114566400.00000001</v>
      </c>
      <c r="O82" s="397">
        <v>8</v>
      </c>
      <c r="P82" s="398">
        <v>7</v>
      </c>
      <c r="Q82" s="399">
        <v>41373223.423500001</v>
      </c>
      <c r="R82" s="400">
        <f>Q82-N82</f>
        <v>-73193176.576500013</v>
      </c>
      <c r="S82" s="401">
        <f>Q82/N82</f>
        <v>0.36112877268989857</v>
      </c>
      <c r="T82" s="192">
        <f>IF(S82&gt;120%,Q82* 0.55%, IF(S82&gt;100%,Q82* 0.45%, IF(S82&gt;80%,Q82* 0.35%, IF(S82&gt;60%,Q82* 0.2%, 0))))</f>
        <v>0</v>
      </c>
    </row>
    <row r="83" spans="1:20" ht="16" customHeight="1" x14ac:dyDescent="0.4">
      <c r="A83" s="623"/>
      <c r="B83" s="395" t="s">
        <v>97</v>
      </c>
      <c r="C83" s="402">
        <v>108416880</v>
      </c>
      <c r="D83" s="397">
        <v>7</v>
      </c>
      <c r="E83" s="398">
        <v>6</v>
      </c>
      <c r="F83" s="399">
        <v>20053831.531000007</v>
      </c>
      <c r="G83" s="400">
        <f t="shared" ref="G83:G89" si="67">F83-C83</f>
        <v>-88363048.468999997</v>
      </c>
      <c r="H83" s="401">
        <f t="shared" ref="H83:H88" si="68">F83/C83</f>
        <v>0.18496964246711403</v>
      </c>
      <c r="I83" s="192">
        <f t="shared" ref="I83:I87" si="69">IF(H83&gt;120%,F83* 0.55%, IF(H83&gt;100%,F83* 0.45%, IF(H83&gt;80%,F83* 0.35%, IF(H83&gt;60%,F83* 0.2%, 0))))</f>
        <v>0</v>
      </c>
      <c r="L83" s="608"/>
      <c r="M83" s="395" t="s">
        <v>97</v>
      </c>
      <c r="N83" s="402">
        <v>95472000.000000015</v>
      </c>
      <c r="O83" s="397">
        <v>6</v>
      </c>
      <c r="P83" s="398">
        <v>6</v>
      </c>
      <c r="Q83" s="399">
        <v>37216262.162299991</v>
      </c>
      <c r="R83" s="400">
        <f t="shared" ref="R83:R89" si="70">Q83-N83</f>
        <v>-58255737.837700024</v>
      </c>
      <c r="S83" s="401">
        <f t="shared" ref="S83:S88" si="71">Q83/N83</f>
        <v>0.38981337106481467</v>
      </c>
      <c r="T83" s="192">
        <f t="shared" ref="T83:T87" si="72">IF(S83&gt;120%,Q83* 0.55%, IF(S83&gt;100%,Q83* 0.45%, IF(S83&gt;80%,Q83* 0.35%, IF(S83&gt;60%,Q83* 0.2%, 0))))</f>
        <v>0</v>
      </c>
    </row>
    <row r="84" spans="1:20" ht="14.5" customHeight="1" x14ac:dyDescent="0.4">
      <c r="A84" s="623"/>
      <c r="B84" s="395" t="s">
        <v>98</v>
      </c>
      <c r="C84" s="402">
        <v>137985120</v>
      </c>
      <c r="D84" s="397">
        <v>10</v>
      </c>
      <c r="E84" s="398">
        <v>12</v>
      </c>
      <c r="F84" s="399">
        <v>53573386.486200012</v>
      </c>
      <c r="G84" s="400">
        <f t="shared" si="67"/>
        <v>-84411733.513799995</v>
      </c>
      <c r="H84" s="401">
        <f t="shared" si="68"/>
        <v>0.38825480954902974</v>
      </c>
      <c r="I84" s="192">
        <f t="shared" si="69"/>
        <v>0</v>
      </c>
      <c r="L84" s="608"/>
      <c r="M84" s="395" t="s">
        <v>98</v>
      </c>
      <c r="N84" s="402">
        <v>105019200.00000001</v>
      </c>
      <c r="O84" s="397">
        <v>4</v>
      </c>
      <c r="P84" s="398">
        <v>4</v>
      </c>
      <c r="Q84" s="399">
        <v>27418972.972900003</v>
      </c>
      <c r="R84" s="400">
        <f t="shared" si="70"/>
        <v>-77600227.027100012</v>
      </c>
      <c r="S84" s="401">
        <f t="shared" si="71"/>
        <v>0.26108533461405153</v>
      </c>
      <c r="T84" s="192">
        <f t="shared" si="72"/>
        <v>0</v>
      </c>
    </row>
    <row r="85" spans="1:20" ht="14.5" customHeight="1" x14ac:dyDescent="0.4">
      <c r="A85" s="623"/>
      <c r="B85" s="395" t="s">
        <v>99</v>
      </c>
      <c r="C85" s="402">
        <v>108416880</v>
      </c>
      <c r="D85" s="397">
        <v>5</v>
      </c>
      <c r="E85" s="398">
        <v>7</v>
      </c>
      <c r="F85" s="399">
        <v>34181813.513400003</v>
      </c>
      <c r="G85" s="400">
        <f t="shared" si="67"/>
        <v>-74235066.486599997</v>
      </c>
      <c r="H85" s="401">
        <f t="shared" si="68"/>
        <v>0.31528128750246276</v>
      </c>
      <c r="I85" s="192">
        <f t="shared" si="69"/>
        <v>0</v>
      </c>
      <c r="L85" s="608"/>
      <c r="M85" s="395" t="s">
        <v>99</v>
      </c>
      <c r="N85" s="402">
        <v>95472000.000000015</v>
      </c>
      <c r="O85" s="397">
        <v>8</v>
      </c>
      <c r="P85" s="398">
        <v>7</v>
      </c>
      <c r="Q85" s="399">
        <v>39344386.099299997</v>
      </c>
      <c r="R85" s="400">
        <f t="shared" si="70"/>
        <v>-56127613.900700018</v>
      </c>
      <c r="S85" s="401">
        <f t="shared" si="71"/>
        <v>0.41210392679843294</v>
      </c>
      <c r="T85" s="192">
        <f t="shared" si="72"/>
        <v>0</v>
      </c>
    </row>
    <row r="86" spans="1:20" ht="14.5" customHeight="1" x14ac:dyDescent="0.4">
      <c r="A86" s="623"/>
      <c r="B86" s="395" t="s">
        <v>100</v>
      </c>
      <c r="C86" s="402">
        <v>246402000</v>
      </c>
      <c r="D86" s="397">
        <v>12</v>
      </c>
      <c r="E86" s="398">
        <v>14</v>
      </c>
      <c r="F86" s="399">
        <v>95968071.171299949</v>
      </c>
      <c r="G86" s="400">
        <f t="shared" si="67"/>
        <v>-150433928.82870007</v>
      </c>
      <c r="H86" s="401">
        <f t="shared" si="68"/>
        <v>0.38947764698054377</v>
      </c>
      <c r="I86" s="192">
        <f t="shared" si="69"/>
        <v>0</v>
      </c>
      <c r="L86" s="608"/>
      <c r="M86" s="395" t="s">
        <v>100</v>
      </c>
      <c r="N86" s="402">
        <v>305510400.00000006</v>
      </c>
      <c r="O86" s="397">
        <v>14</v>
      </c>
      <c r="P86" s="398">
        <v>11</v>
      </c>
      <c r="Q86" s="399">
        <v>159907199.09890005</v>
      </c>
      <c r="R86" s="400">
        <f t="shared" si="70"/>
        <v>-145603200.90110001</v>
      </c>
      <c r="S86" s="401">
        <f t="shared" si="71"/>
        <v>0.52341000207816168</v>
      </c>
      <c r="T86" s="192">
        <f t="shared" si="72"/>
        <v>0</v>
      </c>
    </row>
    <row r="87" spans="1:20" ht="14.5" customHeight="1" x14ac:dyDescent="0.4">
      <c r="A87" s="623"/>
      <c r="B87" s="395" t="s">
        <v>101</v>
      </c>
      <c r="C87" s="402">
        <v>256258080</v>
      </c>
      <c r="D87" s="397">
        <v>12</v>
      </c>
      <c r="E87" s="398">
        <v>8</v>
      </c>
      <c r="F87" s="399">
        <v>116298233.96400005</v>
      </c>
      <c r="G87" s="400">
        <f t="shared" si="67"/>
        <v>-139959846.03599995</v>
      </c>
      <c r="H87" s="401">
        <f t="shared" si="68"/>
        <v>0.45383245657658888</v>
      </c>
      <c r="I87" s="192">
        <f t="shared" si="69"/>
        <v>0</v>
      </c>
      <c r="L87" s="608"/>
      <c r="M87" s="395" t="s">
        <v>101</v>
      </c>
      <c r="N87" s="402">
        <v>238680000.00000003</v>
      </c>
      <c r="O87" s="397">
        <v>9</v>
      </c>
      <c r="P87" s="398">
        <v>8</v>
      </c>
      <c r="Q87" s="399">
        <v>45173711.712000005</v>
      </c>
      <c r="R87" s="400">
        <f t="shared" si="70"/>
        <v>-193506288.28800002</v>
      </c>
      <c r="S87" s="401">
        <f t="shared" si="71"/>
        <v>0.1892647549522373</v>
      </c>
      <c r="T87" s="192">
        <f t="shared" si="72"/>
        <v>0</v>
      </c>
    </row>
    <row r="88" spans="1:20" ht="14.5" customHeight="1" thickBot="1" x14ac:dyDescent="0.45">
      <c r="A88" s="623"/>
      <c r="B88" s="403" t="s">
        <v>77</v>
      </c>
      <c r="C88" s="404">
        <f t="shared" ref="C88" si="73">SUM(C82:C87)</f>
        <v>985608000</v>
      </c>
      <c r="D88" s="405">
        <f>SUM(D82:D87)</f>
        <v>49</v>
      </c>
      <c r="E88" s="406">
        <f t="shared" ref="E88" si="74">SUM(E82:E87)</f>
        <v>52</v>
      </c>
      <c r="F88" s="404">
        <f>SUM(F82:F87)</f>
        <v>380141905.13459998</v>
      </c>
      <c r="G88" s="404">
        <f t="shared" si="67"/>
        <v>-605466094.86540008</v>
      </c>
      <c r="H88" s="407">
        <f t="shared" si="68"/>
        <v>0.38569279585250932</v>
      </c>
      <c r="I88" s="197">
        <f>SUM(I82:I87)</f>
        <v>0</v>
      </c>
      <c r="L88" s="609"/>
      <c r="M88" s="446" t="s">
        <v>77</v>
      </c>
      <c r="N88" s="447">
        <f t="shared" ref="N88" si="75">SUM(N82:N87)</f>
        <v>954720000.00000012</v>
      </c>
      <c r="O88" s="448">
        <f>SUM(O82:O87)</f>
        <v>49</v>
      </c>
      <c r="P88" s="449">
        <f t="shared" ref="P88" si="76">SUM(P82:P87)</f>
        <v>43</v>
      </c>
      <c r="Q88" s="447">
        <f>SUM(Q82:Q87)</f>
        <v>350433755.46890008</v>
      </c>
      <c r="R88" s="447">
        <f t="shared" si="70"/>
        <v>-604286244.53110003</v>
      </c>
      <c r="S88" s="450">
        <f t="shared" si="71"/>
        <v>0.3670539587197294</v>
      </c>
      <c r="T88" s="197">
        <f>SUM(T82:T87)</f>
        <v>0</v>
      </c>
    </row>
    <row r="89" spans="1:20" x14ac:dyDescent="0.4">
      <c r="B89" s="408" t="str">
        <f>$B$12</f>
        <v>TARGET Q3</v>
      </c>
      <c r="C89" s="409">
        <v>887047200</v>
      </c>
      <c r="D89" s="431"/>
      <c r="E89" s="431"/>
      <c r="F89" s="409">
        <f>F88</f>
        <v>380141905.13459998</v>
      </c>
      <c r="G89" s="409">
        <f t="shared" si="67"/>
        <v>-506905294.86540002</v>
      </c>
      <c r="H89" s="410">
        <f>F89/C89</f>
        <v>0.42854755094723257</v>
      </c>
      <c r="I89" s="192">
        <f>IF(H89&gt;=1,3500000,IF(H89&gt;=0.9,2500000,0))</f>
        <v>0</v>
      </c>
      <c r="M89" s="408" t="str">
        <f>$B$12</f>
        <v>TARGET Q3</v>
      </c>
      <c r="N89" s="409">
        <v>859248000.00000012</v>
      </c>
      <c r="O89" s="431"/>
      <c r="P89" s="431"/>
      <c r="Q89" s="409">
        <f>Q88</f>
        <v>350433755.46890008</v>
      </c>
      <c r="R89" s="409">
        <f t="shared" si="70"/>
        <v>-508814244.53110003</v>
      </c>
      <c r="S89" s="410">
        <f>Q89/N89</f>
        <v>0.40783773191081041</v>
      </c>
      <c r="T89" s="192">
        <f>IF(S89&gt;=1,3500000,IF(S89&gt;=0.9,2500000,0))</f>
        <v>0</v>
      </c>
    </row>
    <row r="90" spans="1:20" ht="16.5" thickBot="1" x14ac:dyDescent="0.45">
      <c r="B90" s="417"/>
      <c r="C90" s="412">
        <f>C89/C88</f>
        <v>0.9</v>
      </c>
      <c r="D90" s="413"/>
      <c r="E90" s="414"/>
      <c r="F90" s="415"/>
      <c r="G90" s="416"/>
      <c r="H90" s="413"/>
      <c r="N90" s="412">
        <f>N89/N88</f>
        <v>0.9</v>
      </c>
    </row>
    <row r="91" spans="1:20" ht="20.5" customHeight="1" x14ac:dyDescent="0.35">
      <c r="A91" s="624">
        <v>9</v>
      </c>
      <c r="B91" s="390" t="s">
        <v>57</v>
      </c>
      <c r="C91" s="391" t="s">
        <v>43</v>
      </c>
      <c r="D91" s="657" t="s">
        <v>119</v>
      </c>
      <c r="E91" s="658"/>
      <c r="F91" s="658"/>
      <c r="G91" s="659"/>
      <c r="H91" s="390" t="s">
        <v>66</v>
      </c>
      <c r="L91" s="607">
        <v>9</v>
      </c>
      <c r="M91" s="440" t="s">
        <v>57</v>
      </c>
      <c r="N91" s="441" t="s">
        <v>165</v>
      </c>
      <c r="O91" s="647" t="s">
        <v>119</v>
      </c>
      <c r="P91" s="648"/>
      <c r="Q91" s="648"/>
      <c r="R91" s="649"/>
      <c r="S91" s="440" t="s">
        <v>66</v>
      </c>
    </row>
    <row r="92" spans="1:20" ht="33.65" customHeight="1" x14ac:dyDescent="0.35">
      <c r="A92" s="625"/>
      <c r="B92" s="390" t="s">
        <v>93</v>
      </c>
      <c r="C92" s="391" t="s">
        <v>94</v>
      </c>
      <c r="D92" s="392" t="s">
        <v>91</v>
      </c>
      <c r="E92" s="392" t="s">
        <v>62</v>
      </c>
      <c r="F92" s="393" t="str">
        <f>"OMSET "&amp;UPPER(TEXT($B$1,"MMM"))&amp;CHAR(10)&amp;" (1-"&amp;DAY($B$1)&amp;")"</f>
        <v>OMSET AGU
 (1-31)</v>
      </c>
      <c r="G92" s="391" t="s">
        <v>65</v>
      </c>
      <c r="H92" s="394">
        <f>100/DAY(EOMONTH($B$1,0))*DAY($B$1)/100</f>
        <v>1</v>
      </c>
      <c r="L92" s="608"/>
      <c r="M92" s="440" t="s">
        <v>93</v>
      </c>
      <c r="N92" s="441" t="s">
        <v>94</v>
      </c>
      <c r="O92" s="442" t="s">
        <v>91</v>
      </c>
      <c r="P92" s="442" t="s">
        <v>62</v>
      </c>
      <c r="Q92" s="443" t="str">
        <f>F92</f>
        <v>OMSET AGU
 (1-31)</v>
      </c>
      <c r="R92" s="444" t="s">
        <v>65</v>
      </c>
      <c r="S92" s="445">
        <f>H92</f>
        <v>1</v>
      </c>
    </row>
    <row r="93" spans="1:20" ht="14.5" customHeight="1" x14ac:dyDescent="0.4">
      <c r="A93" s="625"/>
      <c r="B93" s="395" t="s">
        <v>96</v>
      </c>
      <c r="C93" s="396">
        <v>218476440</v>
      </c>
      <c r="D93" s="397">
        <v>22</v>
      </c>
      <c r="E93" s="398">
        <v>18</v>
      </c>
      <c r="F93" s="399">
        <v>215678489.27950001</v>
      </c>
      <c r="G93" s="400">
        <f>F93-C93</f>
        <v>-2797950.7204999924</v>
      </c>
      <c r="H93" s="401">
        <f>F93/C93</f>
        <v>0.98719335265395214</v>
      </c>
      <c r="I93" s="192">
        <f>IF(H93&gt;120%,F93* 0.55%, IF(H93&gt;100%,F93* 0.45%, IF(H93&gt;80%,F93* 0.35%, IF(H93&gt;60%,F93* 0.2%, 0))))</f>
        <v>754874.71247824992</v>
      </c>
      <c r="L93" s="608"/>
      <c r="M93" s="395" t="s">
        <v>96</v>
      </c>
      <c r="N93" s="396">
        <v>101088000</v>
      </c>
      <c r="O93" s="397">
        <v>11</v>
      </c>
      <c r="P93" s="398">
        <v>9</v>
      </c>
      <c r="Q93" s="399">
        <v>59429098.198499978</v>
      </c>
      <c r="R93" s="400">
        <f>Q93-N93</f>
        <v>-41658901.801500022</v>
      </c>
      <c r="S93" s="401">
        <f>Q93/N93</f>
        <v>0.58789468778193232</v>
      </c>
      <c r="T93" s="192">
        <f>IF(S93&gt;120%,Q93* 0.55%, IF(S93&gt;100%,Q93* 0.45%, IF(S93&gt;80%,Q93* 0.35%, IF(S93&gt;60%,Q93* 0.2%, 0))))</f>
        <v>0</v>
      </c>
    </row>
    <row r="94" spans="1:20" ht="14.5" customHeight="1" x14ac:dyDescent="0.4">
      <c r="A94" s="625"/>
      <c r="B94" s="395" t="s">
        <v>97</v>
      </c>
      <c r="C94" s="402">
        <v>176861880</v>
      </c>
      <c r="D94" s="397">
        <v>15</v>
      </c>
      <c r="E94" s="398">
        <v>12</v>
      </c>
      <c r="F94" s="399">
        <v>126153096.31510001</v>
      </c>
      <c r="G94" s="400">
        <f t="shared" ref="G94:G100" si="77">F94-C94</f>
        <v>-50708783.684899986</v>
      </c>
      <c r="H94" s="401">
        <f t="shared" ref="H94:H99" si="78">F94/C94</f>
        <v>0.71328596255507415</v>
      </c>
      <c r="I94" s="192">
        <f t="shared" ref="I94:I98" si="79">IF(H94&gt;120%,F94* 0.55%, IF(H94&gt;100%,F94* 0.45%, IF(H94&gt;80%,F94* 0.35%, IF(H94&gt;60%,F94* 0.2%, 0))))</f>
        <v>252306.19263020004</v>
      </c>
      <c r="L94" s="608"/>
      <c r="M94" s="395" t="s">
        <v>97</v>
      </c>
      <c r="N94" s="402">
        <v>363916800</v>
      </c>
      <c r="O94" s="397">
        <v>15</v>
      </c>
      <c r="P94" s="398">
        <v>14</v>
      </c>
      <c r="Q94" s="399">
        <v>226866490.99130005</v>
      </c>
      <c r="R94" s="400">
        <f t="shared" ref="R94:R100" si="80">Q94-N94</f>
        <v>-137050309.00869995</v>
      </c>
      <c r="S94" s="401">
        <f t="shared" ref="S94:S99" si="81">Q94/N94</f>
        <v>0.62340208254002027</v>
      </c>
      <c r="T94" s="192">
        <f t="shared" ref="T94:T98" si="82">IF(S94&gt;120%,Q94* 0.55%, IF(S94&gt;100%,Q94* 0.45%, IF(S94&gt;80%,Q94* 0.35%, IF(S94&gt;60%,Q94* 0.2%, 0))))</f>
        <v>453732.98198260012</v>
      </c>
    </row>
    <row r="95" spans="1:20" ht="14.5" customHeight="1" x14ac:dyDescent="0.4">
      <c r="A95" s="625"/>
      <c r="B95" s="395" t="s">
        <v>98</v>
      </c>
      <c r="C95" s="402">
        <v>197669160</v>
      </c>
      <c r="D95" s="397">
        <v>18</v>
      </c>
      <c r="E95" s="398">
        <v>18</v>
      </c>
      <c r="F95" s="399">
        <v>210910209.90989989</v>
      </c>
      <c r="G95" s="400">
        <f t="shared" si="77"/>
        <v>13241049.90989989</v>
      </c>
      <c r="H95" s="401">
        <f t="shared" si="78"/>
        <v>1.0669859168213185</v>
      </c>
      <c r="I95" s="192">
        <f t="shared" si="79"/>
        <v>949095.9445945496</v>
      </c>
      <c r="L95" s="608"/>
      <c r="M95" s="395" t="s">
        <v>98</v>
      </c>
      <c r="N95" s="402">
        <v>141523200</v>
      </c>
      <c r="O95" s="397">
        <v>13</v>
      </c>
      <c r="P95" s="398">
        <v>9</v>
      </c>
      <c r="Q95" s="399">
        <v>55291766.648799993</v>
      </c>
      <c r="R95" s="400">
        <f t="shared" si="80"/>
        <v>-86231433.351200014</v>
      </c>
      <c r="S95" s="401">
        <f t="shared" si="81"/>
        <v>0.39069047794849177</v>
      </c>
      <c r="T95" s="192">
        <f t="shared" si="82"/>
        <v>0</v>
      </c>
    </row>
    <row r="96" spans="1:20" ht="14.5" customHeight="1" x14ac:dyDescent="0.4">
      <c r="A96" s="625"/>
      <c r="B96" s="395" t="s">
        <v>99</v>
      </c>
      <c r="C96" s="402">
        <v>176861880</v>
      </c>
      <c r="D96" s="397">
        <v>17</v>
      </c>
      <c r="E96" s="398">
        <v>16</v>
      </c>
      <c r="F96" s="399">
        <v>144496915.76500002</v>
      </c>
      <c r="G96" s="400">
        <f t="shared" si="77"/>
        <v>-32364964.234999985</v>
      </c>
      <c r="H96" s="401">
        <f t="shared" si="78"/>
        <v>0.81700429603598024</v>
      </c>
      <c r="I96" s="192">
        <f t="shared" si="79"/>
        <v>505739.20517750003</v>
      </c>
      <c r="L96" s="608"/>
      <c r="M96" s="395" t="s">
        <v>99</v>
      </c>
      <c r="N96" s="402">
        <v>121305600</v>
      </c>
      <c r="O96" s="397">
        <v>10</v>
      </c>
      <c r="P96" s="398">
        <v>8</v>
      </c>
      <c r="Q96" s="399">
        <v>73369954.95570004</v>
      </c>
      <c r="R96" s="400">
        <f t="shared" si="80"/>
        <v>-47935645.04429996</v>
      </c>
      <c r="S96" s="401">
        <f t="shared" si="81"/>
        <v>0.60483567910879665</v>
      </c>
      <c r="T96" s="192">
        <f t="shared" si="82"/>
        <v>146739.90991140009</v>
      </c>
    </row>
    <row r="97" spans="1:21" ht="14.5" customHeight="1" x14ac:dyDescent="0.4">
      <c r="A97" s="625"/>
      <c r="B97" s="395" t="s">
        <v>100</v>
      </c>
      <c r="C97" s="402">
        <v>124843680</v>
      </c>
      <c r="D97" s="397">
        <v>15</v>
      </c>
      <c r="E97" s="398">
        <v>12</v>
      </c>
      <c r="F97" s="399">
        <v>137598035.58539999</v>
      </c>
      <c r="G97" s="400">
        <f t="shared" si="77"/>
        <v>12754355.585399985</v>
      </c>
      <c r="H97" s="401">
        <f t="shared" si="78"/>
        <v>1.1021626051506972</v>
      </c>
      <c r="I97" s="192">
        <f t="shared" si="79"/>
        <v>619191.16013430001</v>
      </c>
      <c r="L97" s="608"/>
      <c r="M97" s="395" t="s">
        <v>100</v>
      </c>
      <c r="N97" s="402">
        <v>131414400</v>
      </c>
      <c r="O97" s="397">
        <v>8</v>
      </c>
      <c r="P97" s="398">
        <v>7</v>
      </c>
      <c r="Q97" s="399">
        <v>93711135.135199994</v>
      </c>
      <c r="R97" s="400">
        <f t="shared" si="80"/>
        <v>-37703264.864800006</v>
      </c>
      <c r="S97" s="401">
        <f t="shared" si="81"/>
        <v>0.7130963968575742</v>
      </c>
      <c r="T97" s="192">
        <f t="shared" si="82"/>
        <v>187422.27027039998</v>
      </c>
    </row>
    <row r="98" spans="1:21" ht="14.5" customHeight="1" x14ac:dyDescent="0.4">
      <c r="A98" s="625"/>
      <c r="B98" s="395" t="s">
        <v>101</v>
      </c>
      <c r="C98" s="402">
        <v>145650960</v>
      </c>
      <c r="D98" s="397">
        <v>11</v>
      </c>
      <c r="E98" s="398">
        <v>10</v>
      </c>
      <c r="F98" s="399">
        <v>150568212.90189999</v>
      </c>
      <c r="G98" s="400">
        <f t="shared" si="77"/>
        <v>4917252.9018999934</v>
      </c>
      <c r="H98" s="401">
        <f t="shared" si="78"/>
        <v>1.0337605251753919</v>
      </c>
      <c r="I98" s="192">
        <f t="shared" si="79"/>
        <v>677556.95805855002</v>
      </c>
      <c r="L98" s="608"/>
      <c r="M98" s="395" t="s">
        <v>101</v>
      </c>
      <c r="N98" s="402">
        <v>151632000</v>
      </c>
      <c r="O98" s="397">
        <v>9</v>
      </c>
      <c r="P98" s="398">
        <v>5</v>
      </c>
      <c r="Q98" s="399">
        <v>43366828.828699976</v>
      </c>
      <c r="R98" s="400">
        <f t="shared" si="80"/>
        <v>-108265171.17130002</v>
      </c>
      <c r="S98" s="401">
        <f t="shared" si="81"/>
        <v>0.28600050667866928</v>
      </c>
      <c r="T98" s="192">
        <f t="shared" si="82"/>
        <v>0</v>
      </c>
    </row>
    <row r="99" spans="1:21" s="187" customFormat="1" ht="14.5" customHeight="1" thickBot="1" x14ac:dyDescent="0.45">
      <c r="A99" s="625"/>
      <c r="B99" s="403" t="s">
        <v>77</v>
      </c>
      <c r="C99" s="404">
        <f t="shared" ref="C99" si="83">SUM(C93:C98)</f>
        <v>1040364000</v>
      </c>
      <c r="D99" s="405">
        <f>SUM(D93:D98)</f>
        <v>98</v>
      </c>
      <c r="E99" s="406">
        <f t="shared" ref="E99" si="84">SUM(E93:E98)</f>
        <v>86</v>
      </c>
      <c r="F99" s="404">
        <f>SUM(F93:F98)</f>
        <v>985404959.75679994</v>
      </c>
      <c r="G99" s="404">
        <f t="shared" si="77"/>
        <v>-54959040.243200064</v>
      </c>
      <c r="H99" s="407">
        <f t="shared" si="78"/>
        <v>0.94717325835649824</v>
      </c>
      <c r="I99" s="197">
        <f>SUM(I93:I98)</f>
        <v>3758764.1730733495</v>
      </c>
      <c r="J99" s="217"/>
      <c r="L99" s="609"/>
      <c r="M99" s="446" t="s">
        <v>77</v>
      </c>
      <c r="N99" s="447">
        <f t="shared" ref="N99" si="85">SUM(N93:N98)</f>
        <v>1010880000</v>
      </c>
      <c r="O99" s="448">
        <f>SUM(O93:O98)</f>
        <v>66</v>
      </c>
      <c r="P99" s="449">
        <f t="shared" ref="P99" si="86">SUM(P93:P98)</f>
        <v>52</v>
      </c>
      <c r="Q99" s="447">
        <f>SUM(Q93:Q98)</f>
        <v>552035274.75820005</v>
      </c>
      <c r="R99" s="447">
        <f t="shared" si="80"/>
        <v>-458844725.24179995</v>
      </c>
      <c r="S99" s="450">
        <f t="shared" si="81"/>
        <v>0.54609377449173002</v>
      </c>
      <c r="T99" s="197">
        <f>SUM(T93:T98)</f>
        <v>787895.16216440022</v>
      </c>
      <c r="U99" s="218"/>
    </row>
    <row r="100" spans="1:21" ht="15" customHeight="1" x14ac:dyDescent="0.4">
      <c r="A100" s="219"/>
      <c r="B100" s="408" t="str">
        <f>$B$12</f>
        <v>TARGET Q3</v>
      </c>
      <c r="C100" s="409">
        <v>936327600</v>
      </c>
      <c r="D100" s="431"/>
      <c r="E100" s="431"/>
      <c r="F100" s="409">
        <f>F99</f>
        <v>985404959.75679994</v>
      </c>
      <c r="G100" s="409">
        <f t="shared" si="77"/>
        <v>49077359.756799936</v>
      </c>
      <c r="H100" s="410">
        <f>F100/C100</f>
        <v>1.0524147315072203</v>
      </c>
      <c r="I100" s="192">
        <f>IF(H100&gt;=1,3500000,IF(H100&gt;=0.9,2500000,0))</f>
        <v>3500000</v>
      </c>
      <c r="M100" s="408" t="str">
        <f>$B$12</f>
        <v>TARGET Q3</v>
      </c>
      <c r="N100" s="409">
        <v>909792000</v>
      </c>
      <c r="O100" s="431"/>
      <c r="P100" s="431"/>
      <c r="Q100" s="409">
        <f>Q99</f>
        <v>552035274.75820005</v>
      </c>
      <c r="R100" s="409">
        <f t="shared" si="80"/>
        <v>-357756725.24179995</v>
      </c>
      <c r="S100" s="410">
        <f>Q100/N100</f>
        <v>0.60677086054636664</v>
      </c>
      <c r="T100" s="192">
        <f>IF(S100&gt;=1,3500000,IF(S100&gt;=0.9,2500000,0))</f>
        <v>0</v>
      </c>
    </row>
    <row r="101" spans="1:21" ht="16.5" thickBot="1" x14ac:dyDescent="0.45">
      <c r="B101" s="417"/>
      <c r="C101" s="412">
        <f>C100/C99</f>
        <v>0.9</v>
      </c>
      <c r="D101" s="413"/>
      <c r="E101" s="414"/>
      <c r="F101" s="415"/>
      <c r="G101" s="416"/>
      <c r="H101" s="413"/>
      <c r="N101" s="412">
        <f>N100/N99</f>
        <v>0.9</v>
      </c>
    </row>
    <row r="102" spans="1:21" ht="17.149999999999999" customHeight="1" x14ac:dyDescent="0.35">
      <c r="A102" s="623">
        <v>10</v>
      </c>
      <c r="B102" s="390" t="s">
        <v>57</v>
      </c>
      <c r="C102" s="391" t="s">
        <v>37</v>
      </c>
      <c r="D102" s="657" t="s">
        <v>182</v>
      </c>
      <c r="E102" s="658"/>
      <c r="F102" s="658"/>
      <c r="G102" s="659"/>
      <c r="H102" s="390" t="s">
        <v>66</v>
      </c>
      <c r="L102" s="613">
        <v>10</v>
      </c>
      <c r="M102" s="440" t="s">
        <v>57</v>
      </c>
      <c r="N102" s="441" t="s">
        <v>122</v>
      </c>
      <c r="O102" s="647" t="s">
        <v>182</v>
      </c>
      <c r="P102" s="648"/>
      <c r="Q102" s="648"/>
      <c r="R102" s="649"/>
      <c r="S102" s="440" t="s">
        <v>66</v>
      </c>
    </row>
    <row r="103" spans="1:21" ht="37.5" customHeight="1" x14ac:dyDescent="0.35">
      <c r="A103" s="623"/>
      <c r="B103" s="390" t="s">
        <v>93</v>
      </c>
      <c r="C103" s="391" t="s">
        <v>94</v>
      </c>
      <c r="D103" s="392" t="s">
        <v>91</v>
      </c>
      <c r="E103" s="392" t="s">
        <v>62</v>
      </c>
      <c r="F103" s="393" t="str">
        <f>"OMSET "&amp;UPPER(TEXT($B$1,"MMM"))&amp;CHAR(10)&amp;" (1-"&amp;DAY($B$1)&amp;")"</f>
        <v>OMSET AGU
 (1-31)</v>
      </c>
      <c r="G103" s="391" t="s">
        <v>65</v>
      </c>
      <c r="H103" s="394">
        <f>100/DAY(EOMONTH($B$1,0))*DAY($B$1)/100</f>
        <v>1</v>
      </c>
      <c r="L103" s="614"/>
      <c r="M103" s="440" t="s">
        <v>93</v>
      </c>
      <c r="N103" s="441" t="s">
        <v>94</v>
      </c>
      <c r="O103" s="442" t="s">
        <v>91</v>
      </c>
      <c r="P103" s="442" t="s">
        <v>62</v>
      </c>
      <c r="Q103" s="443" t="str">
        <f>F103</f>
        <v>OMSET AGU
 (1-31)</v>
      </c>
      <c r="R103" s="444" t="s">
        <v>65</v>
      </c>
      <c r="S103" s="445">
        <f>H103</f>
        <v>1</v>
      </c>
    </row>
    <row r="104" spans="1:21" ht="14.5" customHeight="1" x14ac:dyDescent="0.4">
      <c r="A104" s="623"/>
      <c r="B104" s="395" t="s">
        <v>96</v>
      </c>
      <c r="C104" s="396">
        <v>416145600</v>
      </c>
      <c r="D104" s="397">
        <v>24</v>
      </c>
      <c r="E104" s="398">
        <v>20</v>
      </c>
      <c r="F104" s="399">
        <v>228568385.04530001</v>
      </c>
      <c r="G104" s="400">
        <f>F104-C104</f>
        <v>-187577214.95469999</v>
      </c>
      <c r="H104" s="401">
        <f>F104/C104</f>
        <v>0.54925099543356937</v>
      </c>
      <c r="I104" s="192">
        <f>IF(H104&gt;120%,F104* 0.55%, IF(H104&gt;100%,F104* 0.45%, IF(H104&gt;80%,F104* 0.35%, IF(H104&gt;60%,F104* 0.2%, 0))))</f>
        <v>0</v>
      </c>
      <c r="L104" s="614"/>
      <c r="M104" s="395" t="s">
        <v>96</v>
      </c>
      <c r="N104" s="396">
        <v>138715200</v>
      </c>
      <c r="O104" s="397">
        <v>14</v>
      </c>
      <c r="P104" s="398">
        <v>9</v>
      </c>
      <c r="Q104" s="399">
        <v>65285358.558699988</v>
      </c>
      <c r="R104" s="400">
        <f>Q104-N104</f>
        <v>-73429841.441300005</v>
      </c>
      <c r="S104" s="401">
        <f>Q104/N104</f>
        <v>0.47064314911920241</v>
      </c>
      <c r="T104" s="192">
        <f>IF(S104&gt;120%,Q104* 0.55%, IF(S104&gt;100%,Q104* 0.45%, IF(S104&gt;80%,Q104* 0.35%, IF(S104&gt;60%,Q104* 0.2%, 0))))</f>
        <v>0</v>
      </c>
    </row>
    <row r="105" spans="1:21" ht="14.5" customHeight="1" x14ac:dyDescent="0.4">
      <c r="A105" s="623"/>
      <c r="B105" s="395" t="s">
        <v>97</v>
      </c>
      <c r="C105" s="402">
        <v>0</v>
      </c>
      <c r="D105" s="397"/>
      <c r="E105" s="398"/>
      <c r="F105" s="399"/>
      <c r="G105" s="400">
        <f t="shared" ref="G105:G111" si="87">F105-C105</f>
        <v>0</v>
      </c>
      <c r="H105" s="401">
        <v>0</v>
      </c>
      <c r="I105" s="192">
        <f t="shared" ref="I105:I109" si="88">IF(H105&gt;120%,F105* 0.55%, IF(H105&gt;100%,F105* 0.45%, IF(H105&gt;80%,F105* 0.35%, IF(H105&gt;60%,F105* 0.2%, 0))))</f>
        <v>0</v>
      </c>
      <c r="L105" s="614"/>
      <c r="M105" s="395" t="s">
        <v>97</v>
      </c>
      <c r="N105" s="402">
        <v>480168000</v>
      </c>
      <c r="O105" s="397">
        <v>26</v>
      </c>
      <c r="P105" s="398">
        <v>18</v>
      </c>
      <c r="Q105" s="399">
        <v>320633219.82080001</v>
      </c>
      <c r="R105" s="400">
        <f t="shared" ref="R105:R111" si="89">Q105-N105</f>
        <v>-159534780.17919999</v>
      </c>
      <c r="S105" s="401">
        <f t="shared" ref="S105:S110" si="90">Q105/N105</f>
        <v>0.66775216137018711</v>
      </c>
      <c r="T105" s="192">
        <f t="shared" ref="T105:T109" si="91">IF(S105&gt;120%,Q105* 0.55%, IF(S105&gt;100%,Q105* 0.45%, IF(S105&gt;80%,Q105* 0.35%, IF(S105&gt;60%,Q105* 0.2%, 0))))</f>
        <v>641266.43964160001</v>
      </c>
    </row>
    <row r="106" spans="1:21" ht="14.5" customHeight="1" x14ac:dyDescent="0.4">
      <c r="A106" s="623"/>
      <c r="B106" s="395" t="s">
        <v>98</v>
      </c>
      <c r="C106" s="402">
        <v>156054600</v>
      </c>
      <c r="D106" s="397">
        <v>11</v>
      </c>
      <c r="E106" s="398">
        <v>7</v>
      </c>
      <c r="F106" s="399">
        <v>20406350.405299995</v>
      </c>
      <c r="G106" s="400">
        <f t="shared" si="87"/>
        <v>-135648249.59470001</v>
      </c>
      <c r="H106" s="401">
        <f t="shared" ref="H106:H110" si="92">F106/C106</f>
        <v>0.1307641710356503</v>
      </c>
      <c r="I106" s="192">
        <f t="shared" si="88"/>
        <v>0</v>
      </c>
      <c r="L106" s="614"/>
      <c r="M106" s="395" t="s">
        <v>98</v>
      </c>
      <c r="N106" s="402">
        <v>0</v>
      </c>
      <c r="O106" s="397"/>
      <c r="P106" s="398"/>
      <c r="Q106" s="399"/>
      <c r="R106" s="400">
        <f t="shared" si="89"/>
        <v>0</v>
      </c>
      <c r="S106" s="401">
        <v>0</v>
      </c>
      <c r="T106" s="192">
        <f t="shared" si="91"/>
        <v>0</v>
      </c>
    </row>
    <row r="107" spans="1:21" ht="14.5" customHeight="1" x14ac:dyDescent="0.4">
      <c r="A107" s="623"/>
      <c r="B107" s="395" t="s">
        <v>99</v>
      </c>
      <c r="C107" s="402">
        <v>156054600</v>
      </c>
      <c r="D107" s="397">
        <v>7</v>
      </c>
      <c r="E107" s="398">
        <v>8</v>
      </c>
      <c r="F107" s="399">
        <v>179431096.3962</v>
      </c>
      <c r="G107" s="400">
        <f t="shared" si="87"/>
        <v>23376496.396200001</v>
      </c>
      <c r="H107" s="401">
        <f t="shared" si="92"/>
        <v>1.1497969069556424</v>
      </c>
      <c r="I107" s="192">
        <f t="shared" si="88"/>
        <v>807439.9337829001</v>
      </c>
      <c r="L107" s="614"/>
      <c r="M107" s="395" t="s">
        <v>99</v>
      </c>
      <c r="N107" s="402">
        <v>170726400</v>
      </c>
      <c r="O107" s="397">
        <v>18</v>
      </c>
      <c r="P107" s="398">
        <v>15</v>
      </c>
      <c r="Q107" s="399">
        <v>58004012.612300023</v>
      </c>
      <c r="R107" s="400">
        <f t="shared" si="89"/>
        <v>-112722387.38769998</v>
      </c>
      <c r="S107" s="401">
        <f t="shared" si="90"/>
        <v>0.33974834947787819</v>
      </c>
      <c r="T107" s="192">
        <f t="shared" si="91"/>
        <v>0</v>
      </c>
    </row>
    <row r="108" spans="1:21" ht="14.5" customHeight="1" x14ac:dyDescent="0.4">
      <c r="A108" s="623"/>
      <c r="B108" s="395" t="s">
        <v>100</v>
      </c>
      <c r="C108" s="402">
        <v>145650960</v>
      </c>
      <c r="D108" s="397">
        <v>7</v>
      </c>
      <c r="E108" s="398">
        <v>6</v>
      </c>
      <c r="F108" s="399">
        <v>26323808.108199999</v>
      </c>
      <c r="G108" s="400">
        <f t="shared" si="87"/>
        <v>-119327151.8918</v>
      </c>
      <c r="H108" s="401">
        <f t="shared" si="92"/>
        <v>0.18073212911332681</v>
      </c>
      <c r="I108" s="192">
        <f t="shared" si="88"/>
        <v>0</v>
      </c>
      <c r="L108" s="614"/>
      <c r="M108" s="395" t="s">
        <v>100</v>
      </c>
      <c r="N108" s="402">
        <v>149385600</v>
      </c>
      <c r="O108" s="397">
        <v>9</v>
      </c>
      <c r="P108" s="398">
        <v>6</v>
      </c>
      <c r="Q108" s="399">
        <v>13207600.900999999</v>
      </c>
      <c r="R108" s="400">
        <f t="shared" si="89"/>
        <v>-136177999.09900001</v>
      </c>
      <c r="S108" s="401">
        <f t="shared" si="90"/>
        <v>8.8412811549439835E-2</v>
      </c>
      <c r="T108" s="192">
        <f t="shared" si="91"/>
        <v>0</v>
      </c>
    </row>
    <row r="109" spans="1:21" ht="14.5" customHeight="1" x14ac:dyDescent="0.4">
      <c r="A109" s="623"/>
      <c r="B109" s="395" t="s">
        <v>101</v>
      </c>
      <c r="C109" s="402">
        <v>166458240</v>
      </c>
      <c r="D109" s="397">
        <v>18</v>
      </c>
      <c r="E109" s="398">
        <v>11</v>
      </c>
      <c r="F109" s="399">
        <v>81794447.05400005</v>
      </c>
      <c r="G109" s="400">
        <f t="shared" si="87"/>
        <v>-84663792.94599995</v>
      </c>
      <c r="H109" s="401">
        <f t="shared" si="92"/>
        <v>0.49138118397743513</v>
      </c>
      <c r="I109" s="192">
        <f t="shared" si="88"/>
        <v>0</v>
      </c>
      <c r="L109" s="614"/>
      <c r="M109" s="395" t="s">
        <v>101</v>
      </c>
      <c r="N109" s="402">
        <v>128044800</v>
      </c>
      <c r="O109" s="397">
        <v>11</v>
      </c>
      <c r="P109" s="398">
        <v>7</v>
      </c>
      <c r="Q109" s="399">
        <v>40799852.251899995</v>
      </c>
      <c r="R109" s="400">
        <f t="shared" si="89"/>
        <v>-87244947.748100013</v>
      </c>
      <c r="S109" s="401">
        <f t="shared" si="90"/>
        <v>0.31863732265503947</v>
      </c>
      <c r="T109" s="192">
        <f t="shared" si="91"/>
        <v>0</v>
      </c>
    </row>
    <row r="110" spans="1:21" ht="14.5" customHeight="1" thickBot="1" x14ac:dyDescent="0.45">
      <c r="A110" s="623"/>
      <c r="B110" s="403" t="s">
        <v>77</v>
      </c>
      <c r="C110" s="404">
        <f t="shared" ref="C110" si="93">SUM(C104:C109)</f>
        <v>1040364000</v>
      </c>
      <c r="D110" s="405">
        <f>SUM(D104:D109)</f>
        <v>67</v>
      </c>
      <c r="E110" s="406">
        <f t="shared" ref="E110" si="94">SUM(E104:E109)</f>
        <v>52</v>
      </c>
      <c r="F110" s="404">
        <f>SUM(F104:F109)</f>
        <v>536524087.00900006</v>
      </c>
      <c r="G110" s="404">
        <f t="shared" si="87"/>
        <v>-503839912.99099994</v>
      </c>
      <c r="H110" s="407">
        <f t="shared" si="92"/>
        <v>0.51570804738437703</v>
      </c>
      <c r="I110" s="197">
        <f>SUM(I104:I109)</f>
        <v>807439.9337829001</v>
      </c>
      <c r="L110" s="615"/>
      <c r="M110" s="446" t="s">
        <v>77</v>
      </c>
      <c r="N110" s="447">
        <f t="shared" ref="N110" si="95">SUM(N104:N109)</f>
        <v>1067040000</v>
      </c>
      <c r="O110" s="448">
        <f>SUM(O104:O109)</f>
        <v>78</v>
      </c>
      <c r="P110" s="449">
        <f t="shared" ref="P110" si="96">SUM(P104:P109)</f>
        <v>55</v>
      </c>
      <c r="Q110" s="447">
        <f>SUM(Q104:Q109)</f>
        <v>497930044.14470005</v>
      </c>
      <c r="R110" s="447">
        <f t="shared" si="89"/>
        <v>-569109955.85529995</v>
      </c>
      <c r="S110" s="450">
        <f t="shared" si="90"/>
        <v>0.46664609025406739</v>
      </c>
      <c r="T110" s="197">
        <f>SUM(T104:T109)</f>
        <v>641266.43964160001</v>
      </c>
    </row>
    <row r="111" spans="1:21" ht="14.5" customHeight="1" x14ac:dyDescent="0.4">
      <c r="B111" s="408" t="str">
        <f>$B$12</f>
        <v>TARGET Q3</v>
      </c>
      <c r="C111" s="409">
        <v>936327600</v>
      </c>
      <c r="D111" s="431"/>
      <c r="E111" s="431"/>
      <c r="F111" s="409">
        <f>F110</f>
        <v>536524087.00900006</v>
      </c>
      <c r="G111" s="409">
        <f t="shared" si="87"/>
        <v>-399803512.99099994</v>
      </c>
      <c r="H111" s="410">
        <f>F111/C111</f>
        <v>0.5730089415381967</v>
      </c>
      <c r="I111" s="192">
        <f>IF(H111&gt;=1,3500000,IF(H111&gt;=0.9,2500000,0))</f>
        <v>0</v>
      </c>
      <c r="M111" s="408" t="str">
        <f>$B$12</f>
        <v>TARGET Q3</v>
      </c>
      <c r="N111" s="409">
        <v>960336000</v>
      </c>
      <c r="O111" s="431"/>
      <c r="P111" s="431"/>
      <c r="Q111" s="409">
        <f>Q110</f>
        <v>497930044.14470005</v>
      </c>
      <c r="R111" s="409">
        <f t="shared" si="89"/>
        <v>-462405955.85529995</v>
      </c>
      <c r="S111" s="410">
        <f>Q111/N111</f>
        <v>0.51849565583785262</v>
      </c>
      <c r="T111" s="192">
        <f>IF(S111&gt;=1,3500000,IF(S111&gt;=0.9,2500000,0))</f>
        <v>0</v>
      </c>
    </row>
    <row r="112" spans="1:21" ht="14.5" customHeight="1" x14ac:dyDescent="0.4">
      <c r="B112" s="417"/>
      <c r="C112" s="412">
        <f>C111/C110</f>
        <v>0.9</v>
      </c>
      <c r="D112" s="413"/>
      <c r="E112" s="414"/>
      <c r="F112" s="415"/>
      <c r="G112" s="416"/>
      <c r="H112" s="413"/>
      <c r="N112" s="412">
        <f>N111/N110</f>
        <v>0.9</v>
      </c>
    </row>
    <row r="113" spans="2:21" x14ac:dyDescent="0.4">
      <c r="B113" s="417"/>
      <c r="C113" s="412"/>
      <c r="D113" s="413"/>
      <c r="E113" s="414"/>
      <c r="F113" s="415"/>
      <c r="G113" s="416"/>
      <c r="H113" s="413"/>
    </row>
    <row r="114" spans="2:21" s="290" customFormat="1" ht="14.5" customHeight="1" x14ac:dyDescent="0.4">
      <c r="B114" s="418"/>
      <c r="C114" s="419"/>
      <c r="D114" s="420"/>
      <c r="E114" s="421"/>
      <c r="F114" s="422"/>
      <c r="G114" s="423"/>
      <c r="H114" s="420"/>
      <c r="I114" s="297"/>
      <c r="J114" s="298"/>
      <c r="M114" s="418"/>
      <c r="N114" s="420"/>
      <c r="O114" s="451"/>
      <c r="P114" s="420"/>
      <c r="Q114" s="422"/>
      <c r="R114" s="419"/>
      <c r="S114" s="420"/>
      <c r="T114" s="291"/>
      <c r="U114" s="300"/>
    </row>
    <row r="115" spans="2:21" ht="14.5" customHeight="1" x14ac:dyDescent="0.4">
      <c r="B115" s="417"/>
      <c r="C115" s="424"/>
      <c r="D115" s="413"/>
      <c r="E115" s="414"/>
      <c r="F115" s="415"/>
      <c r="G115" s="416"/>
      <c r="H115" s="413"/>
    </row>
    <row r="116" spans="2:21" ht="15" customHeight="1" x14ac:dyDescent="0.35">
      <c r="B116" s="642" t="s">
        <v>123</v>
      </c>
      <c r="C116" s="642"/>
      <c r="D116" s="642"/>
      <c r="E116" s="642"/>
      <c r="F116" s="642"/>
      <c r="G116" s="642"/>
      <c r="H116" s="642"/>
      <c r="I116"/>
      <c r="J116"/>
      <c r="M116" s="632" t="s">
        <v>124</v>
      </c>
      <c r="N116" s="633"/>
      <c r="O116" s="633"/>
      <c r="P116" s="633"/>
      <c r="Q116" s="633"/>
      <c r="R116" s="633"/>
      <c r="S116" s="634"/>
      <c r="T116" s="194"/>
      <c r="U116" s="194"/>
    </row>
    <row r="117" spans="2:21" ht="15" customHeight="1" x14ac:dyDescent="0.35">
      <c r="B117" s="642"/>
      <c r="C117" s="642"/>
      <c r="D117" s="642"/>
      <c r="E117" s="642"/>
      <c r="F117" s="642"/>
      <c r="G117" s="642"/>
      <c r="H117" s="642"/>
      <c r="I117"/>
      <c r="J117"/>
      <c r="M117" s="635"/>
      <c r="N117" s="636"/>
      <c r="O117" s="636"/>
      <c r="P117" s="636"/>
      <c r="Q117" s="636"/>
      <c r="R117" s="636"/>
      <c r="S117" s="637"/>
      <c r="T117" s="194"/>
      <c r="U117" s="194"/>
    </row>
    <row r="118" spans="2:21" ht="15" customHeight="1" x14ac:dyDescent="0.35">
      <c r="B118" s="655" t="s">
        <v>125</v>
      </c>
      <c r="C118" s="654" t="s">
        <v>94</v>
      </c>
      <c r="D118" s="655" t="s">
        <v>91</v>
      </c>
      <c r="E118" s="655" t="s">
        <v>62</v>
      </c>
      <c r="F118" s="656" t="str">
        <f>F48</f>
        <v>OMSET AGU
 (1-31)</v>
      </c>
      <c r="G118" s="654" t="s">
        <v>126</v>
      </c>
      <c r="H118" s="425" t="s">
        <v>128</v>
      </c>
      <c r="I118"/>
      <c r="J118"/>
      <c r="M118" s="638" t="s">
        <v>125</v>
      </c>
      <c r="N118" s="643" t="s">
        <v>94</v>
      </c>
      <c r="O118" s="638" t="s">
        <v>91</v>
      </c>
      <c r="P118" s="638" t="s">
        <v>62</v>
      </c>
      <c r="Q118" s="640" t="str">
        <f>Q48</f>
        <v>OMSET AGU
 (1-31)</v>
      </c>
      <c r="R118" s="643" t="s">
        <v>126</v>
      </c>
      <c r="S118" s="452" t="s">
        <v>128</v>
      </c>
      <c r="T118" s="194"/>
      <c r="U118" s="194"/>
    </row>
    <row r="119" spans="2:21" ht="30" customHeight="1" x14ac:dyDescent="0.35">
      <c r="B119" s="655"/>
      <c r="C119" s="654"/>
      <c r="D119" s="655"/>
      <c r="E119" s="655"/>
      <c r="F119" s="656"/>
      <c r="G119" s="654"/>
      <c r="H119" s="426">
        <f>100/DAY(EOMONTH($B$1,0))*DAY($B$1)/100</f>
        <v>1</v>
      </c>
      <c r="I119"/>
      <c r="J119"/>
      <c r="M119" s="639"/>
      <c r="N119" s="644"/>
      <c r="O119" s="639"/>
      <c r="P119" s="639"/>
      <c r="Q119" s="641"/>
      <c r="R119" s="644"/>
      <c r="S119" s="453">
        <f>100/DAY(EOMONTH($B$1,0))*DAY($B$1)/100</f>
        <v>1</v>
      </c>
      <c r="T119" s="194"/>
      <c r="U119" s="194"/>
    </row>
    <row r="120" spans="2:21" x14ac:dyDescent="0.4">
      <c r="B120" s="400" t="str">
        <f>C3</f>
        <v>CHRISTOPER</v>
      </c>
      <c r="C120" s="396">
        <f>C11</f>
        <v>1541592000</v>
      </c>
      <c r="D120" s="397">
        <f>D11</f>
        <v>95</v>
      </c>
      <c r="E120" s="427">
        <f>E11</f>
        <v>76</v>
      </c>
      <c r="F120" s="428">
        <f>F11</f>
        <v>1027245048.3465005</v>
      </c>
      <c r="G120" s="428">
        <f>G11</f>
        <v>-514346951.65349948</v>
      </c>
      <c r="H120" s="429">
        <f t="shared" ref="H120:H125" si="97">F120/C120</f>
        <v>0.66635338555629542</v>
      </c>
      <c r="I120"/>
      <c r="J120"/>
      <c r="M120" s="400" t="str">
        <f>N3</f>
        <v>FERDIAN</v>
      </c>
      <c r="N120" s="396">
        <f>N11</f>
        <v>1263600000</v>
      </c>
      <c r="O120" s="397">
        <f>O11</f>
        <v>88</v>
      </c>
      <c r="P120" s="427">
        <f>P11</f>
        <v>65</v>
      </c>
      <c r="Q120" s="428">
        <f>Q11</f>
        <v>752929184.33990002</v>
      </c>
      <c r="R120" s="428">
        <f>R11</f>
        <v>-510670815.66009998</v>
      </c>
      <c r="S120" s="429">
        <f>Q120/N120</f>
        <v>0.59586038646715733</v>
      </c>
      <c r="T120" s="228"/>
      <c r="U120" s="194"/>
    </row>
    <row r="121" spans="2:21" x14ac:dyDescent="0.4">
      <c r="B121" s="400" t="str">
        <f>C14</f>
        <v>AGPC : BOGOR</v>
      </c>
      <c r="C121" s="396">
        <f>C22</f>
        <v>1712880000</v>
      </c>
      <c r="D121" s="397">
        <f>D22</f>
        <v>94</v>
      </c>
      <c r="E121" s="427">
        <f>E22</f>
        <v>78</v>
      </c>
      <c r="F121" s="428">
        <f>F22</f>
        <v>1059981795.3146999</v>
      </c>
      <c r="G121" s="428">
        <f>G22</f>
        <v>-652898204.68530011</v>
      </c>
      <c r="H121" s="429">
        <f t="shared" si="97"/>
        <v>0.61883015466039648</v>
      </c>
      <c r="I121"/>
      <c r="J121"/>
      <c r="M121" s="400" t="str">
        <f>N14</f>
        <v>BOBBY</v>
      </c>
      <c r="N121" s="396">
        <f>N22</f>
        <v>1600560000</v>
      </c>
      <c r="O121" s="397">
        <f>O22</f>
        <v>81</v>
      </c>
      <c r="P121" s="427">
        <f>P22</f>
        <v>57</v>
      </c>
      <c r="Q121" s="428">
        <f>Q22</f>
        <v>447133940.11489999</v>
      </c>
      <c r="R121" s="428">
        <f>R22</f>
        <v>-1153426059.8850999</v>
      </c>
      <c r="S121" s="429">
        <f>Q121/N121</f>
        <v>0.27936093624412706</v>
      </c>
      <c r="T121" s="228"/>
      <c r="U121" s="194"/>
    </row>
    <row r="122" spans="2:21" x14ac:dyDescent="0.4">
      <c r="B122" s="400" t="str">
        <f>C25</f>
        <v>DIKI</v>
      </c>
      <c r="C122" s="396">
        <f>C33</f>
        <v>1627236000</v>
      </c>
      <c r="D122" s="397">
        <f>D33</f>
        <v>99</v>
      </c>
      <c r="E122" s="427">
        <f>E33</f>
        <v>88</v>
      </c>
      <c r="F122" s="428">
        <f>F33</f>
        <v>1829687240.2887998</v>
      </c>
      <c r="G122" s="428">
        <f>G33</f>
        <v>202451240.28879976</v>
      </c>
      <c r="H122" s="429">
        <f t="shared" si="97"/>
        <v>1.1244141847210851</v>
      </c>
      <c r="I122"/>
      <c r="J122"/>
      <c r="M122" s="400" t="str">
        <f>N25</f>
        <v>ALI AKBAR</v>
      </c>
      <c r="N122" s="396">
        <f>N33</f>
        <v>1516320000</v>
      </c>
      <c r="O122" s="397">
        <f>O33</f>
        <v>73</v>
      </c>
      <c r="P122" s="427">
        <f>P33</f>
        <v>54</v>
      </c>
      <c r="Q122" s="428">
        <f>Q33</f>
        <v>813265285.13399994</v>
      </c>
      <c r="R122" s="428">
        <f>R33</f>
        <v>-703054714.86600006</v>
      </c>
      <c r="S122" s="429">
        <f t="shared" ref="S122:S126" si="98">Q122/N122</f>
        <v>0.53634146165321306</v>
      </c>
      <c r="T122" s="228"/>
      <c r="U122" s="194"/>
    </row>
    <row r="123" spans="2:21" ht="14.5" customHeight="1" x14ac:dyDescent="0.4">
      <c r="B123" s="400" t="str">
        <f>C36</f>
        <v>NUR HABIBI</v>
      </c>
      <c r="C123" s="396">
        <f>C44</f>
        <v>1884168000</v>
      </c>
      <c r="D123" s="397">
        <f>D44</f>
        <v>85</v>
      </c>
      <c r="E123" s="427">
        <f>E44</f>
        <v>78</v>
      </c>
      <c r="F123" s="428">
        <f>F44</f>
        <v>1484266731.2544999</v>
      </c>
      <c r="G123" s="428">
        <f>G44</f>
        <v>-399901268.74550009</v>
      </c>
      <c r="H123" s="429">
        <f t="shared" si="97"/>
        <v>0.78775710618931005</v>
      </c>
      <c r="I123"/>
      <c r="J123"/>
      <c r="M123" s="400" t="str">
        <f>N36</f>
        <v>GILBERT</v>
      </c>
      <c r="N123" s="396">
        <f>N44</f>
        <v>2106000000</v>
      </c>
      <c r="O123" s="397">
        <f>O44</f>
        <v>64</v>
      </c>
      <c r="P123" s="427">
        <f>P44</f>
        <v>53</v>
      </c>
      <c r="Q123" s="428">
        <f>Q44</f>
        <v>1259571632.0727</v>
      </c>
      <c r="R123" s="428">
        <f>R44</f>
        <v>-846428367.92729998</v>
      </c>
      <c r="S123" s="429">
        <f t="shared" si="98"/>
        <v>0.59808719471638183</v>
      </c>
      <c r="T123" s="228"/>
      <c r="U123" s="194"/>
    </row>
    <row r="124" spans="2:21" ht="14.5" customHeight="1" x14ac:dyDescent="0.4">
      <c r="B124" s="400" t="str">
        <f>C47</f>
        <v>RIDWAN</v>
      </c>
      <c r="C124" s="396">
        <f>C55</f>
        <v>1798524000</v>
      </c>
      <c r="D124" s="397">
        <f>D55</f>
        <v>111</v>
      </c>
      <c r="E124" s="427">
        <f>E55</f>
        <v>101</v>
      </c>
      <c r="F124" s="428">
        <f>F55</f>
        <v>1660054321.190099</v>
      </c>
      <c r="G124" s="428">
        <f>G55</f>
        <v>-138469678.809901</v>
      </c>
      <c r="H124" s="429">
        <f t="shared" si="97"/>
        <v>0.92300926826114027</v>
      </c>
      <c r="I124"/>
      <c r="J124"/>
      <c r="M124" s="400" t="str">
        <f>N47</f>
        <v>ACHMAD FAUZI</v>
      </c>
      <c r="N124" s="396">
        <f>N55</f>
        <v>1937520000</v>
      </c>
      <c r="O124" s="397">
        <f>O55</f>
        <v>81</v>
      </c>
      <c r="P124" s="427">
        <f>P55</f>
        <v>62</v>
      </c>
      <c r="Q124" s="428">
        <f>Q55</f>
        <v>1030744922.5233998</v>
      </c>
      <c r="R124" s="428">
        <f>R55</f>
        <v>-906775077.47660017</v>
      </c>
      <c r="S124" s="429">
        <f t="shared" si="98"/>
        <v>0.53199188783775131</v>
      </c>
      <c r="T124" s="228"/>
      <c r="U124" s="194"/>
    </row>
    <row r="125" spans="2:21" x14ac:dyDescent="0.4">
      <c r="B125" s="403" t="s">
        <v>77</v>
      </c>
      <c r="C125" s="404">
        <f>SUM(C120:C124)</f>
        <v>8564400000</v>
      </c>
      <c r="D125" s="405">
        <f>SUM(D120:D124)</f>
        <v>484</v>
      </c>
      <c r="E125" s="406">
        <f>SUM(E120:E124)</f>
        <v>421</v>
      </c>
      <c r="F125" s="430">
        <f>SUM(F120:F124)</f>
        <v>7061235136.394599</v>
      </c>
      <c r="G125" s="404">
        <f>F125-C125</f>
        <v>-1503164863.605401</v>
      </c>
      <c r="H125" s="407">
        <f t="shared" si="97"/>
        <v>0.82448684512570625</v>
      </c>
      <c r="I125"/>
      <c r="J125"/>
      <c r="M125" s="446" t="s">
        <v>77</v>
      </c>
      <c r="N125" s="447">
        <f t="shared" ref="N125:Q125" si="99">SUM(N120:N124)</f>
        <v>8424000000</v>
      </c>
      <c r="O125" s="448">
        <f t="shared" si="99"/>
        <v>387</v>
      </c>
      <c r="P125" s="449">
        <f t="shared" si="99"/>
        <v>291</v>
      </c>
      <c r="Q125" s="454">
        <f t="shared" si="99"/>
        <v>4303644964.1849003</v>
      </c>
      <c r="R125" s="447">
        <f>Q125-N125</f>
        <v>-4120355035.8150997</v>
      </c>
      <c r="S125" s="450">
        <f t="shared" si="98"/>
        <v>0.5108790318358144</v>
      </c>
      <c r="T125" s="194"/>
      <c r="U125" s="194"/>
    </row>
    <row r="126" spans="2:21" x14ac:dyDescent="0.4">
      <c r="B126" s="408" t="str">
        <f>$B$12</f>
        <v>TARGET Q3</v>
      </c>
      <c r="C126" s="409">
        <f>SUM(C56,C45,C34,C23,C12)</f>
        <v>7707960000</v>
      </c>
      <c r="D126" s="431"/>
      <c r="E126" s="431"/>
      <c r="F126" s="432">
        <f>F125</f>
        <v>7061235136.394599</v>
      </c>
      <c r="G126" s="409">
        <f>F126-C126</f>
        <v>-646724863.60540104</v>
      </c>
      <c r="H126" s="433">
        <f t="shared" ref="H126" si="100">F126/C126</f>
        <v>0.91609649458411813</v>
      </c>
      <c r="I126"/>
      <c r="J126"/>
      <c r="M126" s="408" t="str">
        <f>$B$12</f>
        <v>TARGET Q3</v>
      </c>
      <c r="N126" s="409">
        <f>SUM(N56,N45,N34,N23,N12)</f>
        <v>7581600000</v>
      </c>
      <c r="O126" s="431"/>
      <c r="P126" s="431"/>
      <c r="Q126" s="432">
        <f>Q125</f>
        <v>4303644964.1849003</v>
      </c>
      <c r="R126" s="409">
        <f>Q126-N126</f>
        <v>-3277955035.8150997</v>
      </c>
      <c r="S126" s="433">
        <f t="shared" si="98"/>
        <v>0.56764336870646037</v>
      </c>
      <c r="T126" s="194"/>
      <c r="U126" s="194"/>
    </row>
    <row r="127" spans="2:21" x14ac:dyDescent="0.4">
      <c r="B127" s="417"/>
      <c r="C127" s="434"/>
      <c r="D127" s="435"/>
      <c r="E127" s="435"/>
      <c r="F127" s="435"/>
      <c r="G127" s="435"/>
      <c r="H127" s="435"/>
      <c r="I127" s="197"/>
      <c r="J127" s="246"/>
      <c r="N127" s="434"/>
      <c r="O127" s="435"/>
      <c r="P127" s="435"/>
      <c r="Q127" s="435"/>
      <c r="R127" s="455"/>
      <c r="S127" s="456"/>
      <c r="T127" s="197"/>
      <c r="U127" s="246"/>
    </row>
    <row r="128" spans="2:21" x14ac:dyDescent="0.4">
      <c r="B128" s="417"/>
      <c r="C128" s="424"/>
      <c r="D128" s="413"/>
      <c r="E128" s="414"/>
      <c r="F128" s="415"/>
      <c r="G128" s="416"/>
      <c r="H128" s="436"/>
    </row>
    <row r="129" spans="2:21" ht="15" customHeight="1" x14ac:dyDescent="0.35">
      <c r="B129" s="642" t="s">
        <v>187</v>
      </c>
      <c r="C129" s="642"/>
      <c r="D129" s="642"/>
      <c r="E129" s="642"/>
      <c r="F129" s="642"/>
      <c r="G129" s="642"/>
      <c r="H129" s="642"/>
      <c r="I129"/>
      <c r="J129"/>
      <c r="M129" s="632" t="s">
        <v>130</v>
      </c>
      <c r="N129" s="633"/>
      <c r="O129" s="633"/>
      <c r="P129" s="633"/>
      <c r="Q129" s="633"/>
      <c r="R129" s="633"/>
      <c r="S129" s="634"/>
      <c r="T129" s="194"/>
      <c r="U129" s="194"/>
    </row>
    <row r="130" spans="2:21" ht="15" customHeight="1" x14ac:dyDescent="0.35">
      <c r="B130" s="642"/>
      <c r="C130" s="642"/>
      <c r="D130" s="642"/>
      <c r="E130" s="642"/>
      <c r="F130" s="642"/>
      <c r="G130" s="642"/>
      <c r="H130" s="642"/>
      <c r="I130"/>
      <c r="J130"/>
      <c r="M130" s="635"/>
      <c r="N130" s="636"/>
      <c r="O130" s="636"/>
      <c r="P130" s="636"/>
      <c r="Q130" s="636"/>
      <c r="R130" s="636"/>
      <c r="S130" s="637"/>
      <c r="T130" s="194"/>
      <c r="U130" s="194"/>
    </row>
    <row r="131" spans="2:21" ht="15" customHeight="1" x14ac:dyDescent="0.35">
      <c r="B131" s="645" t="s">
        <v>125</v>
      </c>
      <c r="C131" s="650" t="s">
        <v>94</v>
      </c>
      <c r="D131" s="645" t="s">
        <v>91</v>
      </c>
      <c r="E131" s="645" t="s">
        <v>62</v>
      </c>
      <c r="F131" s="652" t="str">
        <f>F48</f>
        <v>OMSET AGU
 (1-31)</v>
      </c>
      <c r="G131" s="650" t="s">
        <v>126</v>
      </c>
      <c r="H131" s="425" t="s">
        <v>128</v>
      </c>
      <c r="I131" s="194"/>
      <c r="J131" s="194"/>
      <c r="M131" s="638" t="s">
        <v>125</v>
      </c>
      <c r="N131" s="643" t="s">
        <v>94</v>
      </c>
      <c r="O131" s="638" t="s">
        <v>91</v>
      </c>
      <c r="P131" s="638" t="s">
        <v>62</v>
      </c>
      <c r="Q131" s="640" t="str">
        <f>Q48</f>
        <v>OMSET AGU
 (1-31)</v>
      </c>
      <c r="R131" s="643" t="s">
        <v>126</v>
      </c>
      <c r="S131" s="452" t="s">
        <v>128</v>
      </c>
      <c r="T131" s="194"/>
      <c r="U131" s="194"/>
    </row>
    <row r="132" spans="2:21" ht="27.75" customHeight="1" x14ac:dyDescent="0.35">
      <c r="B132" s="646"/>
      <c r="C132" s="651"/>
      <c r="D132" s="646"/>
      <c r="E132" s="646"/>
      <c r="F132" s="653"/>
      <c r="G132" s="651"/>
      <c r="H132" s="426">
        <f>100/DAY(EOMONTH($B$1,0))*DAY($B$1)/100</f>
        <v>1</v>
      </c>
      <c r="I132" s="194"/>
      <c r="J132" s="194"/>
      <c r="M132" s="639"/>
      <c r="N132" s="644"/>
      <c r="O132" s="639"/>
      <c r="P132" s="639"/>
      <c r="Q132" s="641"/>
      <c r="R132" s="644"/>
      <c r="S132" s="453">
        <f>100/DAY(EOMONTH($B$1,0))*DAY($B$1)/100</f>
        <v>1</v>
      </c>
      <c r="T132" s="194"/>
      <c r="U132" s="194"/>
    </row>
    <row r="133" spans="2:21" ht="15" customHeight="1" x14ac:dyDescent="0.4">
      <c r="B133" s="400" t="str">
        <f>C58</f>
        <v>AHMAD</v>
      </c>
      <c r="C133" s="396">
        <f>C66</f>
        <v>1040364000</v>
      </c>
      <c r="D133" s="397">
        <f>D66</f>
        <v>80</v>
      </c>
      <c r="E133" s="427">
        <f>E66</f>
        <v>73</v>
      </c>
      <c r="F133" s="428">
        <f>F66</f>
        <v>635647436.78180003</v>
      </c>
      <c r="G133" s="428">
        <f>G66</f>
        <v>-404716563.21819997</v>
      </c>
      <c r="H133" s="429">
        <f>F133/C133</f>
        <v>0.61098561347932068</v>
      </c>
      <c r="I133" s="228"/>
      <c r="J133" s="194"/>
      <c r="M133" s="400" t="str">
        <f>N58</f>
        <v>AGUSTIAN</v>
      </c>
      <c r="N133" s="396">
        <f>N66</f>
        <v>1291680000</v>
      </c>
      <c r="O133" s="397">
        <f>O66</f>
        <v>78</v>
      </c>
      <c r="P133" s="427">
        <f>P66</f>
        <v>65</v>
      </c>
      <c r="Q133" s="428">
        <f>Q66</f>
        <v>712842175.25160003</v>
      </c>
      <c r="R133" s="428">
        <f>R66</f>
        <v>-578837824.74839997</v>
      </c>
      <c r="S133" s="429">
        <f>Q133/N133</f>
        <v>0.55187211635358602</v>
      </c>
      <c r="T133" s="194"/>
      <c r="U133" s="194"/>
    </row>
    <row r="134" spans="2:21" x14ac:dyDescent="0.4">
      <c r="B134" s="400" t="str">
        <f>C69</f>
        <v>ALFIN</v>
      </c>
      <c r="C134" s="396">
        <f>C77</f>
        <v>1368900000</v>
      </c>
      <c r="D134" s="397">
        <f>D77</f>
        <v>98</v>
      </c>
      <c r="E134" s="427">
        <f>E77</f>
        <v>85</v>
      </c>
      <c r="F134" s="428">
        <f>F77</f>
        <v>864454324.10309982</v>
      </c>
      <c r="G134" s="428">
        <f>G77</f>
        <v>-504445675.89690018</v>
      </c>
      <c r="H134" s="429">
        <f>F134/C134</f>
        <v>0.63149559800065735</v>
      </c>
      <c r="I134" s="228"/>
      <c r="J134" s="194"/>
      <c r="M134" s="400" t="str">
        <f>N69</f>
        <v>RAY FAHMI</v>
      </c>
      <c r="N134" s="396">
        <f>N77</f>
        <v>1291680000</v>
      </c>
      <c r="O134" s="397">
        <f>O77</f>
        <v>86</v>
      </c>
      <c r="P134" s="427">
        <f>P77</f>
        <v>75</v>
      </c>
      <c r="Q134" s="428">
        <f>Q77</f>
        <v>722612750.53970003</v>
      </c>
      <c r="R134" s="428">
        <f>R77</f>
        <v>-569067249.46029997</v>
      </c>
      <c r="S134" s="429">
        <f>Q134/N134</f>
        <v>0.55943635462320396</v>
      </c>
      <c r="T134" s="194"/>
      <c r="U134" s="194"/>
    </row>
    <row r="135" spans="2:21" x14ac:dyDescent="0.4">
      <c r="B135" s="400" t="str">
        <f>C80</f>
        <v>AGPC : JAKTIM-CKR</v>
      </c>
      <c r="C135" s="396">
        <f>C88</f>
        <v>985608000</v>
      </c>
      <c r="D135" s="397">
        <f>D88</f>
        <v>49</v>
      </c>
      <c r="E135" s="427">
        <f>E88</f>
        <v>52</v>
      </c>
      <c r="F135" s="428">
        <f>F88</f>
        <v>380141905.13459998</v>
      </c>
      <c r="G135" s="428">
        <f>G88</f>
        <v>-605466094.86540008</v>
      </c>
      <c r="H135" s="429">
        <f t="shared" ref="H135:H139" si="101">F135/C135</f>
        <v>0.38569279585250932</v>
      </c>
      <c r="I135" s="228"/>
      <c r="J135" s="194"/>
      <c r="M135" s="400" t="str">
        <f>N80</f>
        <v>LUDFY</v>
      </c>
      <c r="N135" s="396">
        <f t="shared" ref="N135:Q135" si="102">N88</f>
        <v>954720000.00000012</v>
      </c>
      <c r="O135" s="397">
        <f t="shared" si="102"/>
        <v>49</v>
      </c>
      <c r="P135" s="427">
        <f t="shared" si="102"/>
        <v>43</v>
      </c>
      <c r="Q135" s="428">
        <f t="shared" si="102"/>
        <v>350433755.46890008</v>
      </c>
      <c r="R135" s="428">
        <f>R88</f>
        <v>-604286244.53110003</v>
      </c>
      <c r="S135" s="429">
        <f t="shared" ref="S135:S139" si="103">Q135/N135</f>
        <v>0.3670539587197294</v>
      </c>
      <c r="T135" s="194"/>
      <c r="U135" s="194"/>
    </row>
    <row r="136" spans="2:21" x14ac:dyDescent="0.4">
      <c r="B136" s="400" t="str">
        <f>C91</f>
        <v>IPNU</v>
      </c>
      <c r="C136" s="396">
        <f>C99</f>
        <v>1040364000</v>
      </c>
      <c r="D136" s="397">
        <f>D99</f>
        <v>98</v>
      </c>
      <c r="E136" s="427">
        <f>E99</f>
        <v>86</v>
      </c>
      <c r="F136" s="428">
        <f>F99</f>
        <v>985404959.75679994</v>
      </c>
      <c r="G136" s="428">
        <f>G99</f>
        <v>-54959040.243200064</v>
      </c>
      <c r="H136" s="429">
        <f t="shared" si="101"/>
        <v>0.94717325835649824</v>
      </c>
      <c r="I136" s="228"/>
      <c r="J136" s="194"/>
      <c r="M136" s="400" t="str">
        <f>N91</f>
        <v>DIMAS</v>
      </c>
      <c r="N136" s="396">
        <f t="shared" ref="N136:Q136" si="104">N99</f>
        <v>1010880000</v>
      </c>
      <c r="O136" s="397">
        <f t="shared" si="104"/>
        <v>66</v>
      </c>
      <c r="P136" s="427">
        <f t="shared" si="104"/>
        <v>52</v>
      </c>
      <c r="Q136" s="428">
        <f t="shared" si="104"/>
        <v>552035274.75820005</v>
      </c>
      <c r="R136" s="428">
        <f>R99</f>
        <v>-458844725.24179995</v>
      </c>
      <c r="S136" s="429">
        <f t="shared" si="103"/>
        <v>0.54609377449173002</v>
      </c>
      <c r="T136" s="194"/>
      <c r="U136" s="194"/>
    </row>
    <row r="137" spans="2:21" x14ac:dyDescent="0.4">
      <c r="B137" s="400" t="str">
        <f>C102</f>
        <v>SYAEPULLOH</v>
      </c>
      <c r="C137" s="396">
        <f>C110</f>
        <v>1040364000</v>
      </c>
      <c r="D137" s="397">
        <f>D110</f>
        <v>67</v>
      </c>
      <c r="E137" s="427">
        <f>E110</f>
        <v>52</v>
      </c>
      <c r="F137" s="428">
        <f>F110</f>
        <v>536524087.00900006</v>
      </c>
      <c r="G137" s="428">
        <f>G110</f>
        <v>-503839912.99099994</v>
      </c>
      <c r="H137" s="429">
        <f t="shared" si="101"/>
        <v>0.51570804738437703</v>
      </c>
      <c r="I137" s="228"/>
      <c r="J137" s="194"/>
      <c r="M137" s="400" t="str">
        <f>N102</f>
        <v>DEVANI</v>
      </c>
      <c r="N137" s="396">
        <f t="shared" ref="N137:Q137" si="105">N110</f>
        <v>1067040000</v>
      </c>
      <c r="O137" s="397">
        <f t="shared" si="105"/>
        <v>78</v>
      </c>
      <c r="P137" s="427">
        <f t="shared" si="105"/>
        <v>55</v>
      </c>
      <c r="Q137" s="428">
        <f t="shared" si="105"/>
        <v>497930044.14470005</v>
      </c>
      <c r="R137" s="428">
        <f>R110</f>
        <v>-569109955.85529995</v>
      </c>
      <c r="S137" s="429">
        <f t="shared" si="103"/>
        <v>0.46664609025406739</v>
      </c>
      <c r="T137" s="194"/>
      <c r="U137" s="194"/>
    </row>
    <row r="138" spans="2:21" x14ac:dyDescent="0.4">
      <c r="B138" s="403" t="s">
        <v>77</v>
      </c>
      <c r="C138" s="404">
        <f t="shared" ref="C138:E138" si="106">SUM(C133:C137)</f>
        <v>5475600000</v>
      </c>
      <c r="D138" s="405">
        <f>SUM(D133:D137)</f>
        <v>392</v>
      </c>
      <c r="E138" s="406">
        <f t="shared" si="106"/>
        <v>348</v>
      </c>
      <c r="F138" s="430">
        <f>SUM(F133:F137)</f>
        <v>3402172712.7852993</v>
      </c>
      <c r="G138" s="404">
        <f>F138-C138</f>
        <v>-2073427287.2147007</v>
      </c>
      <c r="H138" s="407">
        <f t="shared" si="101"/>
        <v>0.62133331740545317</v>
      </c>
      <c r="I138" s="194"/>
      <c r="J138" s="194"/>
      <c r="M138" s="446" t="s">
        <v>77</v>
      </c>
      <c r="N138" s="447">
        <f t="shared" ref="N138" si="107">SUM(N133:N137)</f>
        <v>5616000000</v>
      </c>
      <c r="O138" s="448">
        <f>SUM(O133:O137)</f>
        <v>357</v>
      </c>
      <c r="P138" s="449">
        <f t="shared" ref="P138" si="108">SUM(P133:P137)</f>
        <v>290</v>
      </c>
      <c r="Q138" s="454">
        <f>SUM(Q133:Q137)</f>
        <v>2835854000.1631002</v>
      </c>
      <c r="R138" s="447">
        <f>Q138-N138</f>
        <v>-2780145999.8368998</v>
      </c>
      <c r="S138" s="450">
        <f t="shared" si="103"/>
        <v>0.50495975786379987</v>
      </c>
      <c r="T138" s="194"/>
      <c r="U138" s="194"/>
    </row>
    <row r="139" spans="2:21" x14ac:dyDescent="0.4">
      <c r="B139" s="408" t="str">
        <f>$B$12</f>
        <v>TARGET Q3</v>
      </c>
      <c r="C139" s="409">
        <f>SUM(C111,C100,C89,C78,C67)</f>
        <v>4928040000</v>
      </c>
      <c r="D139" s="431"/>
      <c r="E139" s="431"/>
      <c r="F139" s="432">
        <f>F138</f>
        <v>3402172712.7852993</v>
      </c>
      <c r="G139" s="409">
        <f>F139-C139</f>
        <v>-1525867287.2147007</v>
      </c>
      <c r="H139" s="433">
        <f t="shared" si="101"/>
        <v>0.69037035267272573</v>
      </c>
      <c r="I139" s="194"/>
      <c r="J139" s="194"/>
      <c r="M139" s="408" t="str">
        <f>$B$12</f>
        <v>TARGET Q3</v>
      </c>
      <c r="N139" s="409">
        <f>SUM(N111,N100,N89,N78,N67)</f>
        <v>5054400000</v>
      </c>
      <c r="O139" s="431"/>
      <c r="P139" s="431"/>
      <c r="Q139" s="432">
        <f>Q138</f>
        <v>2835854000.1631002</v>
      </c>
      <c r="R139" s="409">
        <f>Q139-N139</f>
        <v>-2218545999.8368998</v>
      </c>
      <c r="S139" s="433">
        <f t="shared" si="103"/>
        <v>0.56106639762644428</v>
      </c>
      <c r="T139" s="194"/>
      <c r="U139" s="194"/>
    </row>
    <row r="140" spans="2:21" x14ac:dyDescent="0.4">
      <c r="B140" s="417"/>
      <c r="C140" s="434"/>
      <c r="D140" s="435"/>
      <c r="E140" s="435"/>
      <c r="F140" s="435"/>
      <c r="G140" s="435"/>
      <c r="H140" s="435"/>
      <c r="I140" s="197"/>
      <c r="J140" s="246"/>
      <c r="N140" s="434"/>
      <c r="O140" s="435"/>
      <c r="P140" s="435"/>
      <c r="Q140" s="435"/>
      <c r="R140" s="455"/>
      <c r="S140" s="456"/>
      <c r="T140" s="197"/>
      <c r="U140" s="246"/>
    </row>
    <row r="141" spans="2:21" ht="15" customHeight="1" x14ac:dyDescent="0.4">
      <c r="B141" s="417"/>
      <c r="C141" s="424"/>
      <c r="D141" s="413"/>
      <c r="E141" s="414"/>
      <c r="F141" s="415"/>
      <c r="G141" s="416"/>
      <c r="H141" s="413"/>
    </row>
    <row r="142" spans="2:21" ht="15" customHeight="1" x14ac:dyDescent="0.35">
      <c r="B142" s="642" t="s">
        <v>131</v>
      </c>
      <c r="C142" s="642"/>
      <c r="D142" s="642"/>
      <c r="E142" s="642"/>
      <c r="F142" s="642"/>
      <c r="G142" s="642"/>
      <c r="H142" s="642"/>
      <c r="I142"/>
      <c r="J142"/>
      <c r="M142" s="642" t="s">
        <v>132</v>
      </c>
      <c r="N142" s="642"/>
      <c r="O142" s="642"/>
      <c r="P142" s="642"/>
      <c r="Q142" s="642"/>
      <c r="R142" s="642"/>
      <c r="S142" s="642"/>
      <c r="T142" s="194"/>
      <c r="U142" s="194"/>
    </row>
    <row r="143" spans="2:21" ht="15" customHeight="1" x14ac:dyDescent="0.35">
      <c r="B143" s="642"/>
      <c r="C143" s="642"/>
      <c r="D143" s="642"/>
      <c r="E143" s="642"/>
      <c r="F143" s="642"/>
      <c r="G143" s="642"/>
      <c r="H143" s="642"/>
      <c r="I143"/>
      <c r="J143"/>
      <c r="M143" s="642"/>
      <c r="N143" s="642"/>
      <c r="O143" s="642"/>
      <c r="P143" s="642"/>
      <c r="Q143" s="642"/>
      <c r="R143" s="642"/>
      <c r="S143" s="642"/>
      <c r="T143" s="194"/>
      <c r="U143" s="194"/>
    </row>
    <row r="144" spans="2:21" ht="15" customHeight="1" x14ac:dyDescent="0.35">
      <c r="B144" s="645" t="s">
        <v>133</v>
      </c>
      <c r="C144" s="650" t="s">
        <v>94</v>
      </c>
      <c r="D144" s="645" t="s">
        <v>91</v>
      </c>
      <c r="E144" s="645" t="s">
        <v>62</v>
      </c>
      <c r="F144" s="652" t="str">
        <f>F131</f>
        <v>OMSET AGU
 (1-31)</v>
      </c>
      <c r="G144" s="650" t="s">
        <v>126</v>
      </c>
      <c r="H144" s="425" t="s">
        <v>128</v>
      </c>
      <c r="I144" s="194"/>
      <c r="J144" s="194"/>
      <c r="M144" s="638" t="s">
        <v>133</v>
      </c>
      <c r="N144" s="643" t="s">
        <v>94</v>
      </c>
      <c r="O144" s="638" t="s">
        <v>91</v>
      </c>
      <c r="P144" s="638" t="s">
        <v>62</v>
      </c>
      <c r="Q144" s="640" t="str">
        <f>Q131</f>
        <v>OMSET AGU
 (1-31)</v>
      </c>
      <c r="R144" s="643" t="s">
        <v>126</v>
      </c>
      <c r="S144" s="452" t="s">
        <v>128</v>
      </c>
      <c r="T144" s="194"/>
      <c r="U144" s="194"/>
    </row>
    <row r="145" spans="2:21" x14ac:dyDescent="0.35">
      <c r="B145" s="646"/>
      <c r="C145" s="651"/>
      <c r="D145" s="646"/>
      <c r="E145" s="646"/>
      <c r="F145" s="653"/>
      <c r="G145" s="651"/>
      <c r="H145" s="426">
        <f>100/DAY(EOMONTH($B$1,0))*DAY($B$1)/100</f>
        <v>1</v>
      </c>
      <c r="I145" s="194"/>
      <c r="J145" s="194"/>
      <c r="M145" s="639"/>
      <c r="N145" s="644"/>
      <c r="O145" s="639"/>
      <c r="P145" s="639"/>
      <c r="Q145" s="641"/>
      <c r="R145" s="644"/>
      <c r="S145" s="453">
        <f>100/DAY(EOMONTH($B$1,0))*DAY($B$1)/100</f>
        <v>1</v>
      </c>
      <c r="T145" s="194"/>
      <c r="U145" s="194"/>
    </row>
    <row r="146" spans="2:21" x14ac:dyDescent="0.4">
      <c r="B146" s="437" t="s">
        <v>134</v>
      </c>
      <c r="C146" s="396">
        <f>C125</f>
        <v>8564400000</v>
      </c>
      <c r="D146" s="397">
        <f>D125</f>
        <v>484</v>
      </c>
      <c r="E146" s="427">
        <f>E125</f>
        <v>421</v>
      </c>
      <c r="F146" s="428">
        <f>F125</f>
        <v>7061235136.394599</v>
      </c>
      <c r="G146" s="396">
        <f>F146-C146</f>
        <v>-1503164863.605401</v>
      </c>
      <c r="H146" s="438">
        <f>F146/C146</f>
        <v>0.82448684512570625</v>
      </c>
      <c r="I146" s="194"/>
      <c r="J146" s="194"/>
      <c r="M146" s="437" t="s">
        <v>134</v>
      </c>
      <c r="N146" s="396">
        <f>N125</f>
        <v>8424000000</v>
      </c>
      <c r="O146" s="397">
        <f>O125</f>
        <v>387</v>
      </c>
      <c r="P146" s="427">
        <f>P125</f>
        <v>291</v>
      </c>
      <c r="Q146" s="428">
        <f>Q125</f>
        <v>4303644964.1849003</v>
      </c>
      <c r="R146" s="396">
        <f>Q146-N146</f>
        <v>-4120355035.8150997</v>
      </c>
      <c r="S146" s="438">
        <f>Q146/N146</f>
        <v>0.5108790318358144</v>
      </c>
      <c r="T146" s="194"/>
      <c r="U146" s="194"/>
    </row>
    <row r="147" spans="2:21" x14ac:dyDescent="0.4">
      <c r="B147" s="437" t="s">
        <v>136</v>
      </c>
      <c r="C147" s="396">
        <f>C138</f>
        <v>5475600000</v>
      </c>
      <c r="D147" s="397">
        <f>D138</f>
        <v>392</v>
      </c>
      <c r="E147" s="427">
        <f>E138</f>
        <v>348</v>
      </c>
      <c r="F147" s="428">
        <f>F138</f>
        <v>3402172712.7852993</v>
      </c>
      <c r="G147" s="396">
        <f>F147-C147</f>
        <v>-2073427287.2147007</v>
      </c>
      <c r="H147" s="438">
        <f t="shared" ref="H147:H148" si="109">F147/C147</f>
        <v>0.62133331740545317</v>
      </c>
      <c r="I147" s="194"/>
      <c r="J147" s="194"/>
      <c r="M147" s="437" t="s">
        <v>136</v>
      </c>
      <c r="N147" s="396">
        <f>N138</f>
        <v>5616000000</v>
      </c>
      <c r="O147" s="397">
        <f>O138</f>
        <v>357</v>
      </c>
      <c r="P147" s="427">
        <f>P138</f>
        <v>290</v>
      </c>
      <c r="Q147" s="428">
        <f>Q138</f>
        <v>2835854000.1631002</v>
      </c>
      <c r="R147" s="396">
        <f t="shared" ref="R147:R148" si="110">Q147-N147</f>
        <v>-2780145999.8368998</v>
      </c>
      <c r="S147" s="438">
        <f t="shared" ref="S147:S148" si="111">Q147/N147</f>
        <v>0.50495975786379987</v>
      </c>
      <c r="T147" s="194"/>
      <c r="U147" s="194"/>
    </row>
    <row r="148" spans="2:21" x14ac:dyDescent="0.4">
      <c r="B148" s="403" t="s">
        <v>77</v>
      </c>
      <c r="C148" s="404">
        <f>SUM(C146:C147)</f>
        <v>14040000000</v>
      </c>
      <c r="D148" s="405">
        <f t="shared" ref="D148:F148" si="112">SUM(D146:D147)</f>
        <v>876</v>
      </c>
      <c r="E148" s="406">
        <f t="shared" si="112"/>
        <v>769</v>
      </c>
      <c r="F148" s="430">
        <f t="shared" si="112"/>
        <v>10463407849.179897</v>
      </c>
      <c r="G148" s="404">
        <f t="shared" ref="G148" si="113">F148-C148</f>
        <v>-3576592150.8201027</v>
      </c>
      <c r="H148" s="407">
        <f t="shared" si="109"/>
        <v>0.74525696931480745</v>
      </c>
      <c r="I148" s="194"/>
      <c r="J148" s="194"/>
      <c r="M148" s="446" t="s">
        <v>77</v>
      </c>
      <c r="N148" s="447">
        <f>SUM(N146:N147)</f>
        <v>14040000000</v>
      </c>
      <c r="O148" s="448">
        <f t="shared" ref="O148:Q148" si="114">SUM(O146:O147)</f>
        <v>744</v>
      </c>
      <c r="P148" s="449">
        <f t="shared" si="114"/>
        <v>581</v>
      </c>
      <c r="Q148" s="454">
        <f t="shared" si="114"/>
        <v>7139498964.3480005</v>
      </c>
      <c r="R148" s="447">
        <f t="shared" si="110"/>
        <v>-6900501035.6519995</v>
      </c>
      <c r="S148" s="450">
        <f t="shared" si="111"/>
        <v>0.50851132224700857</v>
      </c>
      <c r="T148" s="194"/>
      <c r="U148" s="194"/>
    </row>
  </sheetData>
  <mergeCells count="82">
    <mergeCell ref="O91:R91"/>
    <mergeCell ref="L102:L110"/>
    <mergeCell ref="O102:R102"/>
    <mergeCell ref="A69:A77"/>
    <mergeCell ref="A36:A44"/>
    <mergeCell ref="A58:A66"/>
    <mergeCell ref="A47:A55"/>
    <mergeCell ref="A102:A110"/>
    <mergeCell ref="D102:G102"/>
    <mergeCell ref="O69:R69"/>
    <mergeCell ref="O80:R80"/>
    <mergeCell ref="D91:G91"/>
    <mergeCell ref="L91:L99"/>
    <mergeCell ref="A91:A99"/>
    <mergeCell ref="A80:A88"/>
    <mergeCell ref="D69:G69"/>
    <mergeCell ref="L69:L77"/>
    <mergeCell ref="D80:G80"/>
    <mergeCell ref="L80:L88"/>
    <mergeCell ref="D25:G25"/>
    <mergeCell ref="L25:L33"/>
    <mergeCell ref="A3:A11"/>
    <mergeCell ref="A25:A33"/>
    <mergeCell ref="A14:A22"/>
    <mergeCell ref="D3:G3"/>
    <mergeCell ref="L3:L11"/>
    <mergeCell ref="E144:E145"/>
    <mergeCell ref="F144:F145"/>
    <mergeCell ref="O3:R3"/>
    <mergeCell ref="D14:G14"/>
    <mergeCell ref="L14:L22"/>
    <mergeCell ref="O14:R14"/>
    <mergeCell ref="D58:G58"/>
    <mergeCell ref="L58:L66"/>
    <mergeCell ref="O58:R58"/>
    <mergeCell ref="O25:R25"/>
    <mergeCell ref="D36:G36"/>
    <mergeCell ref="L36:L44"/>
    <mergeCell ref="O36:R36"/>
    <mergeCell ref="D47:G47"/>
    <mergeCell ref="L47:L55"/>
    <mergeCell ref="O47:R47"/>
    <mergeCell ref="G144:G145"/>
    <mergeCell ref="P144:P145"/>
    <mergeCell ref="Q144:Q145"/>
    <mergeCell ref="R144:R145"/>
    <mergeCell ref="B131:B132"/>
    <mergeCell ref="C131:C132"/>
    <mergeCell ref="D131:D132"/>
    <mergeCell ref="E131:E132"/>
    <mergeCell ref="B142:H143"/>
    <mergeCell ref="M142:S143"/>
    <mergeCell ref="M144:M145"/>
    <mergeCell ref="N144:N145"/>
    <mergeCell ref="O144:O145"/>
    <mergeCell ref="B144:B145"/>
    <mergeCell ref="C144:C145"/>
    <mergeCell ref="D144:D145"/>
    <mergeCell ref="B129:H130"/>
    <mergeCell ref="M129:S130"/>
    <mergeCell ref="M131:M132"/>
    <mergeCell ref="N131:N132"/>
    <mergeCell ref="O131:O132"/>
    <mergeCell ref="F131:F132"/>
    <mergeCell ref="G131:G132"/>
    <mergeCell ref="P131:P132"/>
    <mergeCell ref="Q131:Q132"/>
    <mergeCell ref="R131:R132"/>
    <mergeCell ref="B116:H117"/>
    <mergeCell ref="M116:S117"/>
    <mergeCell ref="M118:M119"/>
    <mergeCell ref="N118:N119"/>
    <mergeCell ref="O118:O119"/>
    <mergeCell ref="B118:B119"/>
    <mergeCell ref="C118:C119"/>
    <mergeCell ref="D118:D119"/>
    <mergeCell ref="E118:E119"/>
    <mergeCell ref="F118:F119"/>
    <mergeCell ref="G118:G119"/>
    <mergeCell ref="P118:P119"/>
    <mergeCell ref="Q118:Q119"/>
    <mergeCell ref="R118:R119"/>
  </mergeCells>
  <phoneticPr fontId="9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C7B70-F13A-44EE-8577-60708DB7637C}">
  <sheetPr>
    <tabColor rgb="FFFFFF00"/>
    <pageSetUpPr fitToPage="1"/>
  </sheetPr>
  <dimension ref="A1:AC148"/>
  <sheetViews>
    <sheetView showGridLines="0" tabSelected="1" zoomScale="60" zoomScaleNormal="70" workbookViewId="0">
      <selection activeCell="B3" sqref="B3"/>
    </sheetView>
  </sheetViews>
  <sheetFormatPr defaultColWidth="8.7265625" defaultRowHeight="16" x14ac:dyDescent="0.4"/>
  <cols>
    <col min="1" max="1" width="8.7265625" style="194"/>
    <col min="2" max="2" width="17" style="194" customWidth="1"/>
    <col min="3" max="3" width="19.453125" style="186" customWidth="1"/>
    <col min="4" max="4" width="8.1796875" style="187" customWidth="1"/>
    <col min="5" max="5" width="8.1796875" style="188" customWidth="1"/>
    <col min="6" max="6" width="20.6328125" style="189" customWidth="1"/>
    <col min="7" max="7" width="19.453125" style="191" customWidth="1"/>
    <col min="8" max="8" width="16.1796875" style="187" customWidth="1"/>
    <col min="9" max="9" width="16.453125" style="192" customWidth="1"/>
    <col min="10" max="10" width="18.7265625" style="193" bestFit="1" customWidth="1"/>
    <col min="11" max="11" width="18.54296875" style="194" customWidth="1"/>
    <col min="12" max="12" width="11.81640625" style="194" bestFit="1" customWidth="1"/>
    <col min="13" max="13" width="17" style="417" customWidth="1"/>
    <col min="14" max="14" width="19.453125" style="413" customWidth="1"/>
    <col min="15" max="15" width="8.1796875" style="439" customWidth="1"/>
    <col min="16" max="16" width="8.1796875" style="413" customWidth="1"/>
    <col min="17" max="17" width="20.6328125" style="415" customWidth="1"/>
    <col min="18" max="18" width="19.453125" style="424" customWidth="1"/>
    <col min="19" max="19" width="16.1796875" style="413" customWidth="1"/>
    <col min="20" max="20" width="15.7265625" style="186" customWidth="1"/>
    <col min="21" max="21" width="18.54296875" style="196" customWidth="1"/>
    <col min="22" max="22" width="14" style="194" bestFit="1" customWidth="1"/>
    <col min="23" max="23" width="12.54296875" style="194" customWidth="1"/>
    <col min="24" max="24" width="13" style="194" bestFit="1" customWidth="1"/>
    <col min="25" max="27" width="9.1796875" style="194" hidden="1" customWidth="1"/>
    <col min="28" max="28" width="7.7265625" style="194" hidden="1" customWidth="1"/>
    <col min="29" max="29" width="22.1796875" style="194" hidden="1" customWidth="1"/>
    <col min="30" max="30" width="24.1796875" style="194" customWidth="1"/>
    <col min="31" max="31" width="16" style="194" customWidth="1"/>
    <col min="32" max="32" width="12.54296875" style="194" bestFit="1" customWidth="1"/>
    <col min="33" max="34" width="18.26953125" style="194" customWidth="1"/>
    <col min="35" max="35" width="12.54296875" style="194" bestFit="1" customWidth="1"/>
    <col min="36" max="36" width="13.81640625" style="194" bestFit="1" customWidth="1"/>
    <col min="37" max="37" width="14.54296875" style="194" customWidth="1"/>
    <col min="38" max="16384" width="8.7265625" style="194"/>
  </cols>
  <sheetData>
    <row r="1" spans="1:22" ht="16.5" thickBot="1" x14ac:dyDescent="0.45">
      <c r="A1" s="184" t="s">
        <v>88</v>
      </c>
      <c r="B1" s="185">
        <v>46286</v>
      </c>
    </row>
    <row r="2" spans="1:22" ht="16.5" thickBot="1" x14ac:dyDescent="0.45"/>
    <row r="3" spans="1:22" ht="19.5" customHeight="1" x14ac:dyDescent="0.35">
      <c r="A3" s="627">
        <v>1</v>
      </c>
      <c r="B3" s="390" t="s">
        <v>57</v>
      </c>
      <c r="C3" s="391" t="s">
        <v>90</v>
      </c>
      <c r="D3" s="657" t="s">
        <v>175</v>
      </c>
      <c r="E3" s="658"/>
      <c r="F3" s="658"/>
      <c r="G3" s="659"/>
      <c r="H3" s="390" t="s">
        <v>66</v>
      </c>
      <c r="L3" s="613">
        <v>1</v>
      </c>
      <c r="M3" s="440" t="s">
        <v>57</v>
      </c>
      <c r="N3" s="441" t="s">
        <v>167</v>
      </c>
      <c r="O3" s="647" t="s">
        <v>183</v>
      </c>
      <c r="P3" s="648"/>
      <c r="Q3" s="648"/>
      <c r="R3" s="649"/>
      <c r="S3" s="440" t="s">
        <v>66</v>
      </c>
    </row>
    <row r="4" spans="1:22" s="199" customFormat="1" ht="36" customHeight="1" x14ac:dyDescent="0.35">
      <c r="A4" s="628"/>
      <c r="B4" s="390" t="s">
        <v>93</v>
      </c>
      <c r="C4" s="391" t="s">
        <v>94</v>
      </c>
      <c r="D4" s="392" t="s">
        <v>91</v>
      </c>
      <c r="E4" s="392" t="s">
        <v>62</v>
      </c>
      <c r="F4" s="393" t="str">
        <f>"OMSET "&amp;UPPER(TEXT($B$1,"MMM"))&amp;CHAR(10)&amp;" (1-"&amp;DAY($B$1)&amp;")"</f>
        <v>OMSET SEP
 (1-21)</v>
      </c>
      <c r="G4" s="391" t="s">
        <v>65</v>
      </c>
      <c r="H4" s="394">
        <f>100/DAY(EOMONTH($B$1,0))*DAY($B$1)/100</f>
        <v>0.7</v>
      </c>
      <c r="I4" s="197"/>
      <c r="J4" s="198"/>
      <c r="L4" s="614"/>
      <c r="M4" s="440" t="s">
        <v>93</v>
      </c>
      <c r="N4" s="441" t="s">
        <v>94</v>
      </c>
      <c r="O4" s="442" t="s">
        <v>91</v>
      </c>
      <c r="P4" s="442" t="s">
        <v>62</v>
      </c>
      <c r="Q4" s="443" t="str">
        <f>F4</f>
        <v>OMSET SEP
 (1-21)</v>
      </c>
      <c r="R4" s="444" t="s">
        <v>65</v>
      </c>
      <c r="S4" s="445">
        <f>H4</f>
        <v>0.7</v>
      </c>
      <c r="T4" s="202"/>
      <c r="U4" s="203"/>
    </row>
    <row r="5" spans="1:22" x14ac:dyDescent="0.4">
      <c r="A5" s="628"/>
      <c r="B5" s="395" t="s">
        <v>96</v>
      </c>
      <c r="C5" s="396">
        <v>164436480</v>
      </c>
      <c r="D5" s="397">
        <v>15</v>
      </c>
      <c r="E5" s="398">
        <v>15</v>
      </c>
      <c r="F5" s="399">
        <v>90804511.261300102</v>
      </c>
      <c r="G5" s="400">
        <f>F5-C5</f>
        <v>-73631968.738699898</v>
      </c>
      <c r="H5" s="401">
        <f>F5/C5</f>
        <v>0.55221634068851455</v>
      </c>
      <c r="I5" s="192">
        <f>IF(H5&gt;120%,F5* 0.55%, IF(H5&gt;100%,F5* 0.45%, IF(H5&gt;80%,F5* 0.35%, IF(H5&gt;60%,F5* 0.2%, 0))))</f>
        <v>0</v>
      </c>
      <c r="L5" s="614"/>
      <c r="M5" s="395" t="s">
        <v>96</v>
      </c>
      <c r="N5" s="396">
        <v>202176000</v>
      </c>
      <c r="O5" s="397">
        <v>11</v>
      </c>
      <c r="P5" s="398">
        <v>9</v>
      </c>
      <c r="Q5" s="399">
        <v>129214636.70260002</v>
      </c>
      <c r="R5" s="400">
        <f>Q5-N5</f>
        <v>-72961363.297399983</v>
      </c>
      <c r="S5" s="401">
        <f>Q5/N5</f>
        <v>0.63911956267113812</v>
      </c>
      <c r="T5" s="192">
        <f>IF(S5&gt;120%,Q5* 0.55%, IF(S5&gt;100%,Q5* 0.45%, IF(S5&gt;80%,Q5* 0.35%, IF(S5&gt;60%,Q5* 0.2%, 0))))</f>
        <v>258429.27340520005</v>
      </c>
    </row>
    <row r="6" spans="1:22" x14ac:dyDescent="0.4">
      <c r="A6" s="628"/>
      <c r="B6" s="395" t="s">
        <v>97</v>
      </c>
      <c r="C6" s="402">
        <v>274060800</v>
      </c>
      <c r="D6" s="397">
        <v>16</v>
      </c>
      <c r="E6" s="398">
        <v>15</v>
      </c>
      <c r="F6" s="399">
        <v>202509251.84690002</v>
      </c>
      <c r="G6" s="400">
        <f t="shared" ref="G6:G12" si="0">F6-C6</f>
        <v>-71551548.153099984</v>
      </c>
      <c r="H6" s="401">
        <f t="shared" ref="H6:H11" si="1">F6/C6</f>
        <v>0.73892089582640064</v>
      </c>
      <c r="I6" s="192">
        <f t="shared" ref="I6:I10" si="2">IF(H6&gt;120%,F6* 0.55%, IF(H6&gt;100%,F6* 0.45%, IF(H6&gt;80%,F6* 0.35%, IF(H6&gt;60%,F6* 0.2%, 0))))</f>
        <v>405018.50369380001</v>
      </c>
      <c r="L6" s="614"/>
      <c r="M6" s="395" t="s">
        <v>97</v>
      </c>
      <c r="N6" s="402">
        <v>157248000.00000003</v>
      </c>
      <c r="O6" s="397">
        <v>9</v>
      </c>
      <c r="P6" s="398">
        <v>9</v>
      </c>
      <c r="Q6" s="399">
        <v>122771636.78230004</v>
      </c>
      <c r="R6" s="400">
        <f t="shared" ref="R6:R12" si="3">Q6-N6</f>
        <v>-34476363.21769999</v>
      </c>
      <c r="S6" s="401">
        <f t="shared" ref="S6:S11" si="4">Q6/N6</f>
        <v>0.78075165841409755</v>
      </c>
      <c r="T6" s="192">
        <f t="shared" ref="T6:T10" si="5">IF(S6&gt;120%,Q6* 0.55%, IF(S6&gt;100%,Q6* 0.45%, IF(S6&gt;80%,Q6* 0.35%, IF(S6&gt;60%,Q6* 0.2%, 0))))</f>
        <v>245543.27356460009</v>
      </c>
    </row>
    <row r="7" spans="1:22" x14ac:dyDescent="0.4">
      <c r="A7" s="628"/>
      <c r="B7" s="395" t="s">
        <v>98</v>
      </c>
      <c r="C7" s="402">
        <v>109624320</v>
      </c>
      <c r="D7" s="397">
        <v>15</v>
      </c>
      <c r="E7" s="398">
        <v>14</v>
      </c>
      <c r="F7" s="399">
        <v>83186376.351900011</v>
      </c>
      <c r="G7" s="400">
        <f t="shared" si="0"/>
        <v>-26437943.648099989</v>
      </c>
      <c r="H7" s="401">
        <f t="shared" si="1"/>
        <v>0.75883140120641124</v>
      </c>
      <c r="I7" s="192">
        <f t="shared" si="2"/>
        <v>166372.75270380001</v>
      </c>
      <c r="L7" s="614"/>
      <c r="M7" s="395" t="s">
        <v>98</v>
      </c>
      <c r="N7" s="402">
        <v>179712000</v>
      </c>
      <c r="O7" s="397">
        <v>12</v>
      </c>
      <c r="P7" s="398">
        <v>9</v>
      </c>
      <c r="Q7" s="399">
        <v>91055591.846699968</v>
      </c>
      <c r="R7" s="400">
        <f t="shared" si="3"/>
        <v>-88656408.153300032</v>
      </c>
      <c r="S7" s="401">
        <f t="shared" si="4"/>
        <v>0.50667507927517341</v>
      </c>
      <c r="T7" s="192">
        <f t="shared" si="5"/>
        <v>0</v>
      </c>
    </row>
    <row r="8" spans="1:22" x14ac:dyDescent="0.4">
      <c r="A8" s="628"/>
      <c r="B8" s="395" t="s">
        <v>99</v>
      </c>
      <c r="C8" s="402">
        <v>150733440</v>
      </c>
      <c r="D8" s="397">
        <v>12</v>
      </c>
      <c r="E8" s="398">
        <v>11</v>
      </c>
      <c r="F8" s="399">
        <v>69210362.270399943</v>
      </c>
      <c r="G8" s="400">
        <f t="shared" si="0"/>
        <v>-81523077.729600057</v>
      </c>
      <c r="H8" s="401">
        <f t="shared" si="1"/>
        <v>0.45915731950654043</v>
      </c>
      <c r="I8" s="192">
        <f t="shared" si="2"/>
        <v>0</v>
      </c>
      <c r="L8" s="614"/>
      <c r="M8" s="395" t="s">
        <v>99</v>
      </c>
      <c r="N8" s="402">
        <v>348192000</v>
      </c>
      <c r="O8" s="397">
        <v>25</v>
      </c>
      <c r="P8" s="398">
        <v>20</v>
      </c>
      <c r="Q8" s="399">
        <v>343818909.90960014</v>
      </c>
      <c r="R8" s="400">
        <f t="shared" si="3"/>
        <v>-4373090.0903998613</v>
      </c>
      <c r="S8" s="401">
        <f t="shared" si="4"/>
        <v>0.98744057850151679</v>
      </c>
      <c r="T8" s="192">
        <f t="shared" si="5"/>
        <v>1203366.1846836004</v>
      </c>
    </row>
    <row r="9" spans="1:22" x14ac:dyDescent="0.4">
      <c r="A9" s="628"/>
      <c r="B9" s="395" t="s">
        <v>100</v>
      </c>
      <c r="C9" s="402">
        <v>205545600</v>
      </c>
      <c r="D9" s="397">
        <v>10</v>
      </c>
      <c r="E9" s="398">
        <v>7</v>
      </c>
      <c r="F9" s="399">
        <v>105438689.18920001</v>
      </c>
      <c r="G9" s="400">
        <f t="shared" si="0"/>
        <v>-100106910.81079999</v>
      </c>
      <c r="H9" s="401">
        <f t="shared" si="1"/>
        <v>0.51296981881003545</v>
      </c>
      <c r="I9" s="192">
        <f t="shared" si="2"/>
        <v>0</v>
      </c>
      <c r="L9" s="614"/>
      <c r="M9" s="395" t="s">
        <v>100</v>
      </c>
      <c r="N9" s="402">
        <v>123552000</v>
      </c>
      <c r="O9" s="397">
        <v>14</v>
      </c>
      <c r="P9" s="398">
        <v>10</v>
      </c>
      <c r="Q9" s="399">
        <v>53449153.152799986</v>
      </c>
      <c r="R9" s="400">
        <f t="shared" si="3"/>
        <v>-70102846.847200006</v>
      </c>
      <c r="S9" s="401">
        <f t="shared" si="4"/>
        <v>0.43260451593499083</v>
      </c>
      <c r="T9" s="192">
        <f t="shared" si="5"/>
        <v>0</v>
      </c>
    </row>
    <row r="10" spans="1:22" x14ac:dyDescent="0.4">
      <c r="A10" s="628"/>
      <c r="B10" s="395" t="s">
        <v>101</v>
      </c>
      <c r="C10" s="402">
        <v>465903360.00000006</v>
      </c>
      <c r="D10" s="397">
        <v>23</v>
      </c>
      <c r="E10" s="398">
        <v>21</v>
      </c>
      <c r="F10" s="399">
        <v>284582918.4684999</v>
      </c>
      <c r="G10" s="400">
        <f t="shared" si="0"/>
        <v>-181320441.53150016</v>
      </c>
      <c r="H10" s="401">
        <f t="shared" si="1"/>
        <v>0.61081963106791048</v>
      </c>
      <c r="I10" s="192">
        <f t="shared" si="2"/>
        <v>569165.83693699981</v>
      </c>
      <c r="L10" s="614"/>
      <c r="M10" s="395" t="s">
        <v>101</v>
      </c>
      <c r="N10" s="402">
        <v>112320000</v>
      </c>
      <c r="O10" s="397">
        <v>7</v>
      </c>
      <c r="P10" s="398">
        <v>9</v>
      </c>
      <c r="Q10" s="399">
        <v>66278801.802200004</v>
      </c>
      <c r="R10" s="400">
        <f t="shared" si="3"/>
        <v>-46041198.197799996</v>
      </c>
      <c r="S10" s="401">
        <f t="shared" si="4"/>
        <v>0.59008904738425927</v>
      </c>
      <c r="T10" s="192">
        <f t="shared" si="5"/>
        <v>0</v>
      </c>
    </row>
    <row r="11" spans="1:22" s="199" customFormat="1" ht="14.5" customHeight="1" thickBot="1" x14ac:dyDescent="0.45">
      <c r="A11" s="628"/>
      <c r="B11" s="403" t="s">
        <v>77</v>
      </c>
      <c r="C11" s="404">
        <f t="shared" ref="C11:E11" si="6">SUM(C5:C10)</f>
        <v>1370304000</v>
      </c>
      <c r="D11" s="405">
        <f>SUM(D5:D10)</f>
        <v>91</v>
      </c>
      <c r="E11" s="406">
        <f t="shared" si="6"/>
        <v>83</v>
      </c>
      <c r="F11" s="404">
        <f>SUM(F5:F10)</f>
        <v>835732109.38820004</v>
      </c>
      <c r="G11" s="404">
        <f t="shared" si="0"/>
        <v>-534571890.61179996</v>
      </c>
      <c r="H11" s="407">
        <f t="shared" si="1"/>
        <v>0.60988810467472909</v>
      </c>
      <c r="I11" s="197">
        <f>SUM(I5:I10)</f>
        <v>1140557.0933345999</v>
      </c>
      <c r="J11" s="198"/>
      <c r="L11" s="615"/>
      <c r="M11" s="446" t="s">
        <v>77</v>
      </c>
      <c r="N11" s="447">
        <f t="shared" ref="N11:P11" si="7">SUM(N5:N10)</f>
        <v>1123200000</v>
      </c>
      <c r="O11" s="448">
        <f>SUM(O5:O10)</f>
        <v>78</v>
      </c>
      <c r="P11" s="449">
        <f t="shared" si="7"/>
        <v>66</v>
      </c>
      <c r="Q11" s="447">
        <f>SUM(Q5:Q10)</f>
        <v>806588730.19620013</v>
      </c>
      <c r="R11" s="447">
        <f t="shared" si="3"/>
        <v>-316611269.80379987</v>
      </c>
      <c r="S11" s="450">
        <f t="shared" si="4"/>
        <v>0.71811674696955141</v>
      </c>
      <c r="T11" s="197">
        <f>SUM(T5:T10)</f>
        <v>1707338.7316534007</v>
      </c>
      <c r="U11" s="203"/>
      <c r="V11" s="194"/>
    </row>
    <row r="12" spans="1:22" x14ac:dyDescent="0.4">
      <c r="B12" s="408" t="s">
        <v>84</v>
      </c>
      <c r="C12" s="409">
        <v>1233273600</v>
      </c>
      <c r="D12" s="431"/>
      <c r="E12" s="431"/>
      <c r="F12" s="409">
        <f>F11</f>
        <v>835732109.38820004</v>
      </c>
      <c r="G12" s="409">
        <f t="shared" si="0"/>
        <v>-397541490.61179996</v>
      </c>
      <c r="H12" s="410">
        <f>F12/C12</f>
        <v>0.67765344963858798</v>
      </c>
      <c r="I12" s="192">
        <f>IF(H12&gt;=1,3500000,IF(H12&gt;=0.9,2500000,0))</f>
        <v>0</v>
      </c>
      <c r="M12" s="408" t="str">
        <f>$B$12</f>
        <v>TARGET Q3</v>
      </c>
      <c r="N12" s="409">
        <v>1010880000</v>
      </c>
      <c r="O12" s="431"/>
      <c r="P12" s="431"/>
      <c r="Q12" s="409">
        <f>Q11</f>
        <v>806588730.19620013</v>
      </c>
      <c r="R12" s="409">
        <f t="shared" si="3"/>
        <v>-204291269.80379987</v>
      </c>
      <c r="S12" s="410">
        <f>Q12/N12</f>
        <v>0.79790749663283489</v>
      </c>
      <c r="T12" s="192">
        <f>IF(S12&gt;=1,3500000,IF(S12&gt;=0.9,2500000,0))</f>
        <v>0</v>
      </c>
    </row>
    <row r="13" spans="1:22" ht="16.5" thickBot="1" x14ac:dyDescent="0.45">
      <c r="B13" s="411">
        <v>0.9</v>
      </c>
      <c r="C13" s="412">
        <f>C12/C11</f>
        <v>0.9</v>
      </c>
      <c r="D13" s="413"/>
      <c r="E13" s="414"/>
      <c r="F13" s="415"/>
      <c r="G13" s="416"/>
      <c r="H13" s="413"/>
      <c r="M13" s="417">
        <f>90%</f>
        <v>0.9</v>
      </c>
      <c r="N13" s="412">
        <f>N12/N11</f>
        <v>0.9</v>
      </c>
    </row>
    <row r="14" spans="1:22" ht="19.5" customHeight="1" x14ac:dyDescent="0.35">
      <c r="A14" s="623">
        <v>2</v>
      </c>
      <c r="B14" s="390" t="s">
        <v>57</v>
      </c>
      <c r="C14" s="391" t="s">
        <v>188</v>
      </c>
      <c r="D14" s="657" t="s">
        <v>103</v>
      </c>
      <c r="E14" s="658"/>
      <c r="F14" s="658"/>
      <c r="G14" s="659"/>
      <c r="H14" s="390" t="s">
        <v>66</v>
      </c>
      <c r="L14" s="607">
        <v>2</v>
      </c>
      <c r="M14" s="440" t="s">
        <v>57</v>
      </c>
      <c r="N14" s="441" t="s">
        <v>195</v>
      </c>
      <c r="O14" s="647" t="s">
        <v>103</v>
      </c>
      <c r="P14" s="648"/>
      <c r="Q14" s="648"/>
      <c r="R14" s="649"/>
      <c r="S14" s="440" t="s">
        <v>66</v>
      </c>
    </row>
    <row r="15" spans="1:22" ht="36" customHeight="1" x14ac:dyDescent="0.35">
      <c r="A15" s="623"/>
      <c r="B15" s="390" t="s">
        <v>93</v>
      </c>
      <c r="C15" s="391" t="s">
        <v>94</v>
      </c>
      <c r="D15" s="392" t="s">
        <v>91</v>
      </c>
      <c r="E15" s="392" t="s">
        <v>62</v>
      </c>
      <c r="F15" s="393" t="str">
        <f>"OMSET "&amp;UPPER(TEXT($B$1,"MMM"))&amp;CHAR(10)&amp;" (1-"&amp;DAY($B$1)&amp;")"</f>
        <v>OMSET SEP
 (1-21)</v>
      </c>
      <c r="G15" s="391" t="s">
        <v>65</v>
      </c>
      <c r="H15" s="394">
        <f>100/DAY(EOMONTH($B$1,0))*DAY($B$1)/100</f>
        <v>0.7</v>
      </c>
      <c r="I15" s="211"/>
      <c r="J15" s="212"/>
      <c r="L15" s="608"/>
      <c r="M15" s="440" t="s">
        <v>93</v>
      </c>
      <c r="N15" s="441" t="s">
        <v>94</v>
      </c>
      <c r="O15" s="442" t="s">
        <v>91</v>
      </c>
      <c r="P15" s="442" t="s">
        <v>62</v>
      </c>
      <c r="Q15" s="443" t="str">
        <f>F15</f>
        <v>OMSET SEP
 (1-21)</v>
      </c>
      <c r="R15" s="444" t="s">
        <v>65</v>
      </c>
      <c r="S15" s="445">
        <f>H15</f>
        <v>0.7</v>
      </c>
      <c r="T15" s="202"/>
    </row>
    <row r="16" spans="1:22" x14ac:dyDescent="0.4">
      <c r="A16" s="623"/>
      <c r="B16" s="395" t="s">
        <v>96</v>
      </c>
      <c r="C16" s="396">
        <v>395865600</v>
      </c>
      <c r="D16" s="397">
        <v>19</v>
      </c>
      <c r="E16" s="398">
        <v>13</v>
      </c>
      <c r="F16" s="399">
        <v>398073398.0648002</v>
      </c>
      <c r="G16" s="400">
        <f>F16-C16</f>
        <v>2207798.0648002028</v>
      </c>
      <c r="H16" s="401">
        <f>F16/C16</f>
        <v>1.0055771404860645</v>
      </c>
      <c r="I16" s="192">
        <f>IF(H16&gt;120%,F16* 0.55%, IF(H16&gt;100%,F16* 0.45%, IF(H16&gt;80%,F16* 0.35%, IF(H16&gt;60%,F16* 0.2%, 0))))</f>
        <v>1791330.291291601</v>
      </c>
      <c r="L16" s="608"/>
      <c r="M16" s="395" t="s">
        <v>96</v>
      </c>
      <c r="N16" s="396">
        <v>227635200</v>
      </c>
      <c r="O16" s="397">
        <v>11</v>
      </c>
      <c r="P16" s="398">
        <v>8</v>
      </c>
      <c r="Q16" s="399">
        <v>54283772.071700007</v>
      </c>
      <c r="R16" s="400">
        <f>Q16-N16</f>
        <v>-173351427.92829999</v>
      </c>
      <c r="S16" s="401">
        <f>Q16/N16</f>
        <v>0.23846826884286793</v>
      </c>
      <c r="T16" s="192">
        <f>IF(S16&gt;120%,Q16* 0.55%, IF(S16&gt;100%,Q16* 0.45%, IF(S16&gt;80%,Q16* 0.35%, IF(S16&gt;60%,Q16* 0.2%, 0))))</f>
        <v>0</v>
      </c>
    </row>
    <row r="17" spans="1:20" x14ac:dyDescent="0.4">
      <c r="A17" s="623"/>
      <c r="B17" s="395" t="s">
        <v>97</v>
      </c>
      <c r="C17" s="402">
        <v>258835200.00000003</v>
      </c>
      <c r="D17" s="397">
        <v>16</v>
      </c>
      <c r="E17" s="398">
        <v>10</v>
      </c>
      <c r="F17" s="399">
        <v>78123636.036299989</v>
      </c>
      <c r="G17" s="400">
        <f t="shared" ref="G17:G23" si="8">F17-C17</f>
        <v>-180711563.96370006</v>
      </c>
      <c r="H17" s="401">
        <f t="shared" ref="H17:H22" si="9">F17/C17</f>
        <v>0.3018277113634466</v>
      </c>
      <c r="I17" s="192">
        <f t="shared" ref="I17:I21" si="10">IF(H17&gt;120%,F17* 0.55%, IF(H17&gt;100%,F17* 0.45%, IF(H17&gt;80%,F17* 0.35%, IF(H17&gt;60%,F17* 0.2%, 0))))</f>
        <v>0</v>
      </c>
      <c r="L17" s="608"/>
      <c r="M17" s="395" t="s">
        <v>97</v>
      </c>
      <c r="N17" s="402">
        <v>199180800.00000003</v>
      </c>
      <c r="O17" s="397">
        <v>13</v>
      </c>
      <c r="P17" s="398">
        <v>12</v>
      </c>
      <c r="Q17" s="399">
        <v>85292393.693800032</v>
      </c>
      <c r="R17" s="400">
        <f t="shared" ref="R17:R23" si="11">Q17-N17</f>
        <v>-113888406.3062</v>
      </c>
      <c r="S17" s="401">
        <f t="shared" ref="S17:S22" si="12">Q17/N17</f>
        <v>0.42821594096318533</v>
      </c>
      <c r="T17" s="192">
        <f t="shared" ref="T17:T21" si="13">IF(S17&gt;120%,Q17* 0.55%, IF(S17&gt;100%,Q17* 0.45%, IF(S17&gt;80%,Q17* 0.35%, IF(S17&gt;60%,Q17* 0.2%, 0))))</f>
        <v>0</v>
      </c>
    </row>
    <row r="18" spans="1:20" x14ac:dyDescent="0.4">
      <c r="A18" s="623"/>
      <c r="B18" s="395" t="s">
        <v>98</v>
      </c>
      <c r="C18" s="402">
        <v>228384000</v>
      </c>
      <c r="D18" s="397">
        <v>20</v>
      </c>
      <c r="E18" s="398">
        <v>15</v>
      </c>
      <c r="F18" s="399">
        <v>66084014.414200008</v>
      </c>
      <c r="G18" s="400">
        <f t="shared" si="8"/>
        <v>-162299985.58579999</v>
      </c>
      <c r="H18" s="401">
        <f t="shared" si="9"/>
        <v>0.28935483402602635</v>
      </c>
      <c r="I18" s="192">
        <f t="shared" si="10"/>
        <v>0</v>
      </c>
      <c r="J18" s="213"/>
      <c r="L18" s="608"/>
      <c r="M18" s="395" t="s">
        <v>98</v>
      </c>
      <c r="N18" s="402">
        <v>327225600</v>
      </c>
      <c r="O18" s="397">
        <v>18</v>
      </c>
      <c r="P18" s="398">
        <v>15</v>
      </c>
      <c r="Q18" s="399">
        <v>108634159.027</v>
      </c>
      <c r="R18" s="400">
        <f t="shared" si="11"/>
        <v>-218591440.97299999</v>
      </c>
      <c r="S18" s="401">
        <f t="shared" si="12"/>
        <v>0.33198551405207904</v>
      </c>
      <c r="T18" s="192">
        <f t="shared" si="13"/>
        <v>0</v>
      </c>
    </row>
    <row r="19" spans="1:20" x14ac:dyDescent="0.4">
      <c r="A19" s="623"/>
      <c r="B19" s="395" t="s">
        <v>99</v>
      </c>
      <c r="C19" s="402">
        <v>243609600</v>
      </c>
      <c r="D19" s="397">
        <v>9</v>
      </c>
      <c r="E19" s="398">
        <v>7</v>
      </c>
      <c r="F19" s="399">
        <v>83630220.721000016</v>
      </c>
      <c r="G19" s="400">
        <f t="shared" si="8"/>
        <v>-159979379.27899998</v>
      </c>
      <c r="H19" s="401">
        <f t="shared" si="9"/>
        <v>0.3432960799615451</v>
      </c>
      <c r="I19" s="192">
        <f t="shared" si="10"/>
        <v>0</v>
      </c>
      <c r="L19" s="608"/>
      <c r="M19" s="395" t="s">
        <v>99</v>
      </c>
      <c r="N19" s="402">
        <v>227635200</v>
      </c>
      <c r="O19" s="397">
        <v>14</v>
      </c>
      <c r="P19" s="398">
        <v>11</v>
      </c>
      <c r="Q19" s="399">
        <v>89286481.98270005</v>
      </c>
      <c r="R19" s="400">
        <f t="shared" si="11"/>
        <v>-138348718.01729995</v>
      </c>
      <c r="S19" s="401">
        <f t="shared" si="12"/>
        <v>0.39223495304197264</v>
      </c>
      <c r="T19" s="192">
        <f t="shared" si="13"/>
        <v>0</v>
      </c>
    </row>
    <row r="20" spans="1:20" x14ac:dyDescent="0.4">
      <c r="A20" s="623"/>
      <c r="B20" s="395" t="s">
        <v>100</v>
      </c>
      <c r="C20" s="402">
        <v>182707200</v>
      </c>
      <c r="D20" s="397">
        <v>15</v>
      </c>
      <c r="E20" s="398">
        <v>8</v>
      </c>
      <c r="F20" s="399">
        <v>109832146.8471</v>
      </c>
      <c r="G20" s="400">
        <f t="shared" si="8"/>
        <v>-72875053.152899995</v>
      </c>
      <c r="H20" s="401">
        <f t="shared" si="9"/>
        <v>0.60113748580844106</v>
      </c>
      <c r="I20" s="192">
        <f t="shared" si="10"/>
        <v>219664.29369420002</v>
      </c>
      <c r="L20" s="608"/>
      <c r="M20" s="395" t="s">
        <v>100</v>
      </c>
      <c r="N20" s="402">
        <v>213408000</v>
      </c>
      <c r="O20" s="397">
        <v>11</v>
      </c>
      <c r="P20" s="398">
        <v>7</v>
      </c>
      <c r="Q20" s="399">
        <v>48804470.720800005</v>
      </c>
      <c r="R20" s="400">
        <f t="shared" si="11"/>
        <v>-164603529.27919999</v>
      </c>
      <c r="S20" s="401">
        <f t="shared" si="12"/>
        <v>0.22869091468361075</v>
      </c>
      <c r="T20" s="192">
        <f t="shared" si="13"/>
        <v>0</v>
      </c>
    </row>
    <row r="21" spans="1:20" x14ac:dyDescent="0.4">
      <c r="A21" s="623"/>
      <c r="B21" s="395" t="s">
        <v>101</v>
      </c>
      <c r="C21" s="402">
        <v>213158400.00000003</v>
      </c>
      <c r="D21" s="397">
        <v>13</v>
      </c>
      <c r="E21" s="398">
        <v>10</v>
      </c>
      <c r="F21" s="399">
        <v>111733836.93670002</v>
      </c>
      <c r="G21" s="400">
        <f t="shared" si="8"/>
        <v>-101424563.06330001</v>
      </c>
      <c r="H21" s="401">
        <f t="shared" si="9"/>
        <v>0.52418219003661126</v>
      </c>
      <c r="I21" s="192">
        <f t="shared" si="10"/>
        <v>0</v>
      </c>
      <c r="L21" s="608"/>
      <c r="M21" s="395" t="s">
        <v>101</v>
      </c>
      <c r="N21" s="402">
        <v>227635200</v>
      </c>
      <c r="O21" s="397">
        <v>14</v>
      </c>
      <c r="P21" s="398">
        <v>7</v>
      </c>
      <c r="Q21" s="399">
        <v>162076308.55860001</v>
      </c>
      <c r="R21" s="400">
        <f t="shared" si="11"/>
        <v>-65558891.441399992</v>
      </c>
      <c r="S21" s="401">
        <f t="shared" si="12"/>
        <v>0.71200020277443909</v>
      </c>
      <c r="T21" s="192">
        <f t="shared" si="13"/>
        <v>324152.61711720005</v>
      </c>
    </row>
    <row r="22" spans="1:20" ht="14.5" customHeight="1" thickBot="1" x14ac:dyDescent="0.45">
      <c r="A22" s="623"/>
      <c r="B22" s="403" t="s">
        <v>77</v>
      </c>
      <c r="C22" s="404">
        <f t="shared" ref="C22" si="14">SUM(C16:C21)</f>
        <v>1522560000</v>
      </c>
      <c r="D22" s="405">
        <f>SUM(D16:D21)</f>
        <v>92</v>
      </c>
      <c r="E22" s="406">
        <f t="shared" ref="E22" si="15">SUM(E16:E21)</f>
        <v>63</v>
      </c>
      <c r="F22" s="404">
        <f>SUM(F16:F21)</f>
        <v>847477253.02010024</v>
      </c>
      <c r="G22" s="404">
        <f t="shared" si="8"/>
        <v>-675082746.97989976</v>
      </c>
      <c r="H22" s="407">
        <f t="shared" si="9"/>
        <v>0.55661337025805235</v>
      </c>
      <c r="I22" s="197">
        <f>SUM(I16:I21)</f>
        <v>2010994.584985801</v>
      </c>
      <c r="L22" s="609"/>
      <c r="M22" s="446" t="s">
        <v>77</v>
      </c>
      <c r="N22" s="447">
        <f t="shared" ref="N22" si="16">SUM(N16:N21)</f>
        <v>1422720000</v>
      </c>
      <c r="O22" s="448">
        <f>SUM(O16:O21)</f>
        <v>81</v>
      </c>
      <c r="P22" s="449">
        <f t="shared" ref="P22" si="17">SUM(P16:P21)</f>
        <v>60</v>
      </c>
      <c r="Q22" s="447">
        <f>SUM(Q16:Q21)</f>
        <v>548377586.0546</v>
      </c>
      <c r="R22" s="447">
        <f t="shared" si="11"/>
        <v>-874342413.9454</v>
      </c>
      <c r="S22" s="450">
        <f t="shared" si="12"/>
        <v>0.38544308511485043</v>
      </c>
      <c r="T22" s="197">
        <f>SUM(T16:T21)</f>
        <v>324152.61711720005</v>
      </c>
    </row>
    <row r="23" spans="1:20" x14ac:dyDescent="0.4">
      <c r="B23" s="408" t="str">
        <f>$B$12</f>
        <v>TARGET Q3</v>
      </c>
      <c r="C23" s="409">
        <v>1370304000</v>
      </c>
      <c r="D23" s="431"/>
      <c r="E23" s="431"/>
      <c r="F23" s="409">
        <f>F22</f>
        <v>847477253.02010024</v>
      </c>
      <c r="G23" s="409">
        <f t="shared" si="8"/>
        <v>-522826746.97989976</v>
      </c>
      <c r="H23" s="410">
        <f>F23/C23</f>
        <v>0.61845930028672491</v>
      </c>
      <c r="I23" s="192">
        <f>IF(H23&gt;=1,3500000,IF(H23&gt;=0.9,2500000,0))</f>
        <v>0</v>
      </c>
      <c r="M23" s="408" t="str">
        <f>$B$12</f>
        <v>TARGET Q3</v>
      </c>
      <c r="N23" s="409">
        <v>1280448000</v>
      </c>
      <c r="O23" s="431"/>
      <c r="P23" s="431"/>
      <c r="Q23" s="409">
        <f>Q22</f>
        <v>548377586.0546</v>
      </c>
      <c r="R23" s="409">
        <f t="shared" si="11"/>
        <v>-732070413.9454</v>
      </c>
      <c r="S23" s="410">
        <f>Q23/N23</f>
        <v>0.428270094572056</v>
      </c>
      <c r="T23" s="192">
        <f>IF(S23&gt;=1,3500000,IF(S23&gt;=0.9,2500000,0))</f>
        <v>0</v>
      </c>
    </row>
    <row r="24" spans="1:20" ht="16.5" thickBot="1" x14ac:dyDescent="0.45">
      <c r="B24" s="417"/>
      <c r="C24" s="412">
        <f>C23/C22</f>
        <v>0.9</v>
      </c>
      <c r="D24" s="413"/>
      <c r="E24" s="414"/>
      <c r="F24" s="415"/>
      <c r="G24" s="416"/>
      <c r="H24" s="413"/>
      <c r="M24" s="417">
        <f>90%</f>
        <v>0.9</v>
      </c>
      <c r="N24" s="412">
        <f>N23/N22</f>
        <v>0.9</v>
      </c>
    </row>
    <row r="25" spans="1:20" ht="19.5" customHeight="1" x14ac:dyDescent="0.35">
      <c r="A25" s="623">
        <v>3</v>
      </c>
      <c r="B25" s="390" t="s">
        <v>57</v>
      </c>
      <c r="C25" s="391" t="s">
        <v>39</v>
      </c>
      <c r="D25" s="657" t="s">
        <v>174</v>
      </c>
      <c r="E25" s="658"/>
      <c r="F25" s="658"/>
      <c r="G25" s="659"/>
      <c r="H25" s="390" t="s">
        <v>66</v>
      </c>
      <c r="L25" s="613">
        <v>3</v>
      </c>
      <c r="M25" s="440" t="s">
        <v>57</v>
      </c>
      <c r="N25" s="441" t="s">
        <v>169</v>
      </c>
      <c r="O25" s="647" t="s">
        <v>174</v>
      </c>
      <c r="P25" s="648"/>
      <c r="Q25" s="648"/>
      <c r="R25" s="649"/>
      <c r="S25" s="440" t="s">
        <v>66</v>
      </c>
    </row>
    <row r="26" spans="1:20" ht="36" customHeight="1" x14ac:dyDescent="0.35">
      <c r="A26" s="623"/>
      <c r="B26" s="390" t="s">
        <v>93</v>
      </c>
      <c r="C26" s="391" t="s">
        <v>94</v>
      </c>
      <c r="D26" s="392" t="s">
        <v>91</v>
      </c>
      <c r="E26" s="392" t="s">
        <v>62</v>
      </c>
      <c r="F26" s="393" t="str">
        <f>"OMSET "&amp;UPPER(TEXT($B$1,"MMM"))&amp;CHAR(10)&amp;" (1-"&amp;DAY($B$1)&amp;")"</f>
        <v>OMSET SEP
 (1-21)</v>
      </c>
      <c r="G26" s="391" t="s">
        <v>65</v>
      </c>
      <c r="H26" s="394">
        <f>100/DAY(EOMONTH($B$1,0))*DAY($B$1)/100</f>
        <v>0.7</v>
      </c>
      <c r="L26" s="614"/>
      <c r="M26" s="440" t="s">
        <v>93</v>
      </c>
      <c r="N26" s="441" t="s">
        <v>94</v>
      </c>
      <c r="O26" s="442" t="s">
        <v>91</v>
      </c>
      <c r="P26" s="442" t="s">
        <v>62</v>
      </c>
      <c r="Q26" s="443" t="str">
        <f>F26</f>
        <v>OMSET SEP
 (1-21)</v>
      </c>
      <c r="R26" s="444" t="s">
        <v>65</v>
      </c>
      <c r="S26" s="445">
        <f>H26</f>
        <v>0.7</v>
      </c>
      <c r="T26" s="202"/>
    </row>
    <row r="27" spans="1:20" ht="14.5" customHeight="1" x14ac:dyDescent="0.4">
      <c r="A27" s="623"/>
      <c r="B27" s="395" t="s">
        <v>96</v>
      </c>
      <c r="C27" s="396">
        <v>361608000</v>
      </c>
      <c r="D27" s="397">
        <v>12</v>
      </c>
      <c r="E27" s="398">
        <v>10</v>
      </c>
      <c r="F27" s="399">
        <v>345864086.75670004</v>
      </c>
      <c r="G27" s="400">
        <f>F27-C27</f>
        <v>-15743913.243299961</v>
      </c>
      <c r="H27" s="401">
        <f>F27/C27</f>
        <v>0.95646138015945459</v>
      </c>
      <c r="I27" s="192">
        <f>IF(H27&gt;120%,F27* 0.55%, IF(H27&gt;100%,F27* 0.45%, IF(H27&gt;80%,F27* 0.35%, IF(H27&gt;60%,F27* 0.2%, 0))))</f>
        <v>1210524.3036484499</v>
      </c>
      <c r="L27" s="614"/>
      <c r="M27" s="395" t="s">
        <v>96</v>
      </c>
      <c r="N27" s="396">
        <v>229132800.00000003</v>
      </c>
      <c r="O27" s="397">
        <v>12</v>
      </c>
      <c r="P27" s="398">
        <v>8</v>
      </c>
      <c r="Q27" s="399">
        <v>45019443.693599992</v>
      </c>
      <c r="R27" s="400">
        <f>Q27-N27</f>
        <v>-184113356.30640003</v>
      </c>
      <c r="S27" s="401">
        <f>Q27/N27</f>
        <v>0.19647751737682245</v>
      </c>
      <c r="T27" s="192">
        <f>IF(S27&gt;120%,Q27* 0.55%, IF(S27&gt;100%,Q27* 0.45%, IF(S27&gt;80%,Q27* 0.35%, IF(S27&gt;60%,Q27* 0.2%, 0))))</f>
        <v>0</v>
      </c>
    </row>
    <row r="28" spans="1:20" ht="14.5" customHeight="1" x14ac:dyDescent="0.4">
      <c r="A28" s="623"/>
      <c r="B28" s="395" t="s">
        <v>97</v>
      </c>
      <c r="C28" s="402">
        <v>245893440.00000003</v>
      </c>
      <c r="D28" s="397">
        <v>20</v>
      </c>
      <c r="E28" s="398">
        <v>12</v>
      </c>
      <c r="F28" s="399">
        <v>159258328.82890004</v>
      </c>
      <c r="G28" s="400">
        <f t="shared" ref="G28:G34" si="18">F28-C28</f>
        <v>-86635111.171099991</v>
      </c>
      <c r="H28" s="401">
        <f t="shared" ref="H28:H33" si="19">F28/C28</f>
        <v>0.64767213321713679</v>
      </c>
      <c r="I28" s="192">
        <f t="shared" ref="I28:I32" si="20">IF(H28&gt;120%,F28* 0.55%, IF(H28&gt;100%,F28* 0.45%, IF(H28&gt;80%,F28* 0.35%, IF(H28&gt;60%,F28* 0.2%, 0))))</f>
        <v>318516.65765780007</v>
      </c>
      <c r="L28" s="614"/>
      <c r="M28" s="395" t="s">
        <v>97</v>
      </c>
      <c r="N28" s="402">
        <v>404352000</v>
      </c>
      <c r="O28" s="397">
        <v>11</v>
      </c>
      <c r="P28" s="398">
        <v>8</v>
      </c>
      <c r="Q28" s="399">
        <v>186465237.00870001</v>
      </c>
      <c r="R28" s="400">
        <f t="shared" ref="R28:R34" si="21">Q28-N28</f>
        <v>-217886762.99129999</v>
      </c>
      <c r="S28" s="401">
        <f t="shared" ref="S28:S33" si="22">Q28/N28</f>
        <v>0.46114582593557102</v>
      </c>
      <c r="T28" s="192">
        <f t="shared" ref="T28:T32" si="23">IF(S28&gt;120%,Q28* 0.55%, IF(S28&gt;100%,Q28* 0.45%, IF(S28&gt;80%,Q28* 0.35%, IF(S28&gt;60%,Q28* 0.2%, 0))))</f>
        <v>0</v>
      </c>
    </row>
    <row r="29" spans="1:20" ht="14.5" customHeight="1" x14ac:dyDescent="0.4">
      <c r="A29" s="623"/>
      <c r="B29" s="395" t="s">
        <v>98</v>
      </c>
      <c r="C29" s="402">
        <v>173571840</v>
      </c>
      <c r="D29" s="397">
        <v>22</v>
      </c>
      <c r="E29" s="398">
        <v>19</v>
      </c>
      <c r="F29" s="399">
        <v>293734449.19090033</v>
      </c>
      <c r="G29" s="400">
        <f t="shared" si="18"/>
        <v>120162609.19090033</v>
      </c>
      <c r="H29" s="401">
        <f t="shared" si="19"/>
        <v>1.6922932267751516</v>
      </c>
      <c r="I29" s="192">
        <f t="shared" si="20"/>
        <v>1615539.470549952</v>
      </c>
      <c r="L29" s="614"/>
      <c r="M29" s="395" t="s">
        <v>98</v>
      </c>
      <c r="N29" s="402">
        <v>202176000</v>
      </c>
      <c r="O29" s="397">
        <v>9</v>
      </c>
      <c r="P29" s="398">
        <v>8</v>
      </c>
      <c r="Q29" s="399">
        <v>85990234.235699981</v>
      </c>
      <c r="R29" s="400">
        <f t="shared" si="21"/>
        <v>-116185765.76430002</v>
      </c>
      <c r="S29" s="401">
        <f t="shared" si="22"/>
        <v>0.42532364986793675</v>
      </c>
      <c r="T29" s="192">
        <f t="shared" si="23"/>
        <v>0</v>
      </c>
    </row>
    <row r="30" spans="1:20" ht="14.5" customHeight="1" x14ac:dyDescent="0.4">
      <c r="A30" s="623"/>
      <c r="B30" s="395" t="s">
        <v>99</v>
      </c>
      <c r="C30" s="402">
        <v>188036160</v>
      </c>
      <c r="D30" s="397">
        <v>9</v>
      </c>
      <c r="E30" s="398">
        <v>7</v>
      </c>
      <c r="F30" s="399">
        <v>140012175.22519997</v>
      </c>
      <c r="G30" s="400">
        <f t="shared" si="18"/>
        <v>-48023984.774800032</v>
      </c>
      <c r="H30" s="401">
        <f t="shared" si="19"/>
        <v>0.74460239575834763</v>
      </c>
      <c r="I30" s="192">
        <f t="shared" si="20"/>
        <v>280024.35045039991</v>
      </c>
      <c r="L30" s="614"/>
      <c r="M30" s="395" t="s">
        <v>99</v>
      </c>
      <c r="N30" s="402">
        <v>148262400</v>
      </c>
      <c r="O30" s="397">
        <v>9</v>
      </c>
      <c r="P30" s="398">
        <v>6</v>
      </c>
      <c r="Q30" s="399">
        <v>21422360.360400002</v>
      </c>
      <c r="R30" s="400">
        <f t="shared" si="21"/>
        <v>-126840039.63959999</v>
      </c>
      <c r="S30" s="401">
        <f t="shared" si="22"/>
        <v>0.14448950212865838</v>
      </c>
      <c r="T30" s="192">
        <f t="shared" si="23"/>
        <v>0</v>
      </c>
    </row>
    <row r="31" spans="1:20" ht="14.5" customHeight="1" x14ac:dyDescent="0.4">
      <c r="A31" s="623"/>
      <c r="B31" s="395" t="s">
        <v>100</v>
      </c>
      <c r="C31" s="402">
        <v>159107520</v>
      </c>
      <c r="D31" s="397">
        <v>12</v>
      </c>
      <c r="E31" s="398">
        <v>10</v>
      </c>
      <c r="F31" s="399">
        <v>72830998.648699999</v>
      </c>
      <c r="G31" s="400">
        <f t="shared" si="18"/>
        <v>-86276521.351300001</v>
      </c>
      <c r="H31" s="401">
        <f t="shared" si="19"/>
        <v>0.45774705462507365</v>
      </c>
      <c r="I31" s="192">
        <f t="shared" si="20"/>
        <v>0</v>
      </c>
      <c r="L31" s="614"/>
      <c r="M31" s="395" t="s">
        <v>100</v>
      </c>
      <c r="N31" s="402">
        <v>202176000</v>
      </c>
      <c r="O31" s="397">
        <v>13</v>
      </c>
      <c r="P31" s="398">
        <v>10</v>
      </c>
      <c r="Q31" s="399">
        <v>43062497.756400004</v>
      </c>
      <c r="R31" s="400">
        <f t="shared" si="21"/>
        <v>-159113502.24360001</v>
      </c>
      <c r="S31" s="401">
        <f t="shared" si="22"/>
        <v>0.21299510207146249</v>
      </c>
      <c r="T31" s="192">
        <f t="shared" si="23"/>
        <v>0</v>
      </c>
    </row>
    <row r="32" spans="1:20" ht="14.5" customHeight="1" x14ac:dyDescent="0.4">
      <c r="A32" s="623"/>
      <c r="B32" s="395" t="s">
        <v>101</v>
      </c>
      <c r="C32" s="402">
        <v>318215040</v>
      </c>
      <c r="D32" s="397">
        <v>21</v>
      </c>
      <c r="E32" s="398">
        <v>18</v>
      </c>
      <c r="F32" s="399">
        <v>381450652.2262001</v>
      </c>
      <c r="G32" s="400">
        <f t="shared" si="18"/>
        <v>63235612.226200104</v>
      </c>
      <c r="H32" s="401">
        <f t="shared" si="19"/>
        <v>1.1987197469553925</v>
      </c>
      <c r="I32" s="192">
        <f t="shared" si="20"/>
        <v>1716527.9350179008</v>
      </c>
      <c r="L32" s="614"/>
      <c r="M32" s="395" t="s">
        <v>101</v>
      </c>
      <c r="N32" s="402">
        <v>161740800</v>
      </c>
      <c r="O32" s="397">
        <v>11</v>
      </c>
      <c r="P32" s="398">
        <v>12</v>
      </c>
      <c r="Q32" s="399">
        <v>43499900</v>
      </c>
      <c r="R32" s="400">
        <f t="shared" si="21"/>
        <v>-118240900</v>
      </c>
      <c r="S32" s="401">
        <f t="shared" si="22"/>
        <v>0.26894821838398225</v>
      </c>
      <c r="T32" s="192">
        <f t="shared" si="23"/>
        <v>0</v>
      </c>
    </row>
    <row r="33" spans="1:20" ht="14.5" customHeight="1" thickBot="1" x14ac:dyDescent="0.45">
      <c r="A33" s="623"/>
      <c r="B33" s="403" t="s">
        <v>77</v>
      </c>
      <c r="C33" s="404">
        <f t="shared" ref="C33" si="24">SUM(C27:C32)</f>
        <v>1446432000</v>
      </c>
      <c r="D33" s="405">
        <f>SUM(D27:D32)</f>
        <v>96</v>
      </c>
      <c r="E33" s="406">
        <f t="shared" ref="E33" si="25">SUM(E27:E32)</f>
        <v>76</v>
      </c>
      <c r="F33" s="404">
        <f>SUM(F27:F32)</f>
        <v>1393150690.8766005</v>
      </c>
      <c r="G33" s="404">
        <f t="shared" si="18"/>
        <v>-53281309.123399496</v>
      </c>
      <c r="H33" s="407">
        <f t="shared" si="19"/>
        <v>0.96316362668732469</v>
      </c>
      <c r="I33" s="197">
        <f>SUM(I27:I32)</f>
        <v>5141132.7173245028</v>
      </c>
      <c r="L33" s="615"/>
      <c r="M33" s="446" t="s">
        <v>77</v>
      </c>
      <c r="N33" s="447">
        <f t="shared" ref="N33" si="26">SUM(N27:N32)</f>
        <v>1347840000</v>
      </c>
      <c r="O33" s="448">
        <f>SUM(O27:O32)</f>
        <v>65</v>
      </c>
      <c r="P33" s="449">
        <f t="shared" ref="P33" si="27">SUM(P27:P32)</f>
        <v>52</v>
      </c>
      <c r="Q33" s="447">
        <f>SUM(Q27:Q32)</f>
        <v>425459673.05479997</v>
      </c>
      <c r="R33" s="447">
        <f t="shared" si="21"/>
        <v>-922380326.94519997</v>
      </c>
      <c r="S33" s="450">
        <f t="shared" si="22"/>
        <v>0.31566036996587132</v>
      </c>
      <c r="T33" s="197">
        <f>SUM(T27:T32)</f>
        <v>0</v>
      </c>
    </row>
    <row r="34" spans="1:20" x14ac:dyDescent="0.4">
      <c r="B34" s="408" t="str">
        <f>$B$12</f>
        <v>TARGET Q3</v>
      </c>
      <c r="C34" s="409">
        <v>1301788800</v>
      </c>
      <c r="D34" s="431"/>
      <c r="E34" s="431"/>
      <c r="F34" s="409">
        <f>F33</f>
        <v>1393150690.8766005</v>
      </c>
      <c r="G34" s="409">
        <f t="shared" si="18"/>
        <v>91361890.876600504</v>
      </c>
      <c r="H34" s="410">
        <f>F34/C34</f>
        <v>1.0701818074303608</v>
      </c>
      <c r="I34" s="192">
        <f>IF(H34&gt;=1,3500000,IF(H34&gt;=0.9,2500000,0))</f>
        <v>3500000</v>
      </c>
      <c r="M34" s="408" t="str">
        <f>$B$12</f>
        <v>TARGET Q3</v>
      </c>
      <c r="N34" s="409">
        <v>1213056000</v>
      </c>
      <c r="O34" s="431"/>
      <c r="P34" s="431"/>
      <c r="Q34" s="409">
        <f>Q33</f>
        <v>425459673.05479997</v>
      </c>
      <c r="R34" s="409">
        <f t="shared" si="21"/>
        <v>-787596326.94519997</v>
      </c>
      <c r="S34" s="410">
        <f>Q34/N34</f>
        <v>0.35073374440652366</v>
      </c>
      <c r="T34" s="192">
        <f>IF(S34&gt;=1,3500000,IF(S34&gt;=0.9,2500000,0))</f>
        <v>0</v>
      </c>
    </row>
    <row r="35" spans="1:20" ht="16.5" thickBot="1" x14ac:dyDescent="0.45">
      <c r="B35" s="417">
        <f>80%</f>
        <v>0.8</v>
      </c>
      <c r="C35" s="412">
        <f>C34/C33</f>
        <v>0.9</v>
      </c>
      <c r="D35" s="413"/>
      <c r="E35" s="414"/>
      <c r="F35" s="415"/>
      <c r="G35" s="416"/>
      <c r="H35" s="413"/>
      <c r="M35" s="417">
        <f>90%</f>
        <v>0.9</v>
      </c>
      <c r="N35" s="412">
        <f>N34/N33</f>
        <v>0.9</v>
      </c>
    </row>
    <row r="36" spans="1:20" ht="19.5" customHeight="1" x14ac:dyDescent="0.35">
      <c r="A36" s="623">
        <v>4</v>
      </c>
      <c r="B36" s="390" t="s">
        <v>57</v>
      </c>
      <c r="C36" s="391" t="s">
        <v>176</v>
      </c>
      <c r="D36" s="657" t="s">
        <v>177</v>
      </c>
      <c r="E36" s="658"/>
      <c r="F36" s="658"/>
      <c r="G36" s="659"/>
      <c r="H36" s="390" t="s">
        <v>66</v>
      </c>
      <c r="L36" s="607">
        <v>4</v>
      </c>
      <c r="M36" s="440" t="s">
        <v>57</v>
      </c>
      <c r="N36" s="441" t="s">
        <v>53</v>
      </c>
      <c r="O36" s="647" t="s">
        <v>184</v>
      </c>
      <c r="P36" s="648"/>
      <c r="Q36" s="648"/>
      <c r="R36" s="649"/>
      <c r="S36" s="440" t="s">
        <v>66</v>
      </c>
    </row>
    <row r="37" spans="1:20" ht="36" customHeight="1" x14ac:dyDescent="0.35">
      <c r="A37" s="623"/>
      <c r="B37" s="390" t="s">
        <v>93</v>
      </c>
      <c r="C37" s="391" t="s">
        <v>94</v>
      </c>
      <c r="D37" s="392" t="s">
        <v>91</v>
      </c>
      <c r="E37" s="392" t="s">
        <v>62</v>
      </c>
      <c r="F37" s="393" t="str">
        <f>"OMSET "&amp;UPPER(TEXT($B$1,"MMM"))&amp;CHAR(10)&amp;" (1-"&amp;DAY($B$1)&amp;")"</f>
        <v>OMSET SEP
 (1-21)</v>
      </c>
      <c r="G37" s="391" t="s">
        <v>65</v>
      </c>
      <c r="H37" s="394">
        <f>100/DAY(EOMONTH($B$1,0))*DAY($B$1)/100</f>
        <v>0.7</v>
      </c>
      <c r="I37" s="214"/>
      <c r="J37" s="212"/>
      <c r="L37" s="608"/>
      <c r="M37" s="440" t="s">
        <v>93</v>
      </c>
      <c r="N37" s="441" t="s">
        <v>94</v>
      </c>
      <c r="O37" s="442" t="s">
        <v>91</v>
      </c>
      <c r="P37" s="442" t="s">
        <v>62</v>
      </c>
      <c r="Q37" s="443" t="str">
        <f>F37</f>
        <v>OMSET SEP
 (1-21)</v>
      </c>
      <c r="R37" s="444" t="s">
        <v>65</v>
      </c>
      <c r="S37" s="445">
        <f>H37</f>
        <v>0.7</v>
      </c>
      <c r="T37" s="202"/>
    </row>
    <row r="38" spans="1:20" ht="14.5" customHeight="1" x14ac:dyDescent="0.4">
      <c r="A38" s="623"/>
      <c r="B38" s="395" t="s">
        <v>96</v>
      </c>
      <c r="C38" s="396">
        <v>117237120.00000001</v>
      </c>
      <c r="D38" s="397">
        <v>19</v>
      </c>
      <c r="E38" s="398">
        <v>16</v>
      </c>
      <c r="F38" s="399">
        <v>124707512.6374</v>
      </c>
      <c r="G38" s="400">
        <f>F38-C38</f>
        <v>7470392.6373999864</v>
      </c>
      <c r="H38" s="401">
        <f>F38/C38</f>
        <v>1.0637203697719628</v>
      </c>
      <c r="I38" s="192">
        <f>IF(H38&gt;120%,F38* 0.55%, IF(H38&gt;100%,F38* 0.45%, IF(H38&gt;80%,F38* 0.35%, IF(H38&gt;60%,F38* 0.2%, 0))))</f>
        <v>561183.80686830007</v>
      </c>
      <c r="J38" s="215"/>
      <c r="K38" s="216"/>
      <c r="L38" s="608"/>
      <c r="M38" s="395" t="s">
        <v>96</v>
      </c>
      <c r="N38" s="396">
        <v>318240000</v>
      </c>
      <c r="O38" s="397">
        <v>11</v>
      </c>
      <c r="P38" s="398">
        <v>9</v>
      </c>
      <c r="Q38" s="399">
        <v>287999851.35129994</v>
      </c>
      <c r="R38" s="400">
        <f>Q38-N38</f>
        <v>-30240148.648700058</v>
      </c>
      <c r="S38" s="401">
        <f>Q38/N38</f>
        <v>0.90497690846939394</v>
      </c>
      <c r="T38" s="192">
        <f>IF(S38&gt;120%,Q38* 0.55%, IF(S38&gt;100%,Q38* 0.45%, IF(S38&gt;80%,Q38* 0.35%, IF(S38&gt;60%,Q38* 0.2%, 0))))</f>
        <v>1007999.4797295497</v>
      </c>
    </row>
    <row r="39" spans="1:20" ht="14.5" customHeight="1" x14ac:dyDescent="0.4">
      <c r="A39" s="623"/>
      <c r="B39" s="395" t="s">
        <v>97</v>
      </c>
      <c r="C39" s="402">
        <v>502444800</v>
      </c>
      <c r="D39" s="397">
        <v>14</v>
      </c>
      <c r="E39" s="398">
        <v>14</v>
      </c>
      <c r="F39" s="399">
        <v>331990949.36919993</v>
      </c>
      <c r="G39" s="400">
        <f t="shared" ref="G39:G45" si="28">F39-C39</f>
        <v>-170453850.63080007</v>
      </c>
      <c r="H39" s="401">
        <f t="shared" ref="H39:H44" si="29">F39/C39</f>
        <v>0.66075109020772016</v>
      </c>
      <c r="I39" s="192">
        <f t="shared" ref="I39:I43" si="30">IF(H39&gt;120%,F39* 0.55%, IF(H39&gt;100%,F39* 0.45%, IF(H39&gt;80%,F39* 0.35%, IF(H39&gt;60%,F39* 0.2%, 0))))</f>
        <v>663981.89873839985</v>
      </c>
      <c r="J39" s="215"/>
      <c r="K39" s="216"/>
      <c r="L39" s="608"/>
      <c r="M39" s="395" t="s">
        <v>97</v>
      </c>
      <c r="N39" s="402">
        <v>187200000</v>
      </c>
      <c r="O39" s="397">
        <v>6</v>
      </c>
      <c r="P39" s="398">
        <v>4</v>
      </c>
      <c r="Q39" s="399">
        <v>24033243.243199997</v>
      </c>
      <c r="R39" s="400">
        <f t="shared" ref="R39:R45" si="31">Q39-N39</f>
        <v>-163166756.7568</v>
      </c>
      <c r="S39" s="401">
        <f t="shared" ref="S39:S44" si="32">Q39/N39</f>
        <v>0.12838270963247861</v>
      </c>
      <c r="T39" s="192">
        <f t="shared" ref="T39:T43" si="33">IF(S39&gt;120%,Q39* 0.55%, IF(S39&gt;100%,Q39* 0.45%, IF(S39&gt;80%,Q39* 0.35%, IF(S39&gt;60%,Q39* 0.2%, 0))))</f>
        <v>0</v>
      </c>
    </row>
    <row r="40" spans="1:20" ht="14.5" customHeight="1" x14ac:dyDescent="0.4">
      <c r="A40" s="623"/>
      <c r="B40" s="395" t="s">
        <v>98</v>
      </c>
      <c r="C40" s="402">
        <v>485696639.99999994</v>
      </c>
      <c r="D40" s="397">
        <v>15</v>
      </c>
      <c r="E40" s="398">
        <v>15</v>
      </c>
      <c r="F40" s="399">
        <v>326487271.67499995</v>
      </c>
      <c r="G40" s="400">
        <f t="shared" si="28"/>
        <v>-159209368.32499999</v>
      </c>
      <c r="H40" s="401">
        <f t="shared" si="29"/>
        <v>0.67220409775739853</v>
      </c>
      <c r="I40" s="192">
        <f t="shared" si="30"/>
        <v>652974.54334999993</v>
      </c>
      <c r="J40" s="215"/>
      <c r="K40" s="216"/>
      <c r="L40" s="608"/>
      <c r="M40" s="395" t="s">
        <v>98</v>
      </c>
      <c r="N40" s="402">
        <v>299520000</v>
      </c>
      <c r="O40" s="397">
        <v>14</v>
      </c>
      <c r="P40" s="398">
        <v>9</v>
      </c>
      <c r="Q40" s="399">
        <v>144869481.08030003</v>
      </c>
      <c r="R40" s="400">
        <f t="shared" si="31"/>
        <v>-154650518.91969997</v>
      </c>
      <c r="S40" s="401">
        <f t="shared" si="32"/>
        <v>0.48367214570078804</v>
      </c>
      <c r="T40" s="192">
        <f t="shared" si="33"/>
        <v>0</v>
      </c>
    </row>
    <row r="41" spans="1:20" ht="14.5" customHeight="1" x14ac:dyDescent="0.4">
      <c r="A41" s="623"/>
      <c r="B41" s="395" t="s">
        <v>99</v>
      </c>
      <c r="C41" s="402">
        <v>217726080</v>
      </c>
      <c r="D41" s="397">
        <v>13</v>
      </c>
      <c r="E41" s="398">
        <v>11</v>
      </c>
      <c r="F41" s="399">
        <v>174273645.94639999</v>
      </c>
      <c r="G41" s="400">
        <f t="shared" si="28"/>
        <v>-43452434.053600013</v>
      </c>
      <c r="H41" s="401">
        <f t="shared" si="29"/>
        <v>0.80042614071038243</v>
      </c>
      <c r="I41" s="192">
        <f t="shared" si="30"/>
        <v>609957.76081239991</v>
      </c>
      <c r="J41" s="215"/>
      <c r="K41" s="216"/>
      <c r="L41" s="608"/>
      <c r="M41" s="395" t="s">
        <v>99</v>
      </c>
      <c r="N41" s="402">
        <v>655200000</v>
      </c>
      <c r="O41" s="397">
        <v>18</v>
      </c>
      <c r="P41" s="398">
        <v>12</v>
      </c>
      <c r="Q41" s="399">
        <v>496867506.75639999</v>
      </c>
      <c r="R41" s="400">
        <f t="shared" si="31"/>
        <v>-158332493.24360001</v>
      </c>
      <c r="S41" s="401">
        <f t="shared" si="32"/>
        <v>0.75834479053174597</v>
      </c>
      <c r="T41" s="192">
        <f t="shared" si="33"/>
        <v>993735.01351279998</v>
      </c>
    </row>
    <row r="42" spans="1:20" ht="14.5" customHeight="1" x14ac:dyDescent="0.4">
      <c r="A42" s="623"/>
      <c r="B42" s="395" t="s">
        <v>100</v>
      </c>
      <c r="C42" s="402">
        <v>167481600</v>
      </c>
      <c r="D42" s="397">
        <v>10</v>
      </c>
      <c r="E42" s="398">
        <v>8</v>
      </c>
      <c r="F42" s="399">
        <v>79442739.639699996</v>
      </c>
      <c r="G42" s="400">
        <f t="shared" si="28"/>
        <v>-88038860.360300004</v>
      </c>
      <c r="H42" s="401">
        <f t="shared" si="29"/>
        <v>0.47433711906084008</v>
      </c>
      <c r="I42" s="192">
        <f t="shared" si="30"/>
        <v>0</v>
      </c>
      <c r="J42" s="215"/>
      <c r="K42" s="216"/>
      <c r="L42" s="608"/>
      <c r="M42" s="395" t="s">
        <v>100</v>
      </c>
      <c r="N42" s="402">
        <v>224640000</v>
      </c>
      <c r="O42" s="397">
        <v>7</v>
      </c>
      <c r="P42" s="398">
        <v>7</v>
      </c>
      <c r="Q42" s="399">
        <v>100030603.60370001</v>
      </c>
      <c r="R42" s="400">
        <f t="shared" si="31"/>
        <v>-124609396.39629999</v>
      </c>
      <c r="S42" s="401">
        <f t="shared" si="32"/>
        <v>0.445292929147525</v>
      </c>
      <c r="T42" s="192">
        <f t="shared" si="33"/>
        <v>0</v>
      </c>
    </row>
    <row r="43" spans="1:20" ht="14.5" customHeight="1" x14ac:dyDescent="0.4">
      <c r="A43" s="623"/>
      <c r="B43" s="395" t="s">
        <v>101</v>
      </c>
      <c r="C43" s="402">
        <v>184229760</v>
      </c>
      <c r="D43" s="397">
        <v>13</v>
      </c>
      <c r="E43" s="398">
        <v>12</v>
      </c>
      <c r="F43" s="399">
        <v>106318568.9192</v>
      </c>
      <c r="G43" s="400">
        <f t="shared" si="28"/>
        <v>-77911191.080799997</v>
      </c>
      <c r="H43" s="401">
        <f t="shared" si="29"/>
        <v>0.57709768996713673</v>
      </c>
      <c r="I43" s="192">
        <f t="shared" si="30"/>
        <v>0</v>
      </c>
      <c r="J43" s="215"/>
      <c r="K43" s="216"/>
      <c r="L43" s="608"/>
      <c r="M43" s="395" t="s">
        <v>101</v>
      </c>
      <c r="N43" s="402">
        <v>187200000</v>
      </c>
      <c r="O43" s="397">
        <v>6</v>
      </c>
      <c r="P43" s="398">
        <v>4</v>
      </c>
      <c r="Q43" s="399">
        <v>114912702.70280002</v>
      </c>
      <c r="R43" s="400">
        <f t="shared" si="31"/>
        <v>-72287297.297199979</v>
      </c>
      <c r="S43" s="401">
        <f t="shared" si="32"/>
        <v>0.61384990760042746</v>
      </c>
      <c r="T43" s="192">
        <f t="shared" si="33"/>
        <v>229825.40540560006</v>
      </c>
    </row>
    <row r="44" spans="1:20" ht="14.5" customHeight="1" thickBot="1" x14ac:dyDescent="0.45">
      <c r="A44" s="623"/>
      <c r="B44" s="403" t="s">
        <v>77</v>
      </c>
      <c r="C44" s="404">
        <f t="shared" ref="C44" si="34">SUM(C38:C43)</f>
        <v>1674816000</v>
      </c>
      <c r="D44" s="405">
        <f>SUM(D38:D43)</f>
        <v>84</v>
      </c>
      <c r="E44" s="406">
        <f t="shared" ref="E44" si="35">SUM(E38:E43)</f>
        <v>76</v>
      </c>
      <c r="F44" s="404">
        <f>SUM(F38:F43)</f>
        <v>1143220688.1868997</v>
      </c>
      <c r="G44" s="404">
        <f t="shared" si="28"/>
        <v>-531595311.81310034</v>
      </c>
      <c r="H44" s="407">
        <f t="shared" si="29"/>
        <v>0.68259479739081763</v>
      </c>
      <c r="I44" s="197">
        <f>SUM(I38:I43)</f>
        <v>2488098.0097690998</v>
      </c>
      <c r="L44" s="609"/>
      <c r="M44" s="446" t="s">
        <v>77</v>
      </c>
      <c r="N44" s="447">
        <f t="shared" ref="N44" si="36">SUM(N38:N43)</f>
        <v>1872000000</v>
      </c>
      <c r="O44" s="448">
        <f>SUM(O38:O43)</f>
        <v>62</v>
      </c>
      <c r="P44" s="449">
        <f t="shared" ref="P44" si="37">SUM(P38:P43)</f>
        <v>45</v>
      </c>
      <c r="Q44" s="447">
        <f>SUM(Q38:Q43)</f>
        <v>1168713388.7377</v>
      </c>
      <c r="R44" s="447">
        <f t="shared" si="31"/>
        <v>-703286611.26230001</v>
      </c>
      <c r="S44" s="450">
        <f t="shared" si="32"/>
        <v>0.6243127076590278</v>
      </c>
      <c r="T44" s="197">
        <f>SUM(T38:T43)</f>
        <v>2231559.8986479496</v>
      </c>
    </row>
    <row r="45" spans="1:20" x14ac:dyDescent="0.4">
      <c r="B45" s="408" t="str">
        <f>$B$12</f>
        <v>TARGET Q3</v>
      </c>
      <c r="C45" s="409">
        <v>1507334400</v>
      </c>
      <c r="D45" s="431"/>
      <c r="E45" s="431"/>
      <c r="F45" s="409">
        <f>F44</f>
        <v>1143220688.1868997</v>
      </c>
      <c r="G45" s="409">
        <f t="shared" si="28"/>
        <v>-364113711.81310034</v>
      </c>
      <c r="H45" s="410">
        <f>F45/C45</f>
        <v>0.75843866376757518</v>
      </c>
      <c r="I45" s="192">
        <f>IF(H45&gt;=1,3500000,IF(H45&gt;=0.9,2500000,0))</f>
        <v>0</v>
      </c>
      <c r="M45" s="408" t="str">
        <f>$B$12</f>
        <v>TARGET Q3</v>
      </c>
      <c r="N45" s="409">
        <v>1684800000</v>
      </c>
      <c r="O45" s="431"/>
      <c r="P45" s="431"/>
      <c r="Q45" s="409">
        <f>Q44</f>
        <v>1168713388.7377</v>
      </c>
      <c r="R45" s="409">
        <f t="shared" si="31"/>
        <v>-516086611.26230001</v>
      </c>
      <c r="S45" s="410">
        <f>Q45/N45</f>
        <v>0.6936807862878086</v>
      </c>
      <c r="T45" s="192">
        <f>IF(S45&gt;=1,3500000,IF(S45&gt;=0.9,2500000,0))</f>
        <v>0</v>
      </c>
    </row>
    <row r="46" spans="1:20" ht="16.5" thickBot="1" x14ac:dyDescent="0.45">
      <c r="B46" s="417"/>
      <c r="C46" s="412">
        <f>C45/C44</f>
        <v>0.9</v>
      </c>
      <c r="D46" s="413"/>
      <c r="E46" s="414"/>
      <c r="F46" s="415"/>
      <c r="G46" s="416"/>
      <c r="H46" s="413"/>
      <c r="N46" s="412">
        <f>N45/N44</f>
        <v>0.9</v>
      </c>
    </row>
    <row r="47" spans="1:20" ht="19.5" customHeight="1" x14ac:dyDescent="0.35">
      <c r="A47" s="627">
        <v>5</v>
      </c>
      <c r="B47" s="390" t="s">
        <v>57</v>
      </c>
      <c r="C47" s="391" t="s">
        <v>35</v>
      </c>
      <c r="D47" s="657" t="s">
        <v>178</v>
      </c>
      <c r="E47" s="658"/>
      <c r="F47" s="658"/>
      <c r="G47" s="659"/>
      <c r="H47" s="390" t="s">
        <v>66</v>
      </c>
      <c r="L47" s="613">
        <v>5</v>
      </c>
      <c r="M47" s="440" t="s">
        <v>57</v>
      </c>
      <c r="N47" s="441" t="s">
        <v>197</v>
      </c>
      <c r="O47" s="647" t="s">
        <v>178</v>
      </c>
      <c r="P47" s="648"/>
      <c r="Q47" s="648"/>
      <c r="R47" s="649"/>
      <c r="S47" s="440" t="s">
        <v>66</v>
      </c>
    </row>
    <row r="48" spans="1:20" ht="36" customHeight="1" x14ac:dyDescent="0.35">
      <c r="A48" s="628"/>
      <c r="B48" s="390" t="s">
        <v>93</v>
      </c>
      <c r="C48" s="391" t="s">
        <v>94</v>
      </c>
      <c r="D48" s="392" t="s">
        <v>91</v>
      </c>
      <c r="E48" s="392" t="s">
        <v>62</v>
      </c>
      <c r="F48" s="393" t="str">
        <f>"OMSET "&amp;UPPER(TEXT($B$1,"MMM"))&amp;CHAR(10)&amp;" (1-"&amp;DAY($B$1)&amp;")"</f>
        <v>OMSET SEP
 (1-21)</v>
      </c>
      <c r="G48" s="391" t="s">
        <v>65</v>
      </c>
      <c r="H48" s="394">
        <f>100/DAY(EOMONTH($B$1,0))*DAY($B$1)/100</f>
        <v>0.7</v>
      </c>
      <c r="I48" s="211"/>
      <c r="J48" s="212"/>
      <c r="L48" s="614"/>
      <c r="M48" s="440" t="s">
        <v>93</v>
      </c>
      <c r="N48" s="441" t="s">
        <v>94</v>
      </c>
      <c r="O48" s="442" t="s">
        <v>91</v>
      </c>
      <c r="P48" s="442" t="s">
        <v>62</v>
      </c>
      <c r="Q48" s="443" t="str">
        <f>F48</f>
        <v>OMSET SEP
 (1-21)</v>
      </c>
      <c r="R48" s="444" t="s">
        <v>65</v>
      </c>
      <c r="S48" s="445">
        <f>H48</f>
        <v>0.7</v>
      </c>
    </row>
    <row r="49" spans="1:20" ht="14.5" customHeight="1" x14ac:dyDescent="0.4">
      <c r="A49" s="628"/>
      <c r="B49" s="395" t="s">
        <v>96</v>
      </c>
      <c r="C49" s="396">
        <v>159868800</v>
      </c>
      <c r="D49" s="397">
        <v>19</v>
      </c>
      <c r="E49" s="398">
        <v>17</v>
      </c>
      <c r="F49" s="399">
        <v>118068060.36009999</v>
      </c>
      <c r="G49" s="400">
        <f>F49-C49</f>
        <v>-41800739.639900014</v>
      </c>
      <c r="H49" s="401">
        <f>F49/C49</f>
        <v>0.73853097264819645</v>
      </c>
      <c r="I49" s="192">
        <f>IF(H49&gt;120%,F49* 0.55%, IF(H49&gt;100%,F49* 0.45%, IF(H49&gt;80%,F49* 0.35%, IF(H49&gt;60%,F49* 0.2%, 0))))</f>
        <v>236136.12072019998</v>
      </c>
      <c r="L49" s="614"/>
      <c r="M49" s="395" t="s">
        <v>96</v>
      </c>
      <c r="N49" s="396">
        <v>688896000</v>
      </c>
      <c r="O49" s="397">
        <v>24</v>
      </c>
      <c r="P49" s="398">
        <v>23</v>
      </c>
      <c r="Q49" s="399">
        <v>552542792.79219997</v>
      </c>
      <c r="R49" s="400">
        <f>Q49-N49</f>
        <v>-136353207.20780003</v>
      </c>
      <c r="S49" s="401">
        <f>Q49/N49</f>
        <v>0.80206996816965115</v>
      </c>
      <c r="T49" s="192">
        <f>IF(S49&gt;120%,Q49* 0.55%, IF(S49&gt;100%,Q49* 0.45%, IF(S49&gt;80%,Q49* 0.35%, IF(S49&gt;60%,Q49* 0.2%, 0))))</f>
        <v>1933899.7747726997</v>
      </c>
    </row>
    <row r="50" spans="1:20" ht="14.5" customHeight="1" x14ac:dyDescent="0.4">
      <c r="A50" s="628"/>
      <c r="B50" s="395" t="s">
        <v>97</v>
      </c>
      <c r="C50" s="402">
        <v>623488320</v>
      </c>
      <c r="D50" s="397">
        <v>32</v>
      </c>
      <c r="E50" s="398">
        <v>24</v>
      </c>
      <c r="F50" s="399">
        <v>562498075.67549992</v>
      </c>
      <c r="G50" s="400">
        <f t="shared" ref="G50:G56" si="38">F50-C50</f>
        <v>-60990244.324500084</v>
      </c>
      <c r="H50" s="401">
        <f t="shared" ref="H50:H55" si="39">F50/C50</f>
        <v>0.90217901062765682</v>
      </c>
      <c r="I50" s="192">
        <f t="shared" ref="I50:I54" si="40">IF(H50&gt;120%,F50* 0.55%, IF(H50&gt;100%,F50* 0.45%, IF(H50&gt;80%,F50* 0.35%, IF(H50&gt;60%,F50* 0.2%, 0))))</f>
        <v>1968743.2648642494</v>
      </c>
      <c r="K50" s="216"/>
      <c r="L50" s="614"/>
      <c r="M50" s="395" t="s">
        <v>97</v>
      </c>
      <c r="N50" s="402">
        <v>310003200</v>
      </c>
      <c r="O50" s="397">
        <v>12</v>
      </c>
      <c r="P50" s="398">
        <v>7</v>
      </c>
      <c r="Q50" s="399">
        <v>32672134.342399996</v>
      </c>
      <c r="R50" s="400">
        <f t="shared" ref="R50:R56" si="41">Q50-N50</f>
        <v>-277331065.65759999</v>
      </c>
      <c r="S50" s="401">
        <f t="shared" ref="S50:S55" si="42">Q50/N50</f>
        <v>0.10539289382303149</v>
      </c>
      <c r="T50" s="192">
        <f t="shared" ref="T50:T54" si="43">IF(S50&gt;120%,Q50* 0.55%, IF(S50&gt;100%,Q50* 0.45%, IF(S50&gt;80%,Q50* 0.35%, IF(S50&gt;60%,Q50* 0.2%, 0))))</f>
        <v>0</v>
      </c>
    </row>
    <row r="51" spans="1:20" ht="14.5" customHeight="1" x14ac:dyDescent="0.4">
      <c r="A51" s="628"/>
      <c r="B51" s="395" t="s">
        <v>98</v>
      </c>
      <c r="C51" s="402">
        <v>335724480</v>
      </c>
      <c r="D51" s="397">
        <v>20</v>
      </c>
      <c r="E51" s="398">
        <v>14</v>
      </c>
      <c r="F51" s="399">
        <v>166139627.01789993</v>
      </c>
      <c r="G51" s="400">
        <f t="shared" si="38"/>
        <v>-169584852.98210007</v>
      </c>
      <c r="H51" s="401">
        <f t="shared" si="39"/>
        <v>0.4948689682024377</v>
      </c>
      <c r="I51" s="192">
        <f t="shared" si="40"/>
        <v>0</v>
      </c>
      <c r="J51" s="191"/>
      <c r="K51" s="216"/>
      <c r="L51" s="614"/>
      <c r="M51" s="395" t="s">
        <v>98</v>
      </c>
      <c r="N51" s="402">
        <v>172224000</v>
      </c>
      <c r="O51" s="397">
        <v>9</v>
      </c>
      <c r="P51" s="398">
        <v>10</v>
      </c>
      <c r="Q51" s="399">
        <v>73361727.927700028</v>
      </c>
      <c r="R51" s="400">
        <f t="shared" si="41"/>
        <v>-98862272.072299972</v>
      </c>
      <c r="S51" s="401">
        <f t="shared" si="42"/>
        <v>0.42596692637321182</v>
      </c>
      <c r="T51" s="192">
        <f t="shared" si="43"/>
        <v>0</v>
      </c>
    </row>
    <row r="52" spans="1:20" ht="14.5" customHeight="1" x14ac:dyDescent="0.4">
      <c r="A52" s="628"/>
      <c r="B52" s="395" t="s">
        <v>99</v>
      </c>
      <c r="C52" s="402">
        <v>207829440</v>
      </c>
      <c r="D52" s="397">
        <v>13</v>
      </c>
      <c r="E52" s="398">
        <v>11</v>
      </c>
      <c r="F52" s="399">
        <v>179412254.08939996</v>
      </c>
      <c r="G52" s="400">
        <f t="shared" si="38"/>
        <v>-28417185.910600036</v>
      </c>
      <c r="H52" s="401">
        <f t="shared" si="39"/>
        <v>0.86326679266132822</v>
      </c>
      <c r="I52" s="192">
        <f t="shared" si="40"/>
        <v>627942.88931289979</v>
      </c>
      <c r="K52" s="216"/>
      <c r="L52" s="614"/>
      <c r="M52" s="395" t="s">
        <v>99</v>
      </c>
      <c r="N52" s="402">
        <v>172224000</v>
      </c>
      <c r="O52" s="397">
        <v>13</v>
      </c>
      <c r="P52" s="398">
        <v>10</v>
      </c>
      <c r="Q52" s="399">
        <v>55754719.819999993</v>
      </c>
      <c r="R52" s="400">
        <f t="shared" si="41"/>
        <v>-116469280.18000001</v>
      </c>
      <c r="S52" s="401">
        <f t="shared" si="42"/>
        <v>0.32373374105815678</v>
      </c>
      <c r="T52" s="192">
        <f t="shared" si="43"/>
        <v>0</v>
      </c>
    </row>
    <row r="53" spans="1:20" ht="14.5" customHeight="1" x14ac:dyDescent="0.4">
      <c r="A53" s="628"/>
      <c r="B53" s="395" t="s">
        <v>100</v>
      </c>
      <c r="C53" s="402">
        <v>111908160.00000001</v>
      </c>
      <c r="D53" s="397">
        <v>15</v>
      </c>
      <c r="E53" s="398">
        <v>8</v>
      </c>
      <c r="F53" s="399">
        <v>34951945.044899985</v>
      </c>
      <c r="G53" s="400">
        <f t="shared" si="38"/>
        <v>-76956214.95510003</v>
      </c>
      <c r="H53" s="401">
        <f t="shared" si="39"/>
        <v>0.31232704607867717</v>
      </c>
      <c r="I53" s="192">
        <f t="shared" si="40"/>
        <v>0</v>
      </c>
      <c r="K53" s="216"/>
      <c r="L53" s="614"/>
      <c r="M53" s="395" t="s">
        <v>100</v>
      </c>
      <c r="N53" s="402">
        <v>189446400</v>
      </c>
      <c r="O53" s="397">
        <v>12</v>
      </c>
      <c r="P53" s="398">
        <v>9</v>
      </c>
      <c r="Q53" s="399">
        <v>79866456.756599978</v>
      </c>
      <c r="R53" s="400">
        <f t="shared" si="41"/>
        <v>-109579943.24340002</v>
      </c>
      <c r="S53" s="401">
        <f t="shared" si="42"/>
        <v>0.42157811790881211</v>
      </c>
      <c r="T53" s="192">
        <f t="shared" si="43"/>
        <v>0</v>
      </c>
    </row>
    <row r="54" spans="1:20" ht="14.5" customHeight="1" x14ac:dyDescent="0.4">
      <c r="A54" s="628"/>
      <c r="B54" s="395" t="s">
        <v>101</v>
      </c>
      <c r="C54" s="402">
        <v>159868800</v>
      </c>
      <c r="D54" s="397">
        <v>13</v>
      </c>
      <c r="E54" s="398">
        <v>12</v>
      </c>
      <c r="F54" s="399">
        <v>88819889.188900039</v>
      </c>
      <c r="G54" s="400">
        <f t="shared" si="38"/>
        <v>-71048910.811099961</v>
      </c>
      <c r="H54" s="401">
        <f t="shared" si="39"/>
        <v>0.55557988293463167</v>
      </c>
      <c r="I54" s="192">
        <f t="shared" si="40"/>
        <v>0</v>
      </c>
      <c r="K54" s="216"/>
      <c r="L54" s="614"/>
      <c r="M54" s="395" t="s">
        <v>101</v>
      </c>
      <c r="N54" s="402">
        <v>189446400</v>
      </c>
      <c r="O54" s="397">
        <v>9</v>
      </c>
      <c r="P54" s="398">
        <v>10</v>
      </c>
      <c r="Q54" s="399">
        <v>58774067.567700014</v>
      </c>
      <c r="R54" s="400">
        <f t="shared" si="41"/>
        <v>-130672332.43229999</v>
      </c>
      <c r="S54" s="401">
        <f t="shared" si="42"/>
        <v>0.3102411424429285</v>
      </c>
      <c r="T54" s="192">
        <f t="shared" si="43"/>
        <v>0</v>
      </c>
    </row>
    <row r="55" spans="1:20" ht="14.5" customHeight="1" thickBot="1" x14ac:dyDescent="0.45">
      <c r="A55" s="628"/>
      <c r="B55" s="403" t="s">
        <v>77</v>
      </c>
      <c r="C55" s="404">
        <f t="shared" ref="C55" si="44">SUM(C49:C54)</f>
        <v>1598688000</v>
      </c>
      <c r="D55" s="405">
        <f>SUM(D49:D54)</f>
        <v>112</v>
      </c>
      <c r="E55" s="406">
        <f t="shared" ref="E55" si="45">SUM(E49:E54)</f>
        <v>86</v>
      </c>
      <c r="F55" s="404">
        <f>SUM(F49:F54)</f>
        <v>1149889851.3766999</v>
      </c>
      <c r="G55" s="404">
        <f t="shared" si="38"/>
        <v>-448798148.62330008</v>
      </c>
      <c r="H55" s="407">
        <f t="shared" si="39"/>
        <v>0.71927095929706109</v>
      </c>
      <c r="I55" s="197">
        <f>SUM(I49:I54)</f>
        <v>2832822.2748973491</v>
      </c>
      <c r="L55" s="615"/>
      <c r="M55" s="446" t="s">
        <v>77</v>
      </c>
      <c r="N55" s="447">
        <f t="shared" ref="N55" si="46">SUM(N49:N54)</f>
        <v>1722240000</v>
      </c>
      <c r="O55" s="448">
        <f>SUM(O49:O54)</f>
        <v>79</v>
      </c>
      <c r="P55" s="449">
        <f t="shared" ref="P55" si="47">SUM(P49:P54)</f>
        <v>69</v>
      </c>
      <c r="Q55" s="447">
        <f>SUM(Q49:Q54)</f>
        <v>852971899.20659995</v>
      </c>
      <c r="R55" s="447">
        <f t="shared" si="41"/>
        <v>-869268100.79340005</v>
      </c>
      <c r="S55" s="450">
        <f t="shared" si="42"/>
        <v>0.49526889353783443</v>
      </c>
      <c r="T55" s="197">
        <f>SUM(T49:T54)</f>
        <v>1933899.7747726997</v>
      </c>
    </row>
    <row r="56" spans="1:20" x14ac:dyDescent="0.4">
      <c r="B56" s="408" t="str">
        <f>$B$12</f>
        <v>TARGET Q3</v>
      </c>
      <c r="C56" s="409">
        <v>1438819200</v>
      </c>
      <c r="D56" s="431"/>
      <c r="E56" s="431"/>
      <c r="F56" s="409">
        <f>F55</f>
        <v>1149889851.3766999</v>
      </c>
      <c r="G56" s="409">
        <f t="shared" si="38"/>
        <v>-288929348.62330008</v>
      </c>
      <c r="H56" s="410">
        <f>F56/C56</f>
        <v>0.79918995477451227</v>
      </c>
      <c r="I56" s="192">
        <f>IF(H56&gt;=1,3500000,IF(H56&gt;=0.9,2500000,0))</f>
        <v>0</v>
      </c>
      <c r="M56" s="408" t="str">
        <f>$B$12</f>
        <v>TARGET Q3</v>
      </c>
      <c r="N56" s="409">
        <v>1550016000</v>
      </c>
      <c r="O56" s="431"/>
      <c r="P56" s="431"/>
      <c r="Q56" s="409">
        <f>Q55</f>
        <v>852971899.20659995</v>
      </c>
      <c r="R56" s="409">
        <f t="shared" si="41"/>
        <v>-697044100.79340005</v>
      </c>
      <c r="S56" s="410">
        <f>Q56/N56</f>
        <v>0.5502987705975938</v>
      </c>
      <c r="T56" s="192">
        <f>IF(S56&gt;=1,3500000,IF(S56&gt;=0.9,2500000,0))</f>
        <v>0</v>
      </c>
    </row>
    <row r="57" spans="1:20" ht="16.5" thickBot="1" x14ac:dyDescent="0.45">
      <c r="B57" s="417"/>
      <c r="C57" s="412">
        <f>C56/C55</f>
        <v>0.9</v>
      </c>
      <c r="D57" s="413"/>
      <c r="E57" s="414"/>
      <c r="F57" s="415"/>
      <c r="G57" s="416"/>
      <c r="H57" s="413"/>
      <c r="N57" s="412">
        <f>N56/N55</f>
        <v>0.9</v>
      </c>
    </row>
    <row r="58" spans="1:20" ht="19.5" customHeight="1" x14ac:dyDescent="0.35">
      <c r="A58" s="626">
        <v>6</v>
      </c>
      <c r="B58" s="390" t="s">
        <v>57</v>
      </c>
      <c r="C58" s="391" t="s">
        <v>34</v>
      </c>
      <c r="D58" s="657" t="s">
        <v>179</v>
      </c>
      <c r="E58" s="658"/>
      <c r="F58" s="658"/>
      <c r="G58" s="659"/>
      <c r="H58" s="390" t="s">
        <v>66</v>
      </c>
      <c r="L58" s="618">
        <v>6</v>
      </c>
      <c r="M58" s="440" t="s">
        <v>57</v>
      </c>
      <c r="N58" s="441" t="s">
        <v>51</v>
      </c>
      <c r="O58" s="647" t="s">
        <v>179</v>
      </c>
      <c r="P58" s="648"/>
      <c r="Q58" s="648"/>
      <c r="R58" s="649"/>
      <c r="S58" s="440" t="s">
        <v>66</v>
      </c>
    </row>
    <row r="59" spans="1:20" ht="36" customHeight="1" x14ac:dyDescent="0.35">
      <c r="A59" s="626"/>
      <c r="B59" s="390" t="s">
        <v>93</v>
      </c>
      <c r="C59" s="391" t="s">
        <v>94</v>
      </c>
      <c r="D59" s="392" t="s">
        <v>91</v>
      </c>
      <c r="E59" s="392" t="s">
        <v>62</v>
      </c>
      <c r="F59" s="393" t="str">
        <f>"OMSET "&amp;UPPER(TEXT($B$1,"MMM"))&amp;CHAR(10)&amp;" (1-"&amp;DAY($B$1)&amp;")"</f>
        <v>OMSET SEP
 (1-21)</v>
      </c>
      <c r="G59" s="391" t="s">
        <v>65</v>
      </c>
      <c r="H59" s="394">
        <f>100/DAY(EOMONTH($B$1,0))*DAY($B$1)/100</f>
        <v>0.7</v>
      </c>
      <c r="L59" s="619"/>
      <c r="M59" s="440" t="s">
        <v>93</v>
      </c>
      <c r="N59" s="441" t="s">
        <v>94</v>
      </c>
      <c r="O59" s="442" t="s">
        <v>91</v>
      </c>
      <c r="P59" s="442" t="s">
        <v>62</v>
      </c>
      <c r="Q59" s="443" t="str">
        <f>F59</f>
        <v>OMSET SEP
 (1-21)</v>
      </c>
      <c r="R59" s="444" t="s">
        <v>65</v>
      </c>
      <c r="S59" s="445">
        <f>H59</f>
        <v>0.7</v>
      </c>
    </row>
    <row r="60" spans="1:20" ht="14.5" customHeight="1" x14ac:dyDescent="0.4">
      <c r="A60" s="626"/>
      <c r="B60" s="395" t="s">
        <v>96</v>
      </c>
      <c r="C60" s="396">
        <v>120219840</v>
      </c>
      <c r="D60" s="397">
        <v>16</v>
      </c>
      <c r="E60" s="398">
        <v>9</v>
      </c>
      <c r="F60" s="399">
        <v>33316637.837900005</v>
      </c>
      <c r="G60" s="400">
        <f>F60-C60</f>
        <v>-86903202.162099987</v>
      </c>
      <c r="H60" s="401">
        <f>F60/C60</f>
        <v>0.27713094475836936</v>
      </c>
      <c r="I60" s="192">
        <f>IF(H60&gt;120%,F60* 0.55%, IF(H60&gt;100%,F60* 0.45%, IF(H60&gt;80%,F60* 0.35%, IF(H60&gt;60%,F60* 0.2%, 0))))</f>
        <v>0</v>
      </c>
      <c r="L60" s="619"/>
      <c r="M60" s="395" t="s">
        <v>96</v>
      </c>
      <c r="N60" s="396">
        <v>206668800</v>
      </c>
      <c r="O60" s="397">
        <v>12</v>
      </c>
      <c r="P60" s="398">
        <v>10</v>
      </c>
      <c r="Q60" s="399">
        <v>70267456.756500036</v>
      </c>
      <c r="R60" s="400">
        <f>Q60-N60</f>
        <v>-136401343.24349996</v>
      </c>
      <c r="S60" s="401">
        <f>Q60/N60</f>
        <v>0.34000031333466896</v>
      </c>
      <c r="T60" s="192">
        <f>IF(S60&gt;120%,Q60* 0.55%, IF(S60&gt;100%,Q60* 0.45%, IF(S60&gt;80%,Q60* 0.35%, IF(S60&gt;60%,Q60* 0.2%, 0))))</f>
        <v>0</v>
      </c>
    </row>
    <row r="61" spans="1:20" ht="14.5" customHeight="1" x14ac:dyDescent="0.4">
      <c r="A61" s="626"/>
      <c r="B61" s="395" t="s">
        <v>97</v>
      </c>
      <c r="C61" s="402">
        <v>138715200</v>
      </c>
      <c r="D61" s="397">
        <v>10</v>
      </c>
      <c r="E61" s="398">
        <v>10</v>
      </c>
      <c r="F61" s="399">
        <v>105434252.25160001</v>
      </c>
      <c r="G61" s="400">
        <f t="shared" ref="G61:G67" si="48">F61-C61</f>
        <v>-33280947.748399988</v>
      </c>
      <c r="H61" s="401">
        <f t="shared" ref="H61:H66" si="49">F61/C61</f>
        <v>0.76007713827756451</v>
      </c>
      <c r="I61" s="192">
        <f t="shared" ref="I61:I65" si="50">IF(H61&gt;120%,F61* 0.55%, IF(H61&gt;100%,F61* 0.45%, IF(H61&gt;80%,F61* 0.35%, IF(H61&gt;60%,F61* 0.2%, 0))))</f>
        <v>210868.50450320003</v>
      </c>
      <c r="L61" s="619"/>
      <c r="M61" s="395" t="s">
        <v>97</v>
      </c>
      <c r="N61" s="402">
        <v>195187200</v>
      </c>
      <c r="O61" s="397">
        <v>19</v>
      </c>
      <c r="P61" s="398">
        <v>15</v>
      </c>
      <c r="Q61" s="399">
        <v>96438091.892800048</v>
      </c>
      <c r="R61" s="400">
        <f t="shared" ref="R61:R67" si="51">Q61-N61</f>
        <v>-98749108.107199952</v>
      </c>
      <c r="S61" s="401">
        <f t="shared" ref="S61:S66" si="52">Q61/N61</f>
        <v>0.49408000059840013</v>
      </c>
      <c r="T61" s="192">
        <f t="shared" ref="T61:T65" si="53">IF(S61&gt;120%,Q61* 0.55%, IF(S61&gt;100%,Q61* 0.45%, IF(S61&gt;80%,Q61* 0.35%, IF(S61&gt;60%,Q61* 0.2%, 0))))</f>
        <v>0</v>
      </c>
    </row>
    <row r="62" spans="1:20" ht="14.5" customHeight="1" x14ac:dyDescent="0.4">
      <c r="A62" s="626"/>
      <c r="B62" s="395" t="s">
        <v>98</v>
      </c>
      <c r="C62" s="402">
        <v>212696640</v>
      </c>
      <c r="D62" s="397">
        <v>17</v>
      </c>
      <c r="E62" s="398">
        <v>15</v>
      </c>
      <c r="F62" s="399">
        <v>88790226.522400007</v>
      </c>
      <c r="G62" s="400">
        <f t="shared" si="48"/>
        <v>-123906413.47759999</v>
      </c>
      <c r="H62" s="401">
        <f t="shared" si="49"/>
        <v>0.41745006654736061</v>
      </c>
      <c r="I62" s="192">
        <f t="shared" si="50"/>
        <v>0</v>
      </c>
      <c r="L62" s="619"/>
      <c r="M62" s="395" t="s">
        <v>98</v>
      </c>
      <c r="N62" s="402">
        <v>252595200</v>
      </c>
      <c r="O62" s="397">
        <v>13</v>
      </c>
      <c r="P62" s="398">
        <v>10</v>
      </c>
      <c r="Q62" s="399">
        <v>174065405.85570011</v>
      </c>
      <c r="R62" s="400">
        <f t="shared" si="51"/>
        <v>-78529794.144299895</v>
      </c>
      <c r="S62" s="401">
        <f t="shared" si="52"/>
        <v>0.68910812974949687</v>
      </c>
      <c r="T62" s="192">
        <f t="shared" si="53"/>
        <v>348130.81171140022</v>
      </c>
    </row>
    <row r="63" spans="1:20" ht="14.5" customHeight="1" x14ac:dyDescent="0.4">
      <c r="A63" s="626"/>
      <c r="B63" s="395" t="s">
        <v>99</v>
      </c>
      <c r="C63" s="402">
        <v>194201280</v>
      </c>
      <c r="D63" s="397">
        <v>16</v>
      </c>
      <c r="E63" s="398">
        <v>8</v>
      </c>
      <c r="F63" s="399">
        <v>52001507.206900015</v>
      </c>
      <c r="G63" s="400">
        <f t="shared" si="48"/>
        <v>-142199772.7931</v>
      </c>
      <c r="H63" s="401">
        <f t="shared" si="49"/>
        <v>0.26777118671359951</v>
      </c>
      <c r="I63" s="192">
        <f t="shared" si="50"/>
        <v>0</v>
      </c>
      <c r="L63" s="619"/>
      <c r="M63" s="395" t="s">
        <v>99</v>
      </c>
      <c r="N63" s="402">
        <v>229632000</v>
      </c>
      <c r="O63" s="397">
        <v>13</v>
      </c>
      <c r="P63" s="398">
        <v>14</v>
      </c>
      <c r="Q63" s="399">
        <v>149469184.68500003</v>
      </c>
      <c r="R63" s="400">
        <f t="shared" si="51"/>
        <v>-80162815.314999968</v>
      </c>
      <c r="S63" s="401">
        <f t="shared" si="52"/>
        <v>0.65090747232528579</v>
      </c>
      <c r="T63" s="192">
        <f t="shared" si="53"/>
        <v>298938.36937000009</v>
      </c>
    </row>
    <row r="64" spans="1:20" ht="14.5" customHeight="1" x14ac:dyDescent="0.4">
      <c r="A64" s="626"/>
      <c r="B64" s="395" t="s">
        <v>100</v>
      </c>
      <c r="C64" s="402">
        <v>120219840</v>
      </c>
      <c r="D64" s="397">
        <v>13</v>
      </c>
      <c r="E64" s="398">
        <v>9</v>
      </c>
      <c r="F64" s="399">
        <v>52630126.125799999</v>
      </c>
      <c r="G64" s="400">
        <f t="shared" si="48"/>
        <v>-67589713.874200001</v>
      </c>
      <c r="H64" s="401">
        <f t="shared" si="49"/>
        <v>0.43778236708516666</v>
      </c>
      <c r="I64" s="192">
        <f t="shared" si="50"/>
        <v>0</v>
      </c>
      <c r="L64" s="619"/>
      <c r="M64" s="395" t="s">
        <v>100</v>
      </c>
      <c r="N64" s="402">
        <v>126297600</v>
      </c>
      <c r="O64" s="397">
        <v>10</v>
      </c>
      <c r="P64" s="398">
        <v>7</v>
      </c>
      <c r="Q64" s="399">
        <v>138792405.40529999</v>
      </c>
      <c r="R64" s="400">
        <f t="shared" si="51"/>
        <v>12494805.405299991</v>
      </c>
      <c r="S64" s="401">
        <f t="shared" si="52"/>
        <v>1.0989314555882297</v>
      </c>
      <c r="T64" s="192">
        <f t="shared" si="53"/>
        <v>624565.82432384999</v>
      </c>
    </row>
    <row r="65" spans="1:20" ht="14.5" customHeight="1" x14ac:dyDescent="0.4">
      <c r="A65" s="626"/>
      <c r="B65" s="395" t="s">
        <v>101</v>
      </c>
      <c r="C65" s="402">
        <v>138715200</v>
      </c>
      <c r="D65" s="397">
        <v>9</v>
      </c>
      <c r="E65" s="398">
        <v>6</v>
      </c>
      <c r="F65" s="399">
        <v>54004949.549299978</v>
      </c>
      <c r="G65" s="400">
        <f t="shared" si="48"/>
        <v>-84710250.450700015</v>
      </c>
      <c r="H65" s="401">
        <f t="shared" si="49"/>
        <v>0.38932250791045231</v>
      </c>
      <c r="I65" s="192">
        <f t="shared" si="50"/>
        <v>0</v>
      </c>
      <c r="L65" s="619"/>
      <c r="M65" s="395" t="s">
        <v>101</v>
      </c>
      <c r="N65" s="402">
        <v>137779200</v>
      </c>
      <c r="O65" s="397">
        <v>12</v>
      </c>
      <c r="P65" s="398">
        <v>9</v>
      </c>
      <c r="Q65" s="399">
        <v>46503369.369399995</v>
      </c>
      <c r="R65" s="400">
        <f t="shared" si="51"/>
        <v>-91275830.630600005</v>
      </c>
      <c r="S65" s="401">
        <f t="shared" si="52"/>
        <v>0.33752097101304113</v>
      </c>
      <c r="T65" s="192">
        <f t="shared" si="53"/>
        <v>0</v>
      </c>
    </row>
    <row r="66" spans="1:20" ht="15" customHeight="1" thickBot="1" x14ac:dyDescent="0.45">
      <c r="A66" s="626"/>
      <c r="B66" s="403" t="s">
        <v>77</v>
      </c>
      <c r="C66" s="404">
        <f t="shared" ref="C66" si="54">SUM(C60:C65)</f>
        <v>924768000</v>
      </c>
      <c r="D66" s="405">
        <f>SUM(D60:D65)</f>
        <v>81</v>
      </c>
      <c r="E66" s="406">
        <f t="shared" ref="E66" si="55">SUM(E60:E65)</f>
        <v>57</v>
      </c>
      <c r="F66" s="404">
        <f>SUM(F60:F65)</f>
        <v>386177699.4939</v>
      </c>
      <c r="G66" s="404">
        <f t="shared" si="48"/>
        <v>-538590300.50609994</v>
      </c>
      <c r="H66" s="407">
        <f t="shared" si="49"/>
        <v>0.417594141983611</v>
      </c>
      <c r="I66" s="197">
        <f>SUM(I60:I65)</f>
        <v>210868.50450320003</v>
      </c>
      <c r="L66" s="620"/>
      <c r="M66" s="446" t="s">
        <v>77</v>
      </c>
      <c r="N66" s="447">
        <f t="shared" ref="N66" si="56">SUM(N60:N65)</f>
        <v>1148160000</v>
      </c>
      <c r="O66" s="448">
        <f>SUM(O60:O65)</f>
        <v>79</v>
      </c>
      <c r="P66" s="449">
        <f t="shared" ref="P66" si="57">SUM(P60:P65)</f>
        <v>65</v>
      </c>
      <c r="Q66" s="447">
        <f>SUM(Q60:Q65)</f>
        <v>675535913.96470034</v>
      </c>
      <c r="R66" s="447">
        <f t="shared" si="51"/>
        <v>-472624086.03529966</v>
      </c>
      <c r="S66" s="450">
        <f t="shared" si="52"/>
        <v>0.58836391614818517</v>
      </c>
      <c r="T66" s="197">
        <f>SUM(T60:T65)</f>
        <v>1271635.0054052502</v>
      </c>
    </row>
    <row r="67" spans="1:20" x14ac:dyDescent="0.4">
      <c r="B67" s="408" t="str">
        <f>$B$12</f>
        <v>TARGET Q3</v>
      </c>
      <c r="C67" s="409">
        <v>832291200</v>
      </c>
      <c r="D67" s="431"/>
      <c r="E67" s="431"/>
      <c r="F67" s="409">
        <f>F66</f>
        <v>386177699.4939</v>
      </c>
      <c r="G67" s="409">
        <f t="shared" si="48"/>
        <v>-446113500.5061</v>
      </c>
      <c r="H67" s="410">
        <f>F67/C67</f>
        <v>0.46399349109290117</v>
      </c>
      <c r="I67" s="192">
        <f>IF(H67&gt;=1,3500000,IF(H67&gt;=0.9,2500000,0))</f>
        <v>0</v>
      </c>
      <c r="M67" s="408" t="str">
        <f>$B$12</f>
        <v>TARGET Q3</v>
      </c>
      <c r="N67" s="409">
        <v>1033344000</v>
      </c>
      <c r="O67" s="431"/>
      <c r="P67" s="431"/>
      <c r="Q67" s="409">
        <f>Q66</f>
        <v>675535913.96470034</v>
      </c>
      <c r="R67" s="409">
        <f t="shared" si="51"/>
        <v>-357808086.03529966</v>
      </c>
      <c r="S67" s="410">
        <f>Q67/N67</f>
        <v>0.65373768460909465</v>
      </c>
      <c r="T67" s="192">
        <f>IF(S67&gt;=1,3500000,IF(S67&gt;=0.9,2500000,0))</f>
        <v>0</v>
      </c>
    </row>
    <row r="68" spans="1:20" ht="16.5" thickBot="1" x14ac:dyDescent="0.45">
      <c r="B68" s="417"/>
      <c r="C68" s="412">
        <f>C67/C66</f>
        <v>0.9</v>
      </c>
      <c r="D68" s="413"/>
      <c r="E68" s="414"/>
      <c r="F68" s="415"/>
      <c r="G68" s="416"/>
      <c r="H68" s="413"/>
      <c r="N68" s="412">
        <f>N67/N66</f>
        <v>0.9</v>
      </c>
    </row>
    <row r="69" spans="1:20" ht="19.5" customHeight="1" x14ac:dyDescent="0.35">
      <c r="A69" s="623">
        <v>7</v>
      </c>
      <c r="B69" s="390" t="s">
        <v>57</v>
      </c>
      <c r="C69" s="391" t="s">
        <v>166</v>
      </c>
      <c r="D69" s="657" t="s">
        <v>180</v>
      </c>
      <c r="E69" s="658"/>
      <c r="F69" s="658"/>
      <c r="G69" s="659"/>
      <c r="H69" s="390" t="s">
        <v>66</v>
      </c>
      <c r="L69" s="607">
        <v>7</v>
      </c>
      <c r="M69" s="440" t="s">
        <v>57</v>
      </c>
      <c r="N69" s="441" t="s">
        <v>186</v>
      </c>
      <c r="O69" s="647" t="s">
        <v>180</v>
      </c>
      <c r="P69" s="648"/>
      <c r="Q69" s="648"/>
      <c r="R69" s="649"/>
      <c r="S69" s="440" t="s">
        <v>66</v>
      </c>
    </row>
    <row r="70" spans="1:20" ht="36" customHeight="1" x14ac:dyDescent="0.35">
      <c r="A70" s="623"/>
      <c r="B70" s="390" t="s">
        <v>93</v>
      </c>
      <c r="C70" s="391" t="s">
        <v>94</v>
      </c>
      <c r="D70" s="392" t="s">
        <v>91</v>
      </c>
      <c r="E70" s="392" t="s">
        <v>62</v>
      </c>
      <c r="F70" s="393" t="str">
        <f>"OMSET "&amp;UPPER(TEXT($B$1,"MMM"))&amp;CHAR(10)&amp;" (1-"&amp;DAY($B$1)&amp;")"</f>
        <v>OMSET SEP
 (1-21)</v>
      </c>
      <c r="G70" s="391" t="s">
        <v>65</v>
      </c>
      <c r="H70" s="394">
        <f>100/DAY(EOMONTH($B$1,0))*DAY($B$1)/100</f>
        <v>0.7</v>
      </c>
      <c r="L70" s="608"/>
      <c r="M70" s="440" t="s">
        <v>93</v>
      </c>
      <c r="N70" s="441" t="s">
        <v>94</v>
      </c>
      <c r="O70" s="442" t="s">
        <v>91</v>
      </c>
      <c r="P70" s="442" t="s">
        <v>62</v>
      </c>
      <c r="Q70" s="443" t="str">
        <f>F70</f>
        <v>OMSET SEP
 (1-21)</v>
      </c>
      <c r="R70" s="444" t="s">
        <v>65</v>
      </c>
      <c r="S70" s="445">
        <f>H70</f>
        <v>0.7</v>
      </c>
    </row>
    <row r="71" spans="1:20" ht="14.5" customHeight="1" x14ac:dyDescent="0.4">
      <c r="A71" s="623"/>
      <c r="B71" s="395" t="s">
        <v>96</v>
      </c>
      <c r="C71" s="396">
        <v>121680000</v>
      </c>
      <c r="D71" s="397">
        <v>16</v>
      </c>
      <c r="E71" s="398">
        <v>13</v>
      </c>
      <c r="F71" s="399">
        <v>50281406.278700016</v>
      </c>
      <c r="G71" s="400">
        <f>F71-C71</f>
        <v>-71398593.721299976</v>
      </c>
      <c r="H71" s="401">
        <f>F71/C71</f>
        <v>0.41322654732659447</v>
      </c>
      <c r="I71" s="192">
        <f>IF(H71&gt;120%,F71* 0.55%, IF(H71&gt;100%,F71* 0.45%, IF(H71&gt;80%,F71* 0.35%, IF(H71&gt;60%,F71* 0.2%, 0))))</f>
        <v>0</v>
      </c>
      <c r="J71" s="191"/>
      <c r="K71" s="191"/>
      <c r="L71" s="608"/>
      <c r="M71" s="395" t="s">
        <v>96</v>
      </c>
      <c r="N71" s="396">
        <v>206668800</v>
      </c>
      <c r="O71" s="397">
        <v>21</v>
      </c>
      <c r="P71" s="398">
        <v>19</v>
      </c>
      <c r="Q71" s="399">
        <v>182592747.7471</v>
      </c>
      <c r="R71" s="400">
        <f t="shared" ref="R71:R78" si="58">Q71-N71</f>
        <v>-24076052.252900004</v>
      </c>
      <c r="S71" s="401">
        <f t="shared" ref="S71:S78" si="59">Q71/N71</f>
        <v>0.88350417550738181</v>
      </c>
      <c r="T71" s="192">
        <f t="shared" ref="T71:T76" si="60">IF(S71&gt;120%,Q71* 0.55%, IF(S71&gt;100%,Q71* 0.45%, IF(S71&gt;80%,Q71* 0.35%, IF(S71&gt;60%,Q71* 0.2%, 0))))</f>
        <v>639074.61711484997</v>
      </c>
    </row>
    <row r="72" spans="1:20" ht="14.5" customHeight="1" x14ac:dyDescent="0.4">
      <c r="A72" s="623"/>
      <c r="B72" s="395" t="s">
        <v>97</v>
      </c>
      <c r="C72" s="402">
        <v>146016000</v>
      </c>
      <c r="D72" s="397">
        <v>16</v>
      </c>
      <c r="E72" s="398">
        <v>12</v>
      </c>
      <c r="F72" s="399">
        <v>71583603.60329996</v>
      </c>
      <c r="G72" s="400">
        <f t="shared" ref="G72:G78" si="61">F72-C72</f>
        <v>-74432396.39670004</v>
      </c>
      <c r="H72" s="401">
        <f t="shared" ref="H72:H77" si="62">F72/C72</f>
        <v>0.49024492934541392</v>
      </c>
      <c r="I72" s="192">
        <f t="shared" ref="I72:I76" si="63">IF(H72&gt;120%,F72* 0.55%, IF(H72&gt;100%,F72* 0.45%, IF(H72&gt;80%,F72* 0.35%, IF(H72&gt;60%,F72* 0.2%, 0))))</f>
        <v>0</v>
      </c>
      <c r="J72" s="191"/>
      <c r="K72" s="191"/>
      <c r="L72" s="608"/>
      <c r="M72" s="395" t="s">
        <v>97</v>
      </c>
      <c r="N72" s="402">
        <v>149260800</v>
      </c>
      <c r="O72" s="397">
        <v>17</v>
      </c>
      <c r="P72" s="398">
        <v>12</v>
      </c>
      <c r="Q72" s="399">
        <v>51168691.441500016</v>
      </c>
      <c r="R72" s="400">
        <f t="shared" si="58"/>
        <v>-98092108.558499992</v>
      </c>
      <c r="S72" s="401">
        <f t="shared" si="59"/>
        <v>0.34281399698715281</v>
      </c>
      <c r="T72" s="192">
        <f t="shared" si="60"/>
        <v>0</v>
      </c>
    </row>
    <row r="73" spans="1:20" ht="14.5" customHeight="1" x14ac:dyDescent="0.4">
      <c r="A73" s="623"/>
      <c r="B73" s="395" t="s">
        <v>98</v>
      </c>
      <c r="C73" s="402">
        <v>206856000</v>
      </c>
      <c r="D73" s="397">
        <v>21</v>
      </c>
      <c r="E73" s="398">
        <v>15</v>
      </c>
      <c r="F73" s="399">
        <v>127391849.79230002</v>
      </c>
      <c r="G73" s="400">
        <f t="shared" si="61"/>
        <v>-79464150.207699984</v>
      </c>
      <c r="H73" s="401">
        <f t="shared" si="62"/>
        <v>0.61584798020023601</v>
      </c>
      <c r="I73" s="192">
        <f t="shared" si="63"/>
        <v>254783.69958460005</v>
      </c>
      <c r="J73" s="191"/>
      <c r="K73" s="191"/>
      <c r="L73" s="608"/>
      <c r="M73" s="395" t="s">
        <v>98</v>
      </c>
      <c r="N73" s="402">
        <v>229632000</v>
      </c>
      <c r="O73" s="397">
        <v>14</v>
      </c>
      <c r="P73" s="398">
        <v>11</v>
      </c>
      <c r="Q73" s="399">
        <v>172402935.13549998</v>
      </c>
      <c r="R73" s="400">
        <f t="shared" si="58"/>
        <v>-57229064.864500016</v>
      </c>
      <c r="S73" s="401">
        <f t="shared" si="59"/>
        <v>0.75077922561097754</v>
      </c>
      <c r="T73" s="192">
        <f t="shared" si="60"/>
        <v>344805.87027099996</v>
      </c>
    </row>
    <row r="74" spans="1:20" ht="14.5" customHeight="1" x14ac:dyDescent="0.4">
      <c r="A74" s="623"/>
      <c r="B74" s="395" t="s">
        <v>99</v>
      </c>
      <c r="C74" s="402">
        <v>243360000</v>
      </c>
      <c r="D74" s="397">
        <v>20</v>
      </c>
      <c r="E74" s="398">
        <v>14</v>
      </c>
      <c r="F74" s="399">
        <v>199064784.21129996</v>
      </c>
      <c r="G74" s="400">
        <f t="shared" si="61"/>
        <v>-44295215.788700044</v>
      </c>
      <c r="H74" s="401">
        <f t="shared" si="62"/>
        <v>0.81798481349153496</v>
      </c>
      <c r="I74" s="192">
        <f t="shared" si="63"/>
        <v>696726.74473954982</v>
      </c>
      <c r="J74" s="191"/>
      <c r="K74" s="191"/>
      <c r="L74" s="608"/>
      <c r="M74" s="395" t="s">
        <v>99</v>
      </c>
      <c r="N74" s="402">
        <v>114816000</v>
      </c>
      <c r="O74" s="397">
        <v>11</v>
      </c>
      <c r="P74" s="398">
        <v>6</v>
      </c>
      <c r="Q74" s="399">
        <v>55277740.540499993</v>
      </c>
      <c r="R74" s="400">
        <f t="shared" si="58"/>
        <v>-59538259.459500007</v>
      </c>
      <c r="S74" s="401">
        <f t="shared" si="59"/>
        <v>0.48144631881009609</v>
      </c>
      <c r="T74" s="192">
        <f t="shared" si="60"/>
        <v>0</v>
      </c>
    </row>
    <row r="75" spans="1:20" ht="14.5" customHeight="1" x14ac:dyDescent="0.4">
      <c r="A75" s="623"/>
      <c r="B75" s="395" t="s">
        <v>100</v>
      </c>
      <c r="C75" s="402">
        <v>219024000</v>
      </c>
      <c r="D75" s="397">
        <v>17</v>
      </c>
      <c r="E75" s="398">
        <v>12</v>
      </c>
      <c r="F75" s="399">
        <v>124282214.95510004</v>
      </c>
      <c r="G75" s="400">
        <f t="shared" si="61"/>
        <v>-94741785.044899955</v>
      </c>
      <c r="H75" s="401">
        <f t="shared" si="62"/>
        <v>0.56743651360170599</v>
      </c>
      <c r="I75" s="192">
        <f t="shared" si="63"/>
        <v>0</v>
      </c>
      <c r="J75" s="191"/>
      <c r="K75" s="191"/>
      <c r="L75" s="608"/>
      <c r="M75" s="395" t="s">
        <v>100</v>
      </c>
      <c r="N75" s="402">
        <v>206668800</v>
      </c>
      <c r="O75" s="397">
        <v>14</v>
      </c>
      <c r="P75" s="398">
        <v>14</v>
      </c>
      <c r="Q75" s="399">
        <v>127382612.61190003</v>
      </c>
      <c r="R75" s="400">
        <f t="shared" si="58"/>
        <v>-79286187.388099968</v>
      </c>
      <c r="S75" s="401">
        <f t="shared" si="59"/>
        <v>0.6163611179428149</v>
      </c>
      <c r="T75" s="192">
        <f t="shared" si="60"/>
        <v>254765.22522380008</v>
      </c>
    </row>
    <row r="76" spans="1:20" ht="14.5" customHeight="1" x14ac:dyDescent="0.4">
      <c r="A76" s="623"/>
      <c r="B76" s="395" t="s">
        <v>101</v>
      </c>
      <c r="C76" s="402">
        <v>279864000</v>
      </c>
      <c r="D76" s="397">
        <v>14</v>
      </c>
      <c r="E76" s="398">
        <v>8</v>
      </c>
      <c r="F76" s="399">
        <v>101759116.21579999</v>
      </c>
      <c r="G76" s="400">
        <f t="shared" si="61"/>
        <v>-178104883.78420001</v>
      </c>
      <c r="H76" s="401">
        <f t="shared" si="62"/>
        <v>0.36360202175270839</v>
      </c>
      <c r="I76" s="192">
        <f t="shared" si="63"/>
        <v>0</v>
      </c>
      <c r="J76" s="191"/>
      <c r="K76" s="191"/>
      <c r="L76" s="608"/>
      <c r="M76" s="395" t="s">
        <v>101</v>
      </c>
      <c r="N76" s="402">
        <v>241113600</v>
      </c>
      <c r="O76" s="397">
        <v>9</v>
      </c>
      <c r="P76" s="398">
        <v>8</v>
      </c>
      <c r="Q76" s="399">
        <v>218548518.0176</v>
      </c>
      <c r="R76" s="400">
        <f t="shared" si="58"/>
        <v>-22565081.9824</v>
      </c>
      <c r="S76" s="401">
        <f t="shared" si="59"/>
        <v>0.90641306843579128</v>
      </c>
      <c r="T76" s="192">
        <f t="shared" si="60"/>
        <v>764919.81306159997</v>
      </c>
    </row>
    <row r="77" spans="1:20" ht="14.5" customHeight="1" thickBot="1" x14ac:dyDescent="0.45">
      <c r="A77" s="623"/>
      <c r="B77" s="403" t="s">
        <v>77</v>
      </c>
      <c r="C77" s="404">
        <f t="shared" ref="C77" si="64">SUM(C71:C76)</f>
        <v>1216800000</v>
      </c>
      <c r="D77" s="405">
        <f>SUM(D71:D76)</f>
        <v>104</v>
      </c>
      <c r="E77" s="406">
        <f t="shared" ref="E77" si="65">SUM(E71:E76)</f>
        <v>74</v>
      </c>
      <c r="F77" s="404">
        <f>SUM(F71:F76)</f>
        <v>674362975.05649996</v>
      </c>
      <c r="G77" s="404">
        <f t="shared" si="61"/>
        <v>-542437024.94350004</v>
      </c>
      <c r="H77" s="407">
        <f t="shared" si="62"/>
        <v>0.55421020303788626</v>
      </c>
      <c r="I77" s="197">
        <f>SUM(I71:I76)</f>
        <v>951510.44432414987</v>
      </c>
      <c r="K77" s="191"/>
      <c r="L77" s="609"/>
      <c r="M77" s="446" t="s">
        <v>77</v>
      </c>
      <c r="N77" s="447">
        <f>SUM(N71:N76)</f>
        <v>1148160000</v>
      </c>
      <c r="O77" s="448">
        <f>SUM(O71:O76)</f>
        <v>86</v>
      </c>
      <c r="P77" s="449">
        <f>SUM(P71:P76)</f>
        <v>70</v>
      </c>
      <c r="Q77" s="447">
        <f>SUM(Q71:Q76)</f>
        <v>807373245.49410009</v>
      </c>
      <c r="R77" s="447">
        <f t="shared" si="58"/>
        <v>-340786754.50589991</v>
      </c>
      <c r="S77" s="450">
        <f t="shared" si="59"/>
        <v>0.70318879380408661</v>
      </c>
      <c r="T77" s="197">
        <f>SUM(T71:T76)</f>
        <v>2003565.5256712502</v>
      </c>
    </row>
    <row r="78" spans="1:20" ht="14.5" customHeight="1" x14ac:dyDescent="0.4">
      <c r="B78" s="408" t="str">
        <f>$B$12</f>
        <v>TARGET Q3</v>
      </c>
      <c r="C78" s="409">
        <v>1095120000</v>
      </c>
      <c r="D78" s="431"/>
      <c r="E78" s="431"/>
      <c r="F78" s="409">
        <f>F77</f>
        <v>674362975.05649996</v>
      </c>
      <c r="G78" s="409">
        <f t="shared" si="61"/>
        <v>-420757024.94350004</v>
      </c>
      <c r="H78" s="410">
        <f>F78/C78</f>
        <v>0.61578911448654028</v>
      </c>
      <c r="I78" s="192">
        <f>IF(H78&gt;=1,3500000,IF(H78&gt;=0.9,2500000,0))</f>
        <v>0</v>
      </c>
      <c r="M78" s="408" t="str">
        <f>$B$12</f>
        <v>TARGET Q3</v>
      </c>
      <c r="N78" s="409">
        <v>1033344000</v>
      </c>
      <c r="O78" s="431"/>
      <c r="P78" s="431"/>
      <c r="Q78" s="409">
        <f>Q77</f>
        <v>807373245.49410009</v>
      </c>
      <c r="R78" s="409">
        <f t="shared" si="58"/>
        <v>-225970754.50589991</v>
      </c>
      <c r="S78" s="410">
        <f t="shared" si="59"/>
        <v>0.78132088200454064</v>
      </c>
      <c r="T78" s="192">
        <f>IF(S78&gt;=1,3500000,IF(S78&gt;=0.9,2500000,0))</f>
        <v>0</v>
      </c>
    </row>
    <row r="79" spans="1:20" ht="14.5" customHeight="1" thickBot="1" x14ac:dyDescent="0.45">
      <c r="B79" s="417"/>
      <c r="C79" s="412">
        <f>C78/C77</f>
        <v>0.9</v>
      </c>
      <c r="D79" s="413"/>
      <c r="E79" s="414"/>
      <c r="F79" s="415"/>
      <c r="G79" s="416"/>
      <c r="H79" s="413"/>
      <c r="N79" s="412">
        <f>N78/N77</f>
        <v>0.9</v>
      </c>
    </row>
    <row r="80" spans="1:20" ht="20.149999999999999" customHeight="1" x14ac:dyDescent="0.35">
      <c r="A80" s="623">
        <v>8</v>
      </c>
      <c r="B80" s="390" t="s">
        <v>57</v>
      </c>
      <c r="C80" s="391" t="s">
        <v>194</v>
      </c>
      <c r="D80" s="657" t="s">
        <v>181</v>
      </c>
      <c r="E80" s="658"/>
      <c r="F80" s="658"/>
      <c r="G80" s="659"/>
      <c r="H80" s="390" t="s">
        <v>66</v>
      </c>
      <c r="L80" s="607">
        <v>8</v>
      </c>
      <c r="M80" s="440" t="s">
        <v>57</v>
      </c>
      <c r="N80" s="441" t="s">
        <v>168</v>
      </c>
      <c r="O80" s="647" t="s">
        <v>181</v>
      </c>
      <c r="P80" s="648"/>
      <c r="Q80" s="648"/>
      <c r="R80" s="649"/>
      <c r="S80" s="440" t="s">
        <v>66</v>
      </c>
    </row>
    <row r="81" spans="1:20" ht="33" customHeight="1" x14ac:dyDescent="0.35">
      <c r="A81" s="623"/>
      <c r="B81" s="390" t="s">
        <v>93</v>
      </c>
      <c r="C81" s="391" t="s">
        <v>94</v>
      </c>
      <c r="D81" s="392" t="s">
        <v>91</v>
      </c>
      <c r="E81" s="392" t="s">
        <v>62</v>
      </c>
      <c r="F81" s="393" t="str">
        <f>"OMSET "&amp;UPPER(TEXT($B$1,"MMM"))&amp;CHAR(10)&amp;" (1-"&amp;DAY($B$1)&amp;")"</f>
        <v>OMSET SEP
 (1-21)</v>
      </c>
      <c r="G81" s="391" t="s">
        <v>65</v>
      </c>
      <c r="H81" s="394">
        <f>100/DAY(EOMONTH($B$1,0))*DAY($B$1)/100</f>
        <v>0.7</v>
      </c>
      <c r="L81" s="608"/>
      <c r="M81" s="440" t="s">
        <v>93</v>
      </c>
      <c r="N81" s="441" t="s">
        <v>94</v>
      </c>
      <c r="O81" s="442" t="s">
        <v>91</v>
      </c>
      <c r="P81" s="442" t="s">
        <v>62</v>
      </c>
      <c r="Q81" s="443" t="str">
        <f>F81</f>
        <v>OMSET SEP
 (1-21)</v>
      </c>
      <c r="R81" s="444" t="s">
        <v>65</v>
      </c>
      <c r="S81" s="445">
        <f>H81</f>
        <v>0.7</v>
      </c>
    </row>
    <row r="82" spans="1:20" ht="14.5" customHeight="1" x14ac:dyDescent="0.4">
      <c r="A82" s="623"/>
      <c r="B82" s="395" t="s">
        <v>96</v>
      </c>
      <c r="C82" s="396">
        <v>113892480</v>
      </c>
      <c r="D82" s="397">
        <v>5</v>
      </c>
      <c r="E82" s="398">
        <v>6</v>
      </c>
      <c r="F82" s="399">
        <v>115804144.1437</v>
      </c>
      <c r="G82" s="400">
        <f>F82-C82</f>
        <v>1911664.1437000036</v>
      </c>
      <c r="H82" s="401">
        <f>F82/C82</f>
        <v>1.016784814446924</v>
      </c>
      <c r="I82" s="192">
        <f>IF(H82&gt;120%,F82* 0.55%, IF(H82&gt;100%,F82* 0.45%, IF(H82&gt;80%,F82* 0.35%, IF(H82&gt;60%,F82* 0.2%, 0))))</f>
        <v>521118.64864665008</v>
      </c>
      <c r="L82" s="608"/>
      <c r="M82" s="395" t="s">
        <v>96</v>
      </c>
      <c r="N82" s="396">
        <v>101836800.00000001</v>
      </c>
      <c r="O82" s="397">
        <v>8</v>
      </c>
      <c r="P82" s="398">
        <v>5</v>
      </c>
      <c r="Q82" s="399">
        <v>22031324.324099999</v>
      </c>
      <c r="R82" s="400">
        <f>Q82-N82</f>
        <v>-79805475.675900012</v>
      </c>
      <c r="S82" s="401">
        <f>Q82/N82</f>
        <v>0.21633951895680142</v>
      </c>
      <c r="T82" s="192">
        <f>IF(S82&gt;120%,Q82* 0.55%, IF(S82&gt;100%,Q82* 0.45%, IF(S82&gt;80%,Q82* 0.35%, IF(S82&gt;60%,Q82* 0.2%, 0))))</f>
        <v>0</v>
      </c>
    </row>
    <row r="83" spans="1:20" ht="16" customHeight="1" x14ac:dyDescent="0.4">
      <c r="A83" s="623"/>
      <c r="B83" s="395" t="s">
        <v>97</v>
      </c>
      <c r="C83" s="402">
        <v>96370560</v>
      </c>
      <c r="D83" s="397">
        <v>8</v>
      </c>
      <c r="E83" s="398">
        <v>9</v>
      </c>
      <c r="F83" s="399">
        <v>54353471.170900024</v>
      </c>
      <c r="G83" s="400">
        <f t="shared" ref="G83:G89" si="66">F83-C83</f>
        <v>-42017088.829099976</v>
      </c>
      <c r="H83" s="401">
        <f t="shared" ref="H83:H88" si="67">F83/C83</f>
        <v>0.56400493232476834</v>
      </c>
      <c r="I83" s="192">
        <f t="shared" ref="I83:I87" si="68">IF(H83&gt;120%,F83* 0.55%, IF(H83&gt;100%,F83* 0.45%, IF(H83&gt;80%,F83* 0.35%, IF(H83&gt;60%,F83* 0.2%, 0))))</f>
        <v>0</v>
      </c>
      <c r="L83" s="608"/>
      <c r="M83" s="395" t="s">
        <v>97</v>
      </c>
      <c r="N83" s="402">
        <v>84864000.000000015</v>
      </c>
      <c r="O83" s="397">
        <v>7</v>
      </c>
      <c r="P83" s="398">
        <v>3</v>
      </c>
      <c r="Q83" s="399">
        <v>9143950.4504999984</v>
      </c>
      <c r="R83" s="400">
        <f t="shared" ref="R83:R89" si="69">Q83-N83</f>
        <v>-75720049.549500018</v>
      </c>
      <c r="S83" s="401">
        <f t="shared" ref="S83:S88" si="70">Q83/N83</f>
        <v>0.10774828490879521</v>
      </c>
      <c r="T83" s="192">
        <f t="shared" ref="T83:T87" si="71">IF(S83&gt;120%,Q83* 0.55%, IF(S83&gt;100%,Q83* 0.45%, IF(S83&gt;80%,Q83* 0.35%, IF(S83&gt;60%,Q83* 0.2%, 0))))</f>
        <v>0</v>
      </c>
    </row>
    <row r="84" spans="1:20" ht="14.5" customHeight="1" x14ac:dyDescent="0.4">
      <c r="A84" s="623"/>
      <c r="B84" s="395" t="s">
        <v>98</v>
      </c>
      <c r="C84" s="402">
        <v>122653440.00000001</v>
      </c>
      <c r="D84" s="397">
        <v>13</v>
      </c>
      <c r="E84" s="398">
        <v>12</v>
      </c>
      <c r="F84" s="399">
        <v>48662227.026999995</v>
      </c>
      <c r="G84" s="400">
        <f t="shared" si="66"/>
        <v>-73991212.97300002</v>
      </c>
      <c r="H84" s="401">
        <f t="shared" si="67"/>
        <v>0.39674571725831731</v>
      </c>
      <c r="I84" s="192">
        <f t="shared" si="68"/>
        <v>0</v>
      </c>
      <c r="L84" s="608"/>
      <c r="M84" s="395" t="s">
        <v>98</v>
      </c>
      <c r="N84" s="402">
        <v>93350400.000000015</v>
      </c>
      <c r="O84" s="397">
        <v>4</v>
      </c>
      <c r="P84" s="398">
        <v>5</v>
      </c>
      <c r="Q84" s="399">
        <v>25268404.504400004</v>
      </c>
      <c r="R84" s="400">
        <f t="shared" si="69"/>
        <v>-68081995.495600015</v>
      </c>
      <c r="S84" s="401">
        <f t="shared" si="70"/>
        <v>0.27068340900949539</v>
      </c>
      <c r="T84" s="192">
        <f t="shared" si="71"/>
        <v>0</v>
      </c>
    </row>
    <row r="85" spans="1:20" ht="14.5" customHeight="1" x14ac:dyDescent="0.4">
      <c r="A85" s="623"/>
      <c r="B85" s="395" t="s">
        <v>99</v>
      </c>
      <c r="C85" s="402">
        <v>96370560</v>
      </c>
      <c r="D85" s="397">
        <v>7</v>
      </c>
      <c r="E85" s="398">
        <v>8</v>
      </c>
      <c r="F85" s="399">
        <v>33754156.756499998</v>
      </c>
      <c r="G85" s="400">
        <f t="shared" si="66"/>
        <v>-62616403.243500002</v>
      </c>
      <c r="H85" s="401">
        <f t="shared" si="67"/>
        <v>0.35025381980243758</v>
      </c>
      <c r="I85" s="192">
        <f t="shared" si="68"/>
        <v>0</v>
      </c>
      <c r="L85" s="608"/>
      <c r="M85" s="395" t="s">
        <v>99</v>
      </c>
      <c r="N85" s="402">
        <v>84864000.000000015</v>
      </c>
      <c r="O85" s="397">
        <v>8</v>
      </c>
      <c r="P85" s="398">
        <v>5</v>
      </c>
      <c r="Q85" s="399">
        <v>32198623.873999991</v>
      </c>
      <c r="R85" s="400">
        <f t="shared" si="69"/>
        <v>-52665376.126000024</v>
      </c>
      <c r="S85" s="401">
        <f t="shared" si="70"/>
        <v>0.37941440273849908</v>
      </c>
      <c r="T85" s="192">
        <f t="shared" si="71"/>
        <v>0</v>
      </c>
    </row>
    <row r="86" spans="1:20" ht="14.5" customHeight="1" x14ac:dyDescent="0.4">
      <c r="A86" s="623"/>
      <c r="B86" s="395" t="s">
        <v>100</v>
      </c>
      <c r="C86" s="402">
        <v>219024000</v>
      </c>
      <c r="D86" s="397">
        <v>15</v>
      </c>
      <c r="E86" s="398">
        <v>14</v>
      </c>
      <c r="F86" s="399">
        <v>119108343.09919994</v>
      </c>
      <c r="G86" s="400">
        <f t="shared" si="66"/>
        <v>-99915656.900800064</v>
      </c>
      <c r="H86" s="401">
        <f t="shared" si="67"/>
        <v>0.54381411671414981</v>
      </c>
      <c r="I86" s="192">
        <f t="shared" si="68"/>
        <v>0</v>
      </c>
      <c r="L86" s="608"/>
      <c r="M86" s="395" t="s">
        <v>100</v>
      </c>
      <c r="N86" s="402">
        <v>271564800.00000006</v>
      </c>
      <c r="O86" s="397">
        <v>15</v>
      </c>
      <c r="P86" s="398">
        <v>12</v>
      </c>
      <c r="Q86" s="399">
        <v>171709463.9639</v>
      </c>
      <c r="R86" s="400">
        <f t="shared" si="69"/>
        <v>-99855336.03610006</v>
      </c>
      <c r="S86" s="401">
        <f t="shared" si="70"/>
        <v>0.63229646833426112</v>
      </c>
      <c r="T86" s="192">
        <f t="shared" si="71"/>
        <v>343418.92792779999</v>
      </c>
    </row>
    <row r="87" spans="1:20" ht="14.5" customHeight="1" x14ac:dyDescent="0.4">
      <c r="A87" s="623"/>
      <c r="B87" s="395" t="s">
        <v>101</v>
      </c>
      <c r="C87" s="402">
        <v>227784960</v>
      </c>
      <c r="D87" s="397">
        <v>10</v>
      </c>
      <c r="E87" s="398">
        <v>12</v>
      </c>
      <c r="F87" s="399">
        <v>184878114.63060004</v>
      </c>
      <c r="G87" s="400">
        <f t="shared" si="66"/>
        <v>-42906845.369399965</v>
      </c>
      <c r="H87" s="401">
        <f t="shared" si="67"/>
        <v>0.81163442323233292</v>
      </c>
      <c r="I87" s="192">
        <f t="shared" si="68"/>
        <v>647073.40120710002</v>
      </c>
      <c r="L87" s="608"/>
      <c r="M87" s="395" t="s">
        <v>101</v>
      </c>
      <c r="N87" s="402">
        <v>212160000.00000003</v>
      </c>
      <c r="O87" s="397">
        <v>10</v>
      </c>
      <c r="P87" s="398">
        <v>13</v>
      </c>
      <c r="Q87" s="399">
        <v>135303005.40490004</v>
      </c>
      <c r="R87" s="400">
        <f t="shared" si="69"/>
        <v>-76856994.595099986</v>
      </c>
      <c r="S87" s="401">
        <f t="shared" si="70"/>
        <v>0.63774041009096916</v>
      </c>
      <c r="T87" s="192">
        <f t="shared" si="71"/>
        <v>270606.01080980012</v>
      </c>
    </row>
    <row r="88" spans="1:20" ht="14.5" customHeight="1" thickBot="1" x14ac:dyDescent="0.45">
      <c r="A88" s="623"/>
      <c r="B88" s="403" t="s">
        <v>77</v>
      </c>
      <c r="C88" s="404">
        <f t="shared" ref="C88" si="72">SUM(C82:C87)</f>
        <v>876096000</v>
      </c>
      <c r="D88" s="405">
        <f>SUM(D82:D87)</f>
        <v>58</v>
      </c>
      <c r="E88" s="406">
        <f t="shared" ref="E88" si="73">SUM(E82:E87)</f>
        <v>61</v>
      </c>
      <c r="F88" s="404">
        <f>SUM(F82:F87)</f>
        <v>556560456.82789993</v>
      </c>
      <c r="G88" s="404">
        <f t="shared" si="66"/>
        <v>-319535543.17210007</v>
      </c>
      <c r="H88" s="407">
        <f t="shared" si="67"/>
        <v>0.63527336824720115</v>
      </c>
      <c r="I88" s="197">
        <f>SUM(I82:I87)</f>
        <v>1168192.04985375</v>
      </c>
      <c r="L88" s="609"/>
      <c r="M88" s="446" t="s">
        <v>77</v>
      </c>
      <c r="N88" s="447">
        <f t="shared" ref="N88" si="74">SUM(N82:N87)</f>
        <v>848640000.00000012</v>
      </c>
      <c r="O88" s="448">
        <f>SUM(O82:O87)</f>
        <v>52</v>
      </c>
      <c r="P88" s="449">
        <f t="shared" ref="P88" si="75">SUM(P82:P87)</f>
        <v>43</v>
      </c>
      <c r="Q88" s="447">
        <f>SUM(Q82:Q87)</f>
        <v>395654772.52180004</v>
      </c>
      <c r="R88" s="447">
        <f t="shared" si="69"/>
        <v>-452985227.47820008</v>
      </c>
      <c r="S88" s="450">
        <f t="shared" si="70"/>
        <v>0.46622215842029596</v>
      </c>
      <c r="T88" s="197">
        <f>SUM(T82:T87)</f>
        <v>614024.93873760011</v>
      </c>
    </row>
    <row r="89" spans="1:20" x14ac:dyDescent="0.4">
      <c r="B89" s="408" t="str">
        <f>$B$12</f>
        <v>TARGET Q3</v>
      </c>
      <c r="C89" s="409">
        <v>788486400</v>
      </c>
      <c r="D89" s="431"/>
      <c r="E89" s="431"/>
      <c r="F89" s="409">
        <f>F88</f>
        <v>556560456.82789993</v>
      </c>
      <c r="G89" s="409">
        <f t="shared" si="66"/>
        <v>-231925943.17210007</v>
      </c>
      <c r="H89" s="410">
        <f>F89/C89</f>
        <v>0.70585929805244574</v>
      </c>
      <c r="I89" s="192">
        <f>IF(H89&gt;=1,3500000,IF(H89&gt;=0.9,2500000,0))</f>
        <v>0</v>
      </c>
      <c r="M89" s="408" t="str">
        <f>$B$12</f>
        <v>TARGET Q3</v>
      </c>
      <c r="N89" s="409">
        <v>763776000.00000012</v>
      </c>
      <c r="O89" s="431"/>
      <c r="P89" s="431"/>
      <c r="Q89" s="409">
        <f>Q88</f>
        <v>395654772.52180004</v>
      </c>
      <c r="R89" s="409">
        <f t="shared" si="69"/>
        <v>-368121227.47820008</v>
      </c>
      <c r="S89" s="410">
        <f>Q89/N89</f>
        <v>0.51802462046699549</v>
      </c>
      <c r="T89" s="192">
        <f>IF(S89&gt;=1,3500000,IF(S89&gt;=0.9,2500000,0))</f>
        <v>0</v>
      </c>
    </row>
    <row r="90" spans="1:20" ht="16.5" thickBot="1" x14ac:dyDescent="0.45">
      <c r="B90" s="417"/>
      <c r="C90" s="412">
        <f>C89/C88</f>
        <v>0.9</v>
      </c>
      <c r="D90" s="413"/>
      <c r="E90" s="414"/>
      <c r="F90" s="415"/>
      <c r="G90" s="416"/>
      <c r="H90" s="413"/>
      <c r="N90" s="412">
        <f>N89/N88</f>
        <v>0.9</v>
      </c>
    </row>
    <row r="91" spans="1:20" ht="20.5" customHeight="1" x14ac:dyDescent="0.35">
      <c r="A91" s="624">
        <v>9</v>
      </c>
      <c r="B91" s="390" t="s">
        <v>57</v>
      </c>
      <c r="C91" s="391" t="s">
        <v>43</v>
      </c>
      <c r="D91" s="657" t="s">
        <v>119</v>
      </c>
      <c r="E91" s="658"/>
      <c r="F91" s="658"/>
      <c r="G91" s="659"/>
      <c r="H91" s="390" t="s">
        <v>66</v>
      </c>
      <c r="L91" s="607">
        <v>9</v>
      </c>
      <c r="M91" s="440" t="s">
        <v>57</v>
      </c>
      <c r="N91" s="441" t="s">
        <v>165</v>
      </c>
      <c r="O91" s="647" t="s">
        <v>119</v>
      </c>
      <c r="P91" s="648"/>
      <c r="Q91" s="648"/>
      <c r="R91" s="649"/>
      <c r="S91" s="440" t="s">
        <v>66</v>
      </c>
    </row>
    <row r="92" spans="1:20" ht="33.65" customHeight="1" x14ac:dyDescent="0.35">
      <c r="A92" s="625"/>
      <c r="B92" s="390" t="s">
        <v>93</v>
      </c>
      <c r="C92" s="391" t="s">
        <v>94</v>
      </c>
      <c r="D92" s="392" t="s">
        <v>91</v>
      </c>
      <c r="E92" s="392" t="s">
        <v>62</v>
      </c>
      <c r="F92" s="393" t="str">
        <f>"OMSET "&amp;UPPER(TEXT($B$1,"MMM"))&amp;CHAR(10)&amp;" (1-"&amp;DAY($B$1)&amp;")"</f>
        <v>OMSET SEP
 (1-21)</v>
      </c>
      <c r="G92" s="391" t="s">
        <v>65</v>
      </c>
      <c r="H92" s="394">
        <f>100/DAY(EOMONTH($B$1,0))*DAY($B$1)/100</f>
        <v>0.7</v>
      </c>
      <c r="L92" s="608"/>
      <c r="M92" s="440" t="s">
        <v>93</v>
      </c>
      <c r="N92" s="441" t="s">
        <v>94</v>
      </c>
      <c r="O92" s="442" t="s">
        <v>91</v>
      </c>
      <c r="P92" s="442" t="s">
        <v>62</v>
      </c>
      <c r="Q92" s="443" t="str">
        <f>F92</f>
        <v>OMSET SEP
 (1-21)</v>
      </c>
      <c r="R92" s="444" t="s">
        <v>65</v>
      </c>
      <c r="S92" s="445">
        <f>H92</f>
        <v>0.7</v>
      </c>
    </row>
    <row r="93" spans="1:20" ht="14.5" customHeight="1" x14ac:dyDescent="0.4">
      <c r="A93" s="625"/>
      <c r="B93" s="395" t="s">
        <v>96</v>
      </c>
      <c r="C93" s="396">
        <v>194201280</v>
      </c>
      <c r="D93" s="397">
        <v>22</v>
      </c>
      <c r="E93" s="398">
        <v>12</v>
      </c>
      <c r="F93" s="399">
        <v>144437712.1618</v>
      </c>
      <c r="G93" s="400">
        <f>F93-C93</f>
        <v>-49763567.838200003</v>
      </c>
      <c r="H93" s="401">
        <f>F93/C93</f>
        <v>0.74375262697444633</v>
      </c>
      <c r="I93" s="192">
        <f>IF(H93&gt;120%,F93* 0.55%, IF(H93&gt;100%,F93* 0.45%, IF(H93&gt;80%,F93* 0.35%, IF(H93&gt;60%,F93* 0.2%, 0))))</f>
        <v>288875.42432360002</v>
      </c>
      <c r="L93" s="608"/>
      <c r="M93" s="395" t="s">
        <v>96</v>
      </c>
      <c r="N93" s="396">
        <v>89856000</v>
      </c>
      <c r="O93" s="397">
        <v>11</v>
      </c>
      <c r="P93" s="398">
        <v>9</v>
      </c>
      <c r="Q93" s="399">
        <v>62544951.36060001</v>
      </c>
      <c r="R93" s="400">
        <f>Q93-N93</f>
        <v>-27311048.63939999</v>
      </c>
      <c r="S93" s="401">
        <f>Q93/N93</f>
        <v>0.69605759616052365</v>
      </c>
      <c r="T93" s="192">
        <f>IF(S93&gt;120%,Q93* 0.55%, IF(S93&gt;100%,Q93* 0.45%, IF(S93&gt;80%,Q93* 0.35%, IF(S93&gt;60%,Q93* 0.2%, 0))))</f>
        <v>125089.90272120002</v>
      </c>
    </row>
    <row r="94" spans="1:20" ht="14.5" customHeight="1" x14ac:dyDescent="0.4">
      <c r="A94" s="625"/>
      <c r="B94" s="395" t="s">
        <v>97</v>
      </c>
      <c r="C94" s="402">
        <v>157210560</v>
      </c>
      <c r="D94" s="397">
        <v>15</v>
      </c>
      <c r="E94" s="398">
        <v>9</v>
      </c>
      <c r="F94" s="399">
        <v>54731208.55870001</v>
      </c>
      <c r="G94" s="400">
        <f t="shared" ref="G94:G100" si="76">F94-C94</f>
        <v>-102479351.44129999</v>
      </c>
      <c r="H94" s="401">
        <f t="shared" ref="H94:H99" si="77">F94/C94</f>
        <v>0.34813951784600228</v>
      </c>
      <c r="I94" s="192">
        <f t="shared" ref="I94:I98" si="78">IF(H94&gt;120%,F94* 0.55%, IF(H94&gt;100%,F94* 0.45%, IF(H94&gt;80%,F94* 0.35%, IF(H94&gt;60%,F94* 0.2%, 0))))</f>
        <v>0</v>
      </c>
      <c r="L94" s="608"/>
      <c r="M94" s="395" t="s">
        <v>97</v>
      </c>
      <c r="N94" s="402">
        <v>323481600</v>
      </c>
      <c r="O94" s="397">
        <v>14</v>
      </c>
      <c r="P94" s="398">
        <v>12</v>
      </c>
      <c r="Q94" s="399">
        <v>195214002.25190005</v>
      </c>
      <c r="R94" s="400">
        <f t="shared" ref="R94:R100" si="79">Q94-N94</f>
        <v>-128267597.74809995</v>
      </c>
      <c r="S94" s="401">
        <f t="shared" ref="S94:S99" si="80">Q94/N94</f>
        <v>0.60347791729699629</v>
      </c>
      <c r="T94" s="192">
        <f t="shared" ref="T94:T98" si="81">IF(S94&gt;120%,Q94* 0.55%, IF(S94&gt;100%,Q94* 0.45%, IF(S94&gt;80%,Q94* 0.35%, IF(S94&gt;60%,Q94* 0.2%, 0))))</f>
        <v>390428.00450380013</v>
      </c>
    </row>
    <row r="95" spans="1:20" ht="14.5" customHeight="1" x14ac:dyDescent="0.4">
      <c r="A95" s="625"/>
      <c r="B95" s="395" t="s">
        <v>98</v>
      </c>
      <c r="C95" s="402">
        <v>175705920</v>
      </c>
      <c r="D95" s="397">
        <v>19</v>
      </c>
      <c r="E95" s="398">
        <v>11</v>
      </c>
      <c r="F95" s="399">
        <v>52003241.441899985</v>
      </c>
      <c r="G95" s="400">
        <f t="shared" si="76"/>
        <v>-123702678.55810001</v>
      </c>
      <c r="H95" s="401">
        <f t="shared" si="77"/>
        <v>0.29596749752028834</v>
      </c>
      <c r="I95" s="192">
        <f t="shared" si="78"/>
        <v>0</v>
      </c>
      <c r="L95" s="608"/>
      <c r="M95" s="395" t="s">
        <v>98</v>
      </c>
      <c r="N95" s="402">
        <v>125798400.00000001</v>
      </c>
      <c r="O95" s="397">
        <v>11</v>
      </c>
      <c r="P95" s="398">
        <v>3</v>
      </c>
      <c r="Q95" s="399">
        <v>18679909.909899995</v>
      </c>
      <c r="R95" s="400">
        <f t="shared" si="79"/>
        <v>-107118490.09010002</v>
      </c>
      <c r="S95" s="401">
        <f t="shared" si="80"/>
        <v>0.14849083859492643</v>
      </c>
      <c r="T95" s="192">
        <f t="shared" si="81"/>
        <v>0</v>
      </c>
    </row>
    <row r="96" spans="1:20" ht="14.5" customHeight="1" x14ac:dyDescent="0.4">
      <c r="A96" s="625"/>
      <c r="B96" s="395" t="s">
        <v>99</v>
      </c>
      <c r="C96" s="402">
        <v>157210560</v>
      </c>
      <c r="D96" s="397">
        <v>16</v>
      </c>
      <c r="E96" s="398">
        <v>11</v>
      </c>
      <c r="F96" s="399">
        <v>67115247.576999992</v>
      </c>
      <c r="G96" s="400">
        <f t="shared" si="76"/>
        <v>-90095312.423000008</v>
      </c>
      <c r="H96" s="401">
        <f t="shared" si="77"/>
        <v>0.42691310034771196</v>
      </c>
      <c r="I96" s="192">
        <f t="shared" si="78"/>
        <v>0</v>
      </c>
      <c r="L96" s="608"/>
      <c r="M96" s="395" t="s">
        <v>99</v>
      </c>
      <c r="N96" s="402">
        <v>107827200</v>
      </c>
      <c r="O96" s="397">
        <v>10</v>
      </c>
      <c r="P96" s="398">
        <v>4</v>
      </c>
      <c r="Q96" s="399">
        <v>24677792.793099999</v>
      </c>
      <c r="R96" s="400">
        <f t="shared" si="79"/>
        <v>-83149407.206900001</v>
      </c>
      <c r="S96" s="401">
        <f t="shared" si="80"/>
        <v>0.2288642642403772</v>
      </c>
      <c r="T96" s="192">
        <f t="shared" si="81"/>
        <v>0</v>
      </c>
    </row>
    <row r="97" spans="1:21" ht="14.5" customHeight="1" x14ac:dyDescent="0.4">
      <c r="A97" s="625"/>
      <c r="B97" s="395" t="s">
        <v>100</v>
      </c>
      <c r="C97" s="402">
        <v>110972160</v>
      </c>
      <c r="D97" s="397">
        <v>14</v>
      </c>
      <c r="E97" s="398">
        <v>12</v>
      </c>
      <c r="F97" s="399">
        <v>95844893.242100015</v>
      </c>
      <c r="G97" s="400">
        <f t="shared" si="76"/>
        <v>-15127266.757899985</v>
      </c>
      <c r="H97" s="401">
        <f t="shared" si="77"/>
        <v>0.86368412800201433</v>
      </c>
      <c r="I97" s="192">
        <f t="shared" si="78"/>
        <v>335457.12634735001</v>
      </c>
      <c r="L97" s="608"/>
      <c r="M97" s="395" t="s">
        <v>100</v>
      </c>
      <c r="N97" s="402">
        <v>116812800</v>
      </c>
      <c r="O97" s="397">
        <v>7</v>
      </c>
      <c r="P97" s="398">
        <v>7</v>
      </c>
      <c r="Q97" s="399">
        <v>52033504.5044</v>
      </c>
      <c r="R97" s="400">
        <f t="shared" si="79"/>
        <v>-64779295.4956</v>
      </c>
      <c r="S97" s="401">
        <f t="shared" si="80"/>
        <v>0.44544351735768684</v>
      </c>
      <c r="T97" s="192">
        <f t="shared" si="81"/>
        <v>0</v>
      </c>
    </row>
    <row r="98" spans="1:21" ht="14.5" customHeight="1" x14ac:dyDescent="0.4">
      <c r="A98" s="625"/>
      <c r="B98" s="395" t="s">
        <v>101</v>
      </c>
      <c r="C98" s="402">
        <v>129467520.00000001</v>
      </c>
      <c r="D98" s="397">
        <v>11</v>
      </c>
      <c r="E98" s="398">
        <v>7</v>
      </c>
      <c r="F98" s="399">
        <v>72383244.95540002</v>
      </c>
      <c r="G98" s="400">
        <f t="shared" si="76"/>
        <v>-57084275.044599995</v>
      </c>
      <c r="H98" s="401">
        <f t="shared" si="77"/>
        <v>0.55908420085130239</v>
      </c>
      <c r="I98" s="192">
        <f t="shared" si="78"/>
        <v>0</v>
      </c>
      <c r="L98" s="608"/>
      <c r="M98" s="395" t="s">
        <v>101</v>
      </c>
      <c r="N98" s="402">
        <v>134784000</v>
      </c>
      <c r="O98" s="397">
        <v>8</v>
      </c>
      <c r="P98" s="398">
        <v>6</v>
      </c>
      <c r="Q98" s="399">
        <v>52328909.008599997</v>
      </c>
      <c r="R98" s="400">
        <f t="shared" si="79"/>
        <v>-82455090.991400003</v>
      </c>
      <c r="S98" s="401">
        <f t="shared" si="80"/>
        <v>0.38824273659039649</v>
      </c>
      <c r="T98" s="192">
        <f t="shared" si="81"/>
        <v>0</v>
      </c>
    </row>
    <row r="99" spans="1:21" s="187" customFormat="1" ht="14.5" customHeight="1" thickBot="1" x14ac:dyDescent="0.45">
      <c r="A99" s="625"/>
      <c r="B99" s="403" t="s">
        <v>77</v>
      </c>
      <c r="C99" s="404">
        <f t="shared" ref="C99" si="82">SUM(C93:C98)</f>
        <v>924768000</v>
      </c>
      <c r="D99" s="405">
        <f>SUM(D93:D98)</f>
        <v>97</v>
      </c>
      <c r="E99" s="406">
        <f t="shared" ref="E99" si="83">SUM(E93:E98)</f>
        <v>62</v>
      </c>
      <c r="F99" s="404">
        <f>SUM(F93:F98)</f>
        <v>486515547.93690002</v>
      </c>
      <c r="G99" s="404">
        <f t="shared" si="76"/>
        <v>-438252452.06309998</v>
      </c>
      <c r="H99" s="407">
        <f t="shared" si="77"/>
        <v>0.52609470476584397</v>
      </c>
      <c r="I99" s="197">
        <f>SUM(I93:I98)</f>
        <v>624332.55067094998</v>
      </c>
      <c r="J99" s="217"/>
      <c r="L99" s="609"/>
      <c r="M99" s="446" t="s">
        <v>77</v>
      </c>
      <c r="N99" s="447">
        <f t="shared" ref="N99" si="84">SUM(N93:N98)</f>
        <v>898560000</v>
      </c>
      <c r="O99" s="448">
        <f>SUM(O93:O98)</f>
        <v>61</v>
      </c>
      <c r="P99" s="449">
        <f t="shared" ref="P99" si="85">SUM(P93:P98)</f>
        <v>41</v>
      </c>
      <c r="Q99" s="447">
        <f>SUM(Q93:Q98)</f>
        <v>405479069.82850009</v>
      </c>
      <c r="R99" s="447">
        <f t="shared" si="79"/>
        <v>-493080930.17149991</v>
      </c>
      <c r="S99" s="450">
        <f t="shared" si="80"/>
        <v>0.45125430670016481</v>
      </c>
      <c r="T99" s="197">
        <f>SUM(T93:T98)</f>
        <v>515517.90722500015</v>
      </c>
      <c r="U99" s="218"/>
    </row>
    <row r="100" spans="1:21" ht="15" customHeight="1" x14ac:dyDescent="0.4">
      <c r="A100" s="219"/>
      <c r="B100" s="408" t="str">
        <f>$B$12</f>
        <v>TARGET Q3</v>
      </c>
      <c r="C100" s="409">
        <v>832291200</v>
      </c>
      <c r="D100" s="431"/>
      <c r="E100" s="431"/>
      <c r="F100" s="409">
        <f>F99</f>
        <v>486515547.93690002</v>
      </c>
      <c r="G100" s="409">
        <f t="shared" si="76"/>
        <v>-345775652.06309998</v>
      </c>
      <c r="H100" s="410">
        <f>F100/C100</f>
        <v>0.58454967196204888</v>
      </c>
      <c r="I100" s="192">
        <f>IF(H100&gt;=1,3500000,IF(H100&gt;=0.9,2500000,0))</f>
        <v>0</v>
      </c>
      <c r="M100" s="408" t="str">
        <f>$B$12</f>
        <v>TARGET Q3</v>
      </c>
      <c r="N100" s="409">
        <v>808704000</v>
      </c>
      <c r="O100" s="431"/>
      <c r="P100" s="431"/>
      <c r="Q100" s="409">
        <f>Q99</f>
        <v>405479069.82850009</v>
      </c>
      <c r="R100" s="409">
        <f t="shared" si="79"/>
        <v>-403224930.17149991</v>
      </c>
      <c r="S100" s="410">
        <f>Q100/N100</f>
        <v>0.50139367411129421</v>
      </c>
      <c r="T100" s="192">
        <f>IF(S100&gt;=1,3500000,IF(S100&gt;=0.9,2500000,0))</f>
        <v>0</v>
      </c>
    </row>
    <row r="101" spans="1:21" ht="16.5" thickBot="1" x14ac:dyDescent="0.45">
      <c r="B101" s="417"/>
      <c r="C101" s="412">
        <f>C100/C99</f>
        <v>0.9</v>
      </c>
      <c r="D101" s="413"/>
      <c r="E101" s="414"/>
      <c r="F101" s="415"/>
      <c r="G101" s="416"/>
      <c r="H101" s="413"/>
      <c r="N101" s="412">
        <f>N100/N99</f>
        <v>0.9</v>
      </c>
    </row>
    <row r="102" spans="1:21" ht="17.149999999999999" customHeight="1" x14ac:dyDescent="0.35">
      <c r="A102" s="623">
        <v>10</v>
      </c>
      <c r="B102" s="390" t="s">
        <v>57</v>
      </c>
      <c r="C102" s="391" t="s">
        <v>37</v>
      </c>
      <c r="D102" s="657" t="s">
        <v>182</v>
      </c>
      <c r="E102" s="658"/>
      <c r="F102" s="658"/>
      <c r="G102" s="659"/>
      <c r="H102" s="390" t="s">
        <v>66</v>
      </c>
      <c r="L102" s="613">
        <v>10</v>
      </c>
      <c r="M102" s="440" t="s">
        <v>57</v>
      </c>
      <c r="N102" s="441" t="s">
        <v>122</v>
      </c>
      <c r="O102" s="466" t="s">
        <v>182</v>
      </c>
      <c r="P102" s="467"/>
      <c r="Q102" s="467"/>
      <c r="R102" s="468"/>
      <c r="S102" s="440" t="s">
        <v>66</v>
      </c>
    </row>
    <row r="103" spans="1:21" ht="37.5" customHeight="1" x14ac:dyDescent="0.35">
      <c r="A103" s="623"/>
      <c r="B103" s="390" t="s">
        <v>93</v>
      </c>
      <c r="C103" s="391" t="s">
        <v>94</v>
      </c>
      <c r="D103" s="392" t="s">
        <v>91</v>
      </c>
      <c r="E103" s="392" t="s">
        <v>62</v>
      </c>
      <c r="F103" s="393" t="str">
        <f>"OMSET "&amp;UPPER(TEXT($B$1,"MMM"))&amp;CHAR(10)&amp;" (1-"&amp;DAY($B$1)&amp;")"</f>
        <v>OMSET SEP
 (1-21)</v>
      </c>
      <c r="G103" s="391" t="s">
        <v>65</v>
      </c>
      <c r="H103" s="394">
        <f>100/DAY(EOMONTH($B$1,0))*DAY($B$1)/100</f>
        <v>0.7</v>
      </c>
      <c r="L103" s="614"/>
      <c r="M103" s="440" t="s">
        <v>93</v>
      </c>
      <c r="N103" s="441" t="s">
        <v>94</v>
      </c>
      <c r="O103" s="442" t="s">
        <v>91</v>
      </c>
      <c r="P103" s="442" t="s">
        <v>62</v>
      </c>
      <c r="Q103" s="443" t="str">
        <f>F103</f>
        <v>OMSET SEP
 (1-21)</v>
      </c>
      <c r="R103" s="444" t="s">
        <v>65</v>
      </c>
      <c r="S103" s="445">
        <f>H103</f>
        <v>0.7</v>
      </c>
    </row>
    <row r="104" spans="1:21" ht="14.5" customHeight="1" x14ac:dyDescent="0.4">
      <c r="A104" s="623"/>
      <c r="B104" s="395" t="s">
        <v>96</v>
      </c>
      <c r="C104" s="396">
        <v>369907200</v>
      </c>
      <c r="D104" s="397">
        <v>23</v>
      </c>
      <c r="E104" s="398">
        <v>20</v>
      </c>
      <c r="F104" s="399">
        <v>140097853.95510006</v>
      </c>
      <c r="G104" s="400">
        <f>F104-C104</f>
        <v>-229809346.04489994</v>
      </c>
      <c r="H104" s="401">
        <f>F104/C104</f>
        <v>0.37873784007205069</v>
      </c>
      <c r="I104" s="192">
        <f>IF(H104&gt;120%,F104* 0.55%, IF(H104&gt;100%,F104* 0.45%, IF(H104&gt;80%,F104* 0.35%, IF(H104&gt;60%,F104* 0.2%, 0))))</f>
        <v>0</v>
      </c>
      <c r="L104" s="614"/>
      <c r="M104" s="395" t="s">
        <v>96</v>
      </c>
      <c r="N104" s="396">
        <v>123302400</v>
      </c>
      <c r="O104" s="397">
        <v>12</v>
      </c>
      <c r="P104" s="398">
        <v>4</v>
      </c>
      <c r="Q104" s="399">
        <v>18582885.585699998</v>
      </c>
      <c r="R104" s="400">
        <f>Q104-N104</f>
        <v>-104719514.41429999</v>
      </c>
      <c r="S104" s="401">
        <f>Q104/N104</f>
        <v>0.15070984494786799</v>
      </c>
      <c r="T104" s="192">
        <f>IF(S104&gt;120%,Q104* 0.55%, IF(S104&gt;100%,Q104* 0.45%, IF(S104&gt;80%,Q104* 0.35%, IF(S104&gt;60%,Q104* 0.2%, 0))))</f>
        <v>0</v>
      </c>
    </row>
    <row r="105" spans="1:21" ht="14.5" customHeight="1" x14ac:dyDescent="0.4">
      <c r="A105" s="623"/>
      <c r="B105" s="395" t="s">
        <v>97</v>
      </c>
      <c r="C105" s="402">
        <v>0</v>
      </c>
      <c r="D105" s="397"/>
      <c r="E105" s="398"/>
      <c r="F105" s="399"/>
      <c r="G105" s="400">
        <f t="shared" ref="G105:G111" si="86">F105-C105</f>
        <v>0</v>
      </c>
      <c r="H105" s="401">
        <v>0</v>
      </c>
      <c r="I105" s="192">
        <f t="shared" ref="I105:I109" si="87">IF(H105&gt;120%,F105* 0.55%, IF(H105&gt;100%,F105* 0.45%, IF(H105&gt;80%,F105* 0.35%, IF(H105&gt;60%,F105* 0.2%, 0))))</f>
        <v>0</v>
      </c>
      <c r="L105" s="614"/>
      <c r="M105" s="395" t="s">
        <v>97</v>
      </c>
      <c r="N105" s="402">
        <v>426816000</v>
      </c>
      <c r="O105" s="397">
        <v>25</v>
      </c>
      <c r="P105" s="398">
        <v>18</v>
      </c>
      <c r="Q105" s="399">
        <v>210798892.36080018</v>
      </c>
      <c r="R105" s="400">
        <f t="shared" ref="R105:R111" si="88">Q105-N105</f>
        <v>-216017107.63919982</v>
      </c>
      <c r="S105" s="401">
        <f t="shared" ref="S105:S110" si="89">Q105/N105</f>
        <v>0.49388704350539853</v>
      </c>
      <c r="T105" s="192">
        <f t="shared" ref="T105:T109" si="90">IF(S105&gt;120%,Q105* 0.55%, IF(S105&gt;100%,Q105* 0.45%, IF(S105&gt;80%,Q105* 0.35%, IF(S105&gt;60%,Q105* 0.2%, 0))))</f>
        <v>0</v>
      </c>
    </row>
    <row r="106" spans="1:21" ht="14.5" customHeight="1" x14ac:dyDescent="0.4">
      <c r="A106" s="623"/>
      <c r="B106" s="395" t="s">
        <v>98</v>
      </c>
      <c r="C106" s="402">
        <v>138715200</v>
      </c>
      <c r="D106" s="397">
        <v>10</v>
      </c>
      <c r="E106" s="398">
        <v>8</v>
      </c>
      <c r="F106" s="399">
        <v>27113406.666600008</v>
      </c>
      <c r="G106" s="400">
        <f t="shared" si="86"/>
        <v>-111601793.3334</v>
      </c>
      <c r="H106" s="401">
        <f t="shared" ref="H106:H110" si="91">F106/C106</f>
        <v>0.1954609636622375</v>
      </c>
      <c r="I106" s="192">
        <f t="shared" si="87"/>
        <v>0</v>
      </c>
      <c r="L106" s="614"/>
      <c r="M106" s="395" t="s">
        <v>98</v>
      </c>
      <c r="N106" s="402">
        <v>0</v>
      </c>
      <c r="O106" s="397"/>
      <c r="P106" s="398"/>
      <c r="Q106" s="399"/>
      <c r="R106" s="400">
        <f t="shared" si="88"/>
        <v>0</v>
      </c>
      <c r="S106" s="401">
        <v>0</v>
      </c>
      <c r="T106" s="192">
        <f t="shared" si="90"/>
        <v>0</v>
      </c>
    </row>
    <row r="107" spans="1:21" ht="14.5" customHeight="1" x14ac:dyDescent="0.4">
      <c r="A107" s="623"/>
      <c r="B107" s="395" t="s">
        <v>99</v>
      </c>
      <c r="C107" s="402">
        <v>138715200</v>
      </c>
      <c r="D107" s="397">
        <v>8</v>
      </c>
      <c r="E107" s="398">
        <v>6</v>
      </c>
      <c r="F107" s="399">
        <v>55792344.634599976</v>
      </c>
      <c r="G107" s="400">
        <f t="shared" si="86"/>
        <v>-82922855.365400016</v>
      </c>
      <c r="H107" s="401">
        <f t="shared" si="91"/>
        <v>0.40220786643857326</v>
      </c>
      <c r="I107" s="192">
        <f t="shared" si="87"/>
        <v>0</v>
      </c>
      <c r="L107" s="614"/>
      <c r="M107" s="395" t="s">
        <v>99</v>
      </c>
      <c r="N107" s="402">
        <v>151756800</v>
      </c>
      <c r="O107" s="397">
        <v>18</v>
      </c>
      <c r="P107" s="398">
        <v>13</v>
      </c>
      <c r="Q107" s="399">
        <v>47291229.296899982</v>
      </c>
      <c r="R107" s="400">
        <f t="shared" si="88"/>
        <v>-104465570.70310003</v>
      </c>
      <c r="S107" s="401">
        <f t="shared" si="89"/>
        <v>0.31162510870616661</v>
      </c>
      <c r="T107" s="192">
        <f t="shared" si="90"/>
        <v>0</v>
      </c>
    </row>
    <row r="108" spans="1:21" ht="14.5" customHeight="1" x14ac:dyDescent="0.4">
      <c r="A108" s="623"/>
      <c r="B108" s="395" t="s">
        <v>100</v>
      </c>
      <c r="C108" s="402">
        <v>129467520.00000001</v>
      </c>
      <c r="D108" s="397">
        <v>7</v>
      </c>
      <c r="E108" s="398">
        <v>4</v>
      </c>
      <c r="F108" s="399">
        <v>18022135.135200001</v>
      </c>
      <c r="G108" s="400">
        <f t="shared" si="86"/>
        <v>-111445384.86480001</v>
      </c>
      <c r="H108" s="401">
        <f t="shared" si="91"/>
        <v>0.13920198004256201</v>
      </c>
      <c r="I108" s="192">
        <f t="shared" si="87"/>
        <v>0</v>
      </c>
      <c r="L108" s="614"/>
      <c r="M108" s="395" t="s">
        <v>100</v>
      </c>
      <c r="N108" s="402">
        <v>132787200.00000001</v>
      </c>
      <c r="O108" s="397">
        <v>8</v>
      </c>
      <c r="P108" s="398">
        <v>5</v>
      </c>
      <c r="Q108" s="399">
        <v>25733198.1983</v>
      </c>
      <c r="R108" s="400">
        <f t="shared" si="88"/>
        <v>-107054001.80170001</v>
      </c>
      <c r="S108" s="401">
        <f t="shared" si="89"/>
        <v>0.19379276163892301</v>
      </c>
      <c r="T108" s="192">
        <f t="shared" si="90"/>
        <v>0</v>
      </c>
    </row>
    <row r="109" spans="1:21" ht="14.5" customHeight="1" x14ac:dyDescent="0.4">
      <c r="A109" s="623"/>
      <c r="B109" s="395" t="s">
        <v>101</v>
      </c>
      <c r="C109" s="402">
        <v>147962880</v>
      </c>
      <c r="D109" s="397">
        <v>14</v>
      </c>
      <c r="E109" s="398">
        <v>11</v>
      </c>
      <c r="F109" s="399">
        <v>57690434.234199978</v>
      </c>
      <c r="G109" s="400">
        <f t="shared" si="86"/>
        <v>-90272445.765800029</v>
      </c>
      <c r="H109" s="401">
        <f t="shared" si="91"/>
        <v>0.38989802195118112</v>
      </c>
      <c r="I109" s="192">
        <f t="shared" si="87"/>
        <v>0</v>
      </c>
      <c r="L109" s="614"/>
      <c r="M109" s="395" t="s">
        <v>101</v>
      </c>
      <c r="N109" s="402">
        <v>113817600</v>
      </c>
      <c r="O109" s="397">
        <v>11</v>
      </c>
      <c r="P109" s="398">
        <v>8</v>
      </c>
      <c r="Q109" s="399">
        <v>23856563.441400003</v>
      </c>
      <c r="R109" s="400">
        <f t="shared" si="88"/>
        <v>-89961036.558599994</v>
      </c>
      <c r="S109" s="401">
        <f t="shared" si="89"/>
        <v>0.2096034659086117</v>
      </c>
      <c r="T109" s="192">
        <f t="shared" si="90"/>
        <v>0</v>
      </c>
    </row>
    <row r="110" spans="1:21" ht="14.5" customHeight="1" thickBot="1" x14ac:dyDescent="0.45">
      <c r="A110" s="623"/>
      <c r="B110" s="403" t="s">
        <v>77</v>
      </c>
      <c r="C110" s="404">
        <f t="shared" ref="C110" si="92">SUM(C104:C109)</f>
        <v>924768000</v>
      </c>
      <c r="D110" s="405">
        <f>SUM(D104:D109)</f>
        <v>62</v>
      </c>
      <c r="E110" s="406">
        <f t="shared" ref="E110" si="93">SUM(E104:E109)</f>
        <v>49</v>
      </c>
      <c r="F110" s="404">
        <f>SUM(F104:F109)</f>
        <v>298716174.62570006</v>
      </c>
      <c r="G110" s="404">
        <f t="shared" si="86"/>
        <v>-626051825.3743</v>
      </c>
      <c r="H110" s="407">
        <f t="shared" si="91"/>
        <v>0.3230174212620896</v>
      </c>
      <c r="I110" s="197">
        <f>SUM(I104:I109)</f>
        <v>0</v>
      </c>
      <c r="L110" s="615"/>
      <c r="M110" s="446" t="s">
        <v>77</v>
      </c>
      <c r="N110" s="447">
        <f t="shared" ref="N110" si="94">SUM(N104:N109)</f>
        <v>948480000</v>
      </c>
      <c r="O110" s="448">
        <f>SUM(O104:O109)</f>
        <v>74</v>
      </c>
      <c r="P110" s="449">
        <f t="shared" ref="P110" si="95">SUM(P104:P109)</f>
        <v>48</v>
      </c>
      <c r="Q110" s="447">
        <f>SUM(Q104:Q109)</f>
        <v>326262768.88310015</v>
      </c>
      <c r="R110" s="447">
        <f t="shared" si="88"/>
        <v>-622217231.11689985</v>
      </c>
      <c r="S110" s="450">
        <f t="shared" si="89"/>
        <v>0.34398486935212147</v>
      </c>
      <c r="T110" s="197">
        <f>SUM(T104:T109)</f>
        <v>0</v>
      </c>
    </row>
    <row r="111" spans="1:21" ht="14.5" customHeight="1" x14ac:dyDescent="0.4">
      <c r="B111" s="408" t="str">
        <f>$B$12</f>
        <v>TARGET Q3</v>
      </c>
      <c r="C111" s="409">
        <v>832291200</v>
      </c>
      <c r="D111" s="431"/>
      <c r="E111" s="431"/>
      <c r="F111" s="409">
        <f>F110</f>
        <v>298716174.62570006</v>
      </c>
      <c r="G111" s="409">
        <f t="shared" si="86"/>
        <v>-533575025.37429994</v>
      </c>
      <c r="H111" s="410">
        <f>F111/C111</f>
        <v>0.35890824584676623</v>
      </c>
      <c r="I111" s="192">
        <f>IF(H111&gt;=1,3500000,IF(H111&gt;=0.9,2500000,0))</f>
        <v>0</v>
      </c>
      <c r="M111" s="408" t="str">
        <f>$B$12</f>
        <v>TARGET Q3</v>
      </c>
      <c r="N111" s="409">
        <v>853632000</v>
      </c>
      <c r="O111" s="431"/>
      <c r="P111" s="431"/>
      <c r="Q111" s="409">
        <f>Q110</f>
        <v>326262768.88310015</v>
      </c>
      <c r="R111" s="409">
        <f t="shared" si="88"/>
        <v>-527369231.11689985</v>
      </c>
      <c r="S111" s="410">
        <f>Q111/N111</f>
        <v>0.38220541039124606</v>
      </c>
      <c r="T111" s="192">
        <f>IF(S111&gt;=1,3500000,IF(S111&gt;=0.9,2500000,0))</f>
        <v>0</v>
      </c>
    </row>
    <row r="112" spans="1:21" ht="14.5" customHeight="1" x14ac:dyDescent="0.4">
      <c r="B112" s="417"/>
      <c r="C112" s="412">
        <f>C111/C110</f>
        <v>0.9</v>
      </c>
      <c r="D112" s="413"/>
      <c r="E112" s="414"/>
      <c r="F112" s="415"/>
      <c r="G112" s="416"/>
      <c r="H112" s="413"/>
      <c r="N112" s="412">
        <f>N111/N110</f>
        <v>0.9</v>
      </c>
    </row>
    <row r="113" spans="2:21" x14ac:dyDescent="0.4">
      <c r="B113" s="417"/>
      <c r="C113" s="412"/>
      <c r="D113" s="413"/>
      <c r="E113" s="414"/>
      <c r="F113" s="415"/>
      <c r="G113" s="416"/>
      <c r="H113" s="413"/>
    </row>
    <row r="114" spans="2:21" s="290" customFormat="1" ht="14.5" customHeight="1" x14ac:dyDescent="0.4">
      <c r="B114" s="418"/>
      <c r="C114" s="419"/>
      <c r="D114" s="420"/>
      <c r="E114" s="421"/>
      <c r="F114" s="422"/>
      <c r="G114" s="423"/>
      <c r="H114" s="420"/>
      <c r="I114" s="297"/>
      <c r="J114" s="298"/>
      <c r="M114" s="418"/>
      <c r="N114" s="420"/>
      <c r="O114" s="451"/>
      <c r="P114" s="420"/>
      <c r="Q114" s="422"/>
      <c r="R114" s="419"/>
      <c r="S114" s="420"/>
      <c r="T114" s="291"/>
      <c r="U114" s="300"/>
    </row>
    <row r="115" spans="2:21" ht="14.5" customHeight="1" x14ac:dyDescent="0.4">
      <c r="B115" s="417"/>
      <c r="C115" s="424"/>
      <c r="D115" s="413"/>
      <c r="E115" s="414"/>
      <c r="F115" s="415"/>
      <c r="G115" s="416"/>
      <c r="H115" s="413"/>
    </row>
    <row r="116" spans="2:21" ht="15" customHeight="1" x14ac:dyDescent="0.35">
      <c r="B116" s="642" t="s">
        <v>123</v>
      </c>
      <c r="C116" s="642"/>
      <c r="D116" s="642"/>
      <c r="E116" s="642"/>
      <c r="F116" s="642"/>
      <c r="G116" s="642"/>
      <c r="H116" s="642"/>
      <c r="I116"/>
      <c r="J116"/>
      <c r="M116" s="632" t="s">
        <v>124</v>
      </c>
      <c r="N116" s="633"/>
      <c r="O116" s="633"/>
      <c r="P116" s="633"/>
      <c r="Q116" s="633"/>
      <c r="R116" s="633"/>
      <c r="S116" s="634"/>
      <c r="T116" s="194"/>
      <c r="U116" s="194"/>
    </row>
    <row r="117" spans="2:21" ht="15" customHeight="1" x14ac:dyDescent="0.35">
      <c r="B117" s="642"/>
      <c r="C117" s="642"/>
      <c r="D117" s="642"/>
      <c r="E117" s="642"/>
      <c r="F117" s="642"/>
      <c r="G117" s="642"/>
      <c r="H117" s="642"/>
      <c r="I117"/>
      <c r="J117"/>
      <c r="M117" s="635"/>
      <c r="N117" s="636"/>
      <c r="O117" s="636"/>
      <c r="P117" s="636"/>
      <c r="Q117" s="636"/>
      <c r="R117" s="636"/>
      <c r="S117" s="637"/>
      <c r="T117" s="194"/>
      <c r="U117" s="194"/>
    </row>
    <row r="118" spans="2:21" ht="15" customHeight="1" x14ac:dyDescent="0.35">
      <c r="B118" s="655" t="s">
        <v>125</v>
      </c>
      <c r="C118" s="654" t="s">
        <v>94</v>
      </c>
      <c r="D118" s="655" t="s">
        <v>91</v>
      </c>
      <c r="E118" s="655" t="s">
        <v>62</v>
      </c>
      <c r="F118" s="656" t="str">
        <f>F48</f>
        <v>OMSET SEP
 (1-21)</v>
      </c>
      <c r="G118" s="654" t="s">
        <v>126</v>
      </c>
      <c r="H118" s="425" t="s">
        <v>128</v>
      </c>
      <c r="I118"/>
      <c r="J118"/>
      <c r="M118" s="638" t="s">
        <v>125</v>
      </c>
      <c r="N118" s="643" t="s">
        <v>94</v>
      </c>
      <c r="O118" s="638" t="s">
        <v>91</v>
      </c>
      <c r="P118" s="638" t="s">
        <v>62</v>
      </c>
      <c r="Q118" s="640" t="str">
        <f>Q48</f>
        <v>OMSET SEP
 (1-21)</v>
      </c>
      <c r="R118" s="643" t="s">
        <v>126</v>
      </c>
      <c r="S118" s="452" t="s">
        <v>128</v>
      </c>
      <c r="T118" s="194"/>
      <c r="U118" s="194"/>
    </row>
    <row r="119" spans="2:21" ht="30" customHeight="1" x14ac:dyDescent="0.35">
      <c r="B119" s="655"/>
      <c r="C119" s="654"/>
      <c r="D119" s="655"/>
      <c r="E119" s="655"/>
      <c r="F119" s="656"/>
      <c r="G119" s="654"/>
      <c r="H119" s="426">
        <f>100/DAY(EOMONTH($B$1,0))*DAY($B$1)/100</f>
        <v>0.7</v>
      </c>
      <c r="I119"/>
      <c r="J119"/>
      <c r="M119" s="639"/>
      <c r="N119" s="644"/>
      <c r="O119" s="639"/>
      <c r="P119" s="639"/>
      <c r="Q119" s="641"/>
      <c r="R119" s="644"/>
      <c r="S119" s="453">
        <f>100/DAY(EOMONTH($B$1,0))*DAY($B$1)/100</f>
        <v>0.7</v>
      </c>
      <c r="T119" s="194"/>
      <c r="U119" s="194"/>
    </row>
    <row r="120" spans="2:21" x14ac:dyDescent="0.4">
      <c r="B120" s="400" t="str">
        <f>C3</f>
        <v>CHRISTOPER</v>
      </c>
      <c r="C120" s="396">
        <f>C11</f>
        <v>1370304000</v>
      </c>
      <c r="D120" s="397">
        <f>D11</f>
        <v>91</v>
      </c>
      <c r="E120" s="427">
        <f>E11</f>
        <v>83</v>
      </c>
      <c r="F120" s="428">
        <f>F11</f>
        <v>835732109.38820004</v>
      </c>
      <c r="G120" s="428">
        <f>G11</f>
        <v>-534571890.61179996</v>
      </c>
      <c r="H120" s="429">
        <f t="shared" ref="H120:H126" si="96">F120/C120</f>
        <v>0.60988810467472909</v>
      </c>
      <c r="I120"/>
      <c r="J120"/>
      <c r="M120" s="400" t="str">
        <f>N3</f>
        <v>FERDIAN</v>
      </c>
      <c r="N120" s="396">
        <f>N11</f>
        <v>1123200000</v>
      </c>
      <c r="O120" s="397">
        <f>O11</f>
        <v>78</v>
      </c>
      <c r="P120" s="427">
        <f>P11</f>
        <v>66</v>
      </c>
      <c r="Q120" s="428">
        <f>Q11</f>
        <v>806588730.19620013</v>
      </c>
      <c r="R120" s="428">
        <f>R11</f>
        <v>-316611269.80379987</v>
      </c>
      <c r="S120" s="429">
        <f>Q120/N120</f>
        <v>0.71811674696955141</v>
      </c>
      <c r="T120" s="228"/>
      <c r="U120" s="194"/>
    </row>
    <row r="121" spans="2:21" x14ac:dyDescent="0.4">
      <c r="B121" s="400" t="str">
        <f>C14</f>
        <v>AGPC : BOGOR</v>
      </c>
      <c r="C121" s="396">
        <f>C22</f>
        <v>1522560000</v>
      </c>
      <c r="D121" s="397">
        <f>D22</f>
        <v>92</v>
      </c>
      <c r="E121" s="427">
        <f>E22</f>
        <v>63</v>
      </c>
      <c r="F121" s="428">
        <f>F22</f>
        <v>847477253.02010024</v>
      </c>
      <c r="G121" s="428">
        <f>G22</f>
        <v>-675082746.97989976</v>
      </c>
      <c r="H121" s="429">
        <f t="shared" si="96"/>
        <v>0.55661337025805235</v>
      </c>
      <c r="I121"/>
      <c r="J121"/>
      <c r="M121" s="400" t="str">
        <f>N14</f>
        <v>BOBBY</v>
      </c>
      <c r="N121" s="396">
        <f>N22</f>
        <v>1422720000</v>
      </c>
      <c r="O121" s="397">
        <f>O22</f>
        <v>81</v>
      </c>
      <c r="P121" s="427">
        <f>P22</f>
        <v>60</v>
      </c>
      <c r="Q121" s="428">
        <f>Q22</f>
        <v>548377586.0546</v>
      </c>
      <c r="R121" s="428">
        <f>R22</f>
        <v>-874342413.9454</v>
      </c>
      <c r="S121" s="429">
        <f>Q121/N121</f>
        <v>0.38544308511485043</v>
      </c>
      <c r="T121" s="228"/>
      <c r="U121" s="194"/>
    </row>
    <row r="122" spans="2:21" x14ac:dyDescent="0.4">
      <c r="B122" s="400" t="str">
        <f>C25</f>
        <v>DIKI</v>
      </c>
      <c r="C122" s="396">
        <f>C33</f>
        <v>1446432000</v>
      </c>
      <c r="D122" s="397">
        <f>D33</f>
        <v>96</v>
      </c>
      <c r="E122" s="427">
        <f>E33</f>
        <v>76</v>
      </c>
      <c r="F122" s="428">
        <f>F33</f>
        <v>1393150690.8766005</v>
      </c>
      <c r="G122" s="428">
        <f>G33</f>
        <v>-53281309.123399496</v>
      </c>
      <c r="H122" s="429">
        <f t="shared" si="96"/>
        <v>0.96316362668732469</v>
      </c>
      <c r="I122"/>
      <c r="J122"/>
      <c r="M122" s="400" t="str">
        <f>N25</f>
        <v>ALI AKBAR</v>
      </c>
      <c r="N122" s="396">
        <f>N33</f>
        <v>1347840000</v>
      </c>
      <c r="O122" s="397">
        <f>O33</f>
        <v>65</v>
      </c>
      <c r="P122" s="427">
        <f>P33</f>
        <v>52</v>
      </c>
      <c r="Q122" s="428">
        <f>Q33</f>
        <v>425459673.05479997</v>
      </c>
      <c r="R122" s="428">
        <f>R33</f>
        <v>-922380326.94519997</v>
      </c>
      <c r="S122" s="429">
        <f t="shared" ref="S122:S126" si="97">Q122/N122</f>
        <v>0.31566036996587132</v>
      </c>
      <c r="T122" s="228"/>
      <c r="U122" s="194"/>
    </row>
    <row r="123" spans="2:21" ht="14.5" customHeight="1" x14ac:dyDescent="0.4">
      <c r="B123" s="400" t="str">
        <f>C36</f>
        <v>NUR HABIBI</v>
      </c>
      <c r="C123" s="396">
        <f>C44</f>
        <v>1674816000</v>
      </c>
      <c r="D123" s="397">
        <f>D44</f>
        <v>84</v>
      </c>
      <c r="E123" s="427">
        <f>E44</f>
        <v>76</v>
      </c>
      <c r="F123" s="428">
        <f>F44</f>
        <v>1143220688.1868997</v>
      </c>
      <c r="G123" s="428">
        <f>G44</f>
        <v>-531595311.81310034</v>
      </c>
      <c r="H123" s="429">
        <f t="shared" si="96"/>
        <v>0.68259479739081763</v>
      </c>
      <c r="I123"/>
      <c r="J123"/>
      <c r="M123" s="400" t="str">
        <f>N36</f>
        <v>GILBERT</v>
      </c>
      <c r="N123" s="396">
        <f>N44</f>
        <v>1872000000</v>
      </c>
      <c r="O123" s="397">
        <f>O44</f>
        <v>62</v>
      </c>
      <c r="P123" s="427">
        <f>P44</f>
        <v>45</v>
      </c>
      <c r="Q123" s="428">
        <f>Q44</f>
        <v>1168713388.7377</v>
      </c>
      <c r="R123" s="428">
        <f>R44</f>
        <v>-703286611.26230001</v>
      </c>
      <c r="S123" s="429">
        <f t="shared" si="97"/>
        <v>0.6243127076590278</v>
      </c>
      <c r="T123" s="228"/>
      <c r="U123" s="194"/>
    </row>
    <row r="124" spans="2:21" ht="14.5" customHeight="1" x14ac:dyDescent="0.4">
      <c r="B124" s="400" t="str">
        <f>C47</f>
        <v>RIDWAN</v>
      </c>
      <c r="C124" s="396">
        <f>C55</f>
        <v>1598688000</v>
      </c>
      <c r="D124" s="397">
        <f>D55</f>
        <v>112</v>
      </c>
      <c r="E124" s="427">
        <f>E55</f>
        <v>86</v>
      </c>
      <c r="F124" s="428">
        <f>F55</f>
        <v>1149889851.3766999</v>
      </c>
      <c r="G124" s="428">
        <f>G55</f>
        <v>-448798148.62330008</v>
      </c>
      <c r="H124" s="429">
        <f t="shared" si="96"/>
        <v>0.71927095929706109</v>
      </c>
      <c r="I124"/>
      <c r="J124"/>
      <c r="M124" s="400" t="str">
        <f>N47</f>
        <v>AGPS : TSEL-SUB</v>
      </c>
      <c r="N124" s="396">
        <f>N55</f>
        <v>1722240000</v>
      </c>
      <c r="O124" s="397">
        <f>O55</f>
        <v>79</v>
      </c>
      <c r="P124" s="427">
        <f>P55</f>
        <v>69</v>
      </c>
      <c r="Q124" s="428">
        <f>Q55</f>
        <v>852971899.20659995</v>
      </c>
      <c r="R124" s="428">
        <f>R55</f>
        <v>-869268100.79340005</v>
      </c>
      <c r="S124" s="429">
        <f t="shared" si="97"/>
        <v>0.49526889353783443</v>
      </c>
      <c r="T124" s="228"/>
      <c r="U124" s="194"/>
    </row>
    <row r="125" spans="2:21" x14ac:dyDescent="0.4">
      <c r="B125" s="403" t="s">
        <v>77</v>
      </c>
      <c r="C125" s="404">
        <f>SUM(C120:C124)</f>
        <v>7612800000</v>
      </c>
      <c r="D125" s="405">
        <f>SUM(D120:D124)</f>
        <v>475</v>
      </c>
      <c r="E125" s="406">
        <f>SUM(E120:E124)</f>
        <v>384</v>
      </c>
      <c r="F125" s="430">
        <f>SUM(F120:F124)</f>
        <v>5369470592.8485003</v>
      </c>
      <c r="G125" s="404">
        <f>F125-C125</f>
        <v>-2243329407.1514997</v>
      </c>
      <c r="H125" s="407">
        <f t="shared" si="96"/>
        <v>0.70532137884201607</v>
      </c>
      <c r="I125"/>
      <c r="J125"/>
      <c r="M125" s="446" t="s">
        <v>77</v>
      </c>
      <c r="N125" s="447">
        <f t="shared" ref="N125:Q125" si="98">SUM(N120:N124)</f>
        <v>7488000000</v>
      </c>
      <c r="O125" s="448">
        <f t="shared" si="98"/>
        <v>365</v>
      </c>
      <c r="P125" s="449">
        <f t="shared" si="98"/>
        <v>292</v>
      </c>
      <c r="Q125" s="454">
        <f t="shared" si="98"/>
        <v>3802111277.2498999</v>
      </c>
      <c r="R125" s="447">
        <f>Q125-N125</f>
        <v>-3685888722.7501001</v>
      </c>
      <c r="S125" s="450">
        <f t="shared" si="97"/>
        <v>0.50776058723956996</v>
      </c>
      <c r="T125" s="194"/>
      <c r="U125" s="194"/>
    </row>
    <row r="126" spans="2:21" x14ac:dyDescent="0.4">
      <c r="B126" s="408" t="str">
        <f>$B$12</f>
        <v>TARGET Q3</v>
      </c>
      <c r="C126" s="409">
        <f>SUM(C56,C45,C34,C23,C12)</f>
        <v>6851520000</v>
      </c>
      <c r="D126" s="431"/>
      <c r="E126" s="431"/>
      <c r="F126" s="432">
        <f>F125</f>
        <v>5369470592.8485003</v>
      </c>
      <c r="G126" s="409">
        <f>F126-C126</f>
        <v>-1482049407.1514997</v>
      </c>
      <c r="H126" s="433">
        <f t="shared" si="96"/>
        <v>0.78369042093557351</v>
      </c>
      <c r="I126"/>
      <c r="J126"/>
      <c r="M126" s="408" t="str">
        <f>$B$12</f>
        <v>TARGET Q3</v>
      </c>
      <c r="N126" s="409">
        <f>SUM(N56,N45,N34,N23,N12)</f>
        <v>6739200000</v>
      </c>
      <c r="O126" s="431"/>
      <c r="P126" s="431"/>
      <c r="Q126" s="432">
        <f>Q125</f>
        <v>3802111277.2498999</v>
      </c>
      <c r="R126" s="409">
        <f>Q126-N126</f>
        <v>-2937088722.7501001</v>
      </c>
      <c r="S126" s="433">
        <f t="shared" si="97"/>
        <v>0.56417843026618886</v>
      </c>
      <c r="T126" s="194"/>
      <c r="U126" s="194"/>
    </row>
    <row r="127" spans="2:21" x14ac:dyDescent="0.4">
      <c r="B127" s="417"/>
      <c r="C127" s="434"/>
      <c r="D127" s="435"/>
      <c r="E127" s="435"/>
      <c r="F127" s="435"/>
      <c r="G127" s="435"/>
      <c r="H127" s="435"/>
      <c r="I127" s="197"/>
      <c r="J127" s="246"/>
      <c r="N127" s="434"/>
      <c r="O127" s="435"/>
      <c r="P127" s="435"/>
      <c r="Q127" s="435"/>
      <c r="R127" s="455"/>
      <c r="S127" s="456"/>
      <c r="T127" s="197"/>
      <c r="U127" s="246"/>
    </row>
    <row r="128" spans="2:21" x14ac:dyDescent="0.4">
      <c r="B128" s="417"/>
      <c r="C128" s="424"/>
      <c r="D128" s="413"/>
      <c r="E128" s="414"/>
      <c r="F128" s="415"/>
      <c r="G128" s="416"/>
      <c r="H128" s="436"/>
    </row>
    <row r="129" spans="2:21" ht="15" customHeight="1" x14ac:dyDescent="0.35">
      <c r="B129" s="642" t="s">
        <v>187</v>
      </c>
      <c r="C129" s="642"/>
      <c r="D129" s="642"/>
      <c r="E129" s="642"/>
      <c r="F129" s="642"/>
      <c r="G129" s="642"/>
      <c r="H129" s="642"/>
      <c r="I129"/>
      <c r="J129"/>
      <c r="M129" s="632" t="s">
        <v>130</v>
      </c>
      <c r="N129" s="633"/>
      <c r="O129" s="633"/>
      <c r="P129" s="633"/>
      <c r="Q129" s="633"/>
      <c r="R129" s="633"/>
      <c r="S129" s="634"/>
      <c r="T129" s="194"/>
      <c r="U129" s="194"/>
    </row>
    <row r="130" spans="2:21" ht="15" customHeight="1" x14ac:dyDescent="0.35">
      <c r="B130" s="642"/>
      <c r="C130" s="642"/>
      <c r="D130" s="642"/>
      <c r="E130" s="642"/>
      <c r="F130" s="642"/>
      <c r="G130" s="642"/>
      <c r="H130" s="642"/>
      <c r="I130"/>
      <c r="J130"/>
      <c r="M130" s="635"/>
      <c r="N130" s="636"/>
      <c r="O130" s="636"/>
      <c r="P130" s="636"/>
      <c r="Q130" s="636"/>
      <c r="R130" s="636"/>
      <c r="S130" s="637"/>
      <c r="T130" s="194"/>
      <c r="U130" s="194"/>
    </row>
    <row r="131" spans="2:21" ht="15" customHeight="1" x14ac:dyDescent="0.35">
      <c r="B131" s="645" t="s">
        <v>125</v>
      </c>
      <c r="C131" s="650" t="s">
        <v>94</v>
      </c>
      <c r="D131" s="645" t="s">
        <v>91</v>
      </c>
      <c r="E131" s="645" t="s">
        <v>62</v>
      </c>
      <c r="F131" s="652" t="str">
        <f>F48</f>
        <v>OMSET SEP
 (1-21)</v>
      </c>
      <c r="G131" s="650" t="s">
        <v>126</v>
      </c>
      <c r="H131" s="425" t="s">
        <v>128</v>
      </c>
      <c r="I131" s="194"/>
      <c r="J131" s="194"/>
      <c r="M131" s="638" t="s">
        <v>125</v>
      </c>
      <c r="N131" s="643" t="s">
        <v>94</v>
      </c>
      <c r="O131" s="638" t="s">
        <v>91</v>
      </c>
      <c r="P131" s="638" t="s">
        <v>62</v>
      </c>
      <c r="Q131" s="640" t="str">
        <f>Q48</f>
        <v>OMSET SEP
 (1-21)</v>
      </c>
      <c r="R131" s="643" t="s">
        <v>126</v>
      </c>
      <c r="S131" s="452" t="s">
        <v>128</v>
      </c>
      <c r="T131" s="194"/>
      <c r="U131" s="194"/>
    </row>
    <row r="132" spans="2:21" ht="27.75" customHeight="1" x14ac:dyDescent="0.35">
      <c r="B132" s="646"/>
      <c r="C132" s="651"/>
      <c r="D132" s="646"/>
      <c r="E132" s="646"/>
      <c r="F132" s="653"/>
      <c r="G132" s="651"/>
      <c r="H132" s="426">
        <f>100/DAY(EOMONTH($B$1,0))*DAY($B$1)/100</f>
        <v>0.7</v>
      </c>
      <c r="I132" s="194"/>
      <c r="J132" s="194"/>
      <c r="M132" s="639"/>
      <c r="N132" s="644"/>
      <c r="O132" s="639"/>
      <c r="P132" s="639"/>
      <c r="Q132" s="641"/>
      <c r="R132" s="644"/>
      <c r="S132" s="453">
        <f>100/DAY(EOMONTH($B$1,0))*DAY($B$1)/100</f>
        <v>0.7</v>
      </c>
      <c r="T132" s="194"/>
      <c r="U132" s="194"/>
    </row>
    <row r="133" spans="2:21" ht="15" customHeight="1" x14ac:dyDescent="0.4">
      <c r="B133" s="400" t="str">
        <f>C58</f>
        <v>AHMAD</v>
      </c>
      <c r="C133" s="396">
        <f>C66</f>
        <v>924768000</v>
      </c>
      <c r="D133" s="397">
        <f>D66</f>
        <v>81</v>
      </c>
      <c r="E133" s="427">
        <f>E66</f>
        <v>57</v>
      </c>
      <c r="F133" s="428">
        <f>F66</f>
        <v>386177699.4939</v>
      </c>
      <c r="G133" s="428">
        <f>G66</f>
        <v>-538590300.50609994</v>
      </c>
      <c r="H133" s="429">
        <f>F133/C133</f>
        <v>0.417594141983611</v>
      </c>
      <c r="I133" s="228"/>
      <c r="J133" s="194"/>
      <c r="M133" s="400" t="str">
        <f>N58</f>
        <v>AGUSTIAN</v>
      </c>
      <c r="N133" s="396">
        <f>N66</f>
        <v>1148160000</v>
      </c>
      <c r="O133" s="397">
        <f>O66</f>
        <v>79</v>
      </c>
      <c r="P133" s="427">
        <f>P66</f>
        <v>65</v>
      </c>
      <c r="Q133" s="428">
        <f>Q66</f>
        <v>675535913.96470034</v>
      </c>
      <c r="R133" s="428">
        <f>R66</f>
        <v>-472624086.03529966</v>
      </c>
      <c r="S133" s="429">
        <f>Q133/N133</f>
        <v>0.58836391614818517</v>
      </c>
      <c r="T133" s="194"/>
      <c r="U133" s="194"/>
    </row>
    <row r="134" spans="2:21" x14ac:dyDescent="0.4">
      <c r="B134" s="400" t="str">
        <f>C69</f>
        <v>ALFIN</v>
      </c>
      <c r="C134" s="396">
        <f>C77</f>
        <v>1216800000</v>
      </c>
      <c r="D134" s="397">
        <f>D77</f>
        <v>104</v>
      </c>
      <c r="E134" s="427">
        <f>E77</f>
        <v>74</v>
      </c>
      <c r="F134" s="428">
        <f>F77</f>
        <v>674362975.05649996</v>
      </c>
      <c r="G134" s="428">
        <f>G77</f>
        <v>-542437024.94350004</v>
      </c>
      <c r="H134" s="429">
        <f>F134/C134</f>
        <v>0.55421020303788626</v>
      </c>
      <c r="I134" s="228"/>
      <c r="J134" s="194"/>
      <c r="M134" s="400" t="str">
        <f>N69</f>
        <v>RAY FAHMI</v>
      </c>
      <c r="N134" s="396">
        <f>N77</f>
        <v>1148160000</v>
      </c>
      <c r="O134" s="397">
        <f>O77</f>
        <v>86</v>
      </c>
      <c r="P134" s="427">
        <f>P77</f>
        <v>70</v>
      </c>
      <c r="Q134" s="428">
        <f>Q77</f>
        <v>807373245.49410009</v>
      </c>
      <c r="R134" s="428">
        <f>R77</f>
        <v>-340786754.50589991</v>
      </c>
      <c r="S134" s="429">
        <f>Q134/N134</f>
        <v>0.70318879380408661</v>
      </c>
      <c r="T134" s="194"/>
      <c r="U134" s="194"/>
    </row>
    <row r="135" spans="2:21" x14ac:dyDescent="0.4">
      <c r="B135" s="400" t="str">
        <f>C80</f>
        <v>AGPC : JAKTIM-CKR</v>
      </c>
      <c r="C135" s="396">
        <f>C88</f>
        <v>876096000</v>
      </c>
      <c r="D135" s="397">
        <f>D88</f>
        <v>58</v>
      </c>
      <c r="E135" s="427">
        <f>E88</f>
        <v>61</v>
      </c>
      <c r="F135" s="428">
        <f>F88</f>
        <v>556560456.82789993</v>
      </c>
      <c r="G135" s="428">
        <f>G88</f>
        <v>-319535543.17210007</v>
      </c>
      <c r="H135" s="429">
        <f t="shared" ref="H135:H139" si="99">F135/C135</f>
        <v>0.63527336824720115</v>
      </c>
      <c r="I135" s="228"/>
      <c r="J135" s="194"/>
      <c r="M135" s="400" t="str">
        <f>N80</f>
        <v>LUDFY</v>
      </c>
      <c r="N135" s="396">
        <f t="shared" ref="N135:Q135" si="100">N88</f>
        <v>848640000.00000012</v>
      </c>
      <c r="O135" s="397">
        <f t="shared" si="100"/>
        <v>52</v>
      </c>
      <c r="P135" s="427">
        <f t="shared" si="100"/>
        <v>43</v>
      </c>
      <c r="Q135" s="428">
        <f t="shared" si="100"/>
        <v>395654772.52180004</v>
      </c>
      <c r="R135" s="428">
        <f>R88</f>
        <v>-452985227.47820008</v>
      </c>
      <c r="S135" s="429">
        <f t="shared" ref="S135:S139" si="101">Q135/N135</f>
        <v>0.46622215842029596</v>
      </c>
      <c r="T135" s="194"/>
      <c r="U135" s="194"/>
    </row>
    <row r="136" spans="2:21" x14ac:dyDescent="0.4">
      <c r="B136" s="400" t="str">
        <f>C91</f>
        <v>IPNU</v>
      </c>
      <c r="C136" s="396">
        <f>C99</f>
        <v>924768000</v>
      </c>
      <c r="D136" s="397">
        <f>D99</f>
        <v>97</v>
      </c>
      <c r="E136" s="427">
        <f>E99</f>
        <v>62</v>
      </c>
      <c r="F136" s="428">
        <f>F99</f>
        <v>486515547.93690002</v>
      </c>
      <c r="G136" s="428">
        <f>G99</f>
        <v>-438252452.06309998</v>
      </c>
      <c r="H136" s="429">
        <f t="shared" si="99"/>
        <v>0.52609470476584397</v>
      </c>
      <c r="I136" s="228"/>
      <c r="J136" s="194"/>
      <c r="M136" s="400" t="str">
        <f>N91</f>
        <v>DIMAS</v>
      </c>
      <c r="N136" s="396">
        <f t="shared" ref="N136:Q136" si="102">N99</f>
        <v>898560000</v>
      </c>
      <c r="O136" s="397">
        <f t="shared" si="102"/>
        <v>61</v>
      </c>
      <c r="P136" s="427">
        <f t="shared" si="102"/>
        <v>41</v>
      </c>
      <c r="Q136" s="428">
        <f t="shared" si="102"/>
        <v>405479069.82850009</v>
      </c>
      <c r="R136" s="428">
        <f>R99</f>
        <v>-493080930.17149991</v>
      </c>
      <c r="S136" s="429">
        <f t="shared" si="101"/>
        <v>0.45125430670016481</v>
      </c>
      <c r="T136" s="194"/>
      <c r="U136" s="194"/>
    </row>
    <row r="137" spans="2:21" x14ac:dyDescent="0.4">
      <c r="B137" s="400" t="str">
        <f>C102</f>
        <v>SYAEPULLOH</v>
      </c>
      <c r="C137" s="396">
        <f>C110</f>
        <v>924768000</v>
      </c>
      <c r="D137" s="397">
        <f>D110</f>
        <v>62</v>
      </c>
      <c r="E137" s="427">
        <f>E110</f>
        <v>49</v>
      </c>
      <c r="F137" s="428">
        <f>F110</f>
        <v>298716174.62570006</v>
      </c>
      <c r="G137" s="428">
        <f>G110</f>
        <v>-626051825.3743</v>
      </c>
      <c r="H137" s="429">
        <f t="shared" si="99"/>
        <v>0.3230174212620896</v>
      </c>
      <c r="I137" s="228"/>
      <c r="J137" s="194"/>
      <c r="M137" s="400" t="str">
        <f>N102</f>
        <v>DEVANI</v>
      </c>
      <c r="N137" s="396">
        <f t="shared" ref="N137:Q137" si="103">N110</f>
        <v>948480000</v>
      </c>
      <c r="O137" s="397">
        <f t="shared" si="103"/>
        <v>74</v>
      </c>
      <c r="P137" s="427">
        <f t="shared" si="103"/>
        <v>48</v>
      </c>
      <c r="Q137" s="428">
        <f t="shared" si="103"/>
        <v>326262768.88310015</v>
      </c>
      <c r="R137" s="428">
        <f>R110</f>
        <v>-622217231.11689985</v>
      </c>
      <c r="S137" s="429">
        <f t="shared" si="101"/>
        <v>0.34398486935212147</v>
      </c>
      <c r="T137" s="194"/>
      <c r="U137" s="194"/>
    </row>
    <row r="138" spans="2:21" x14ac:dyDescent="0.4">
      <c r="B138" s="403" t="s">
        <v>77</v>
      </c>
      <c r="C138" s="404">
        <f t="shared" ref="C138:E138" si="104">SUM(C133:C137)</f>
        <v>4867200000</v>
      </c>
      <c r="D138" s="405">
        <f>SUM(D133:D137)</f>
        <v>402</v>
      </c>
      <c r="E138" s="406">
        <f t="shared" si="104"/>
        <v>303</v>
      </c>
      <c r="F138" s="430">
        <f>SUM(F133:F137)</f>
        <v>2402332853.9408998</v>
      </c>
      <c r="G138" s="404">
        <f>F138-C138</f>
        <v>-2464867146.0591002</v>
      </c>
      <c r="H138" s="407">
        <f t="shared" si="99"/>
        <v>0.49357594796616122</v>
      </c>
      <c r="I138" s="194"/>
      <c r="J138" s="194"/>
      <c r="M138" s="446" t="s">
        <v>77</v>
      </c>
      <c r="N138" s="447">
        <f t="shared" ref="N138" si="105">SUM(N133:N137)</f>
        <v>4992000000</v>
      </c>
      <c r="O138" s="448">
        <f>SUM(O133:O137)</f>
        <v>352</v>
      </c>
      <c r="P138" s="449">
        <f t="shared" ref="P138" si="106">SUM(P133:P137)</f>
        <v>267</v>
      </c>
      <c r="Q138" s="454">
        <f>SUM(Q133:Q137)</f>
        <v>2610305770.6922007</v>
      </c>
      <c r="R138" s="447">
        <f>Q138-N138</f>
        <v>-2381694229.3077993</v>
      </c>
      <c r="S138" s="450">
        <f t="shared" si="101"/>
        <v>0.52289779060340558</v>
      </c>
      <c r="T138" s="194"/>
      <c r="U138" s="194"/>
    </row>
    <row r="139" spans="2:21" x14ac:dyDescent="0.4">
      <c r="B139" s="408" t="str">
        <f>$B$12</f>
        <v>TARGET Q3</v>
      </c>
      <c r="C139" s="409">
        <f>SUM(C111,C100,C89,C78,C67)</f>
        <v>4380480000</v>
      </c>
      <c r="D139" s="431"/>
      <c r="E139" s="431"/>
      <c r="F139" s="432">
        <f>F138</f>
        <v>2402332853.9408998</v>
      </c>
      <c r="G139" s="409">
        <f>F139-C139</f>
        <v>-1978147146.0591002</v>
      </c>
      <c r="H139" s="433">
        <f t="shared" si="99"/>
        <v>0.5484177199624013</v>
      </c>
      <c r="I139" s="194"/>
      <c r="J139" s="194"/>
      <c r="M139" s="408" t="str">
        <f>$B$12</f>
        <v>TARGET Q3</v>
      </c>
      <c r="N139" s="409">
        <f>SUM(N111,N100,N89,N78,N67)</f>
        <v>4492800000</v>
      </c>
      <c r="O139" s="431"/>
      <c r="P139" s="431"/>
      <c r="Q139" s="432">
        <f>Q138</f>
        <v>2610305770.6922007</v>
      </c>
      <c r="R139" s="409">
        <f>Q139-N139</f>
        <v>-1882494229.3077993</v>
      </c>
      <c r="S139" s="433">
        <f t="shared" si="101"/>
        <v>0.5809975451148951</v>
      </c>
      <c r="T139" s="194"/>
      <c r="U139" s="194"/>
    </row>
    <row r="140" spans="2:21" x14ac:dyDescent="0.4">
      <c r="B140" s="417"/>
      <c r="C140" s="434"/>
      <c r="D140" s="435"/>
      <c r="E140" s="435"/>
      <c r="F140" s="435"/>
      <c r="G140" s="435"/>
      <c r="H140" s="435"/>
      <c r="I140" s="197"/>
      <c r="J140" s="246"/>
      <c r="N140" s="434"/>
      <c r="O140" s="435"/>
      <c r="P140" s="435"/>
      <c r="Q140" s="435"/>
      <c r="R140" s="455"/>
      <c r="S140" s="456"/>
      <c r="T140" s="197"/>
      <c r="U140" s="246"/>
    </row>
    <row r="141" spans="2:21" ht="15" customHeight="1" x14ac:dyDescent="0.4">
      <c r="B141" s="417"/>
      <c r="C141" s="424"/>
      <c r="D141" s="413"/>
      <c r="E141" s="414"/>
      <c r="F141" s="415"/>
      <c r="G141" s="416"/>
      <c r="H141" s="413"/>
    </row>
    <row r="142" spans="2:21" ht="15" customHeight="1" x14ac:dyDescent="0.35">
      <c r="B142" s="642" t="s">
        <v>131</v>
      </c>
      <c r="C142" s="642"/>
      <c r="D142" s="642"/>
      <c r="E142" s="642"/>
      <c r="F142" s="642"/>
      <c r="G142" s="642"/>
      <c r="H142" s="642"/>
      <c r="I142"/>
      <c r="J142"/>
      <c r="M142" s="642" t="s">
        <v>132</v>
      </c>
      <c r="N142" s="642"/>
      <c r="O142" s="642"/>
      <c r="P142" s="642"/>
      <c r="Q142" s="642"/>
      <c r="R142" s="642"/>
      <c r="S142" s="642"/>
      <c r="T142" s="194"/>
      <c r="U142" s="194"/>
    </row>
    <row r="143" spans="2:21" ht="15" customHeight="1" x14ac:dyDescent="0.35">
      <c r="B143" s="642"/>
      <c r="C143" s="642"/>
      <c r="D143" s="642"/>
      <c r="E143" s="642"/>
      <c r="F143" s="642"/>
      <c r="G143" s="642"/>
      <c r="H143" s="642"/>
      <c r="I143"/>
      <c r="J143"/>
      <c r="M143" s="642"/>
      <c r="N143" s="642"/>
      <c r="O143" s="642"/>
      <c r="P143" s="642"/>
      <c r="Q143" s="642"/>
      <c r="R143" s="642"/>
      <c r="S143" s="642"/>
      <c r="T143" s="194"/>
      <c r="U143" s="194"/>
    </row>
    <row r="144" spans="2:21" ht="15" customHeight="1" x14ac:dyDescent="0.35">
      <c r="B144" s="645" t="s">
        <v>133</v>
      </c>
      <c r="C144" s="650" t="s">
        <v>94</v>
      </c>
      <c r="D144" s="645" t="s">
        <v>91</v>
      </c>
      <c r="E144" s="645" t="s">
        <v>62</v>
      </c>
      <c r="F144" s="652" t="str">
        <f>F131</f>
        <v>OMSET SEP
 (1-21)</v>
      </c>
      <c r="G144" s="650" t="s">
        <v>126</v>
      </c>
      <c r="H144" s="425" t="s">
        <v>128</v>
      </c>
      <c r="I144" s="194"/>
      <c r="J144" s="194"/>
      <c r="M144" s="638" t="s">
        <v>133</v>
      </c>
      <c r="N144" s="643" t="s">
        <v>94</v>
      </c>
      <c r="O144" s="638" t="s">
        <v>91</v>
      </c>
      <c r="P144" s="638" t="s">
        <v>62</v>
      </c>
      <c r="Q144" s="640" t="str">
        <f>Q131</f>
        <v>OMSET SEP
 (1-21)</v>
      </c>
      <c r="R144" s="643" t="s">
        <v>126</v>
      </c>
      <c r="S144" s="452" t="s">
        <v>128</v>
      </c>
      <c r="T144" s="194"/>
      <c r="U144" s="194"/>
    </row>
    <row r="145" spans="2:21" x14ac:dyDescent="0.35">
      <c r="B145" s="646"/>
      <c r="C145" s="651"/>
      <c r="D145" s="646"/>
      <c r="E145" s="646"/>
      <c r="F145" s="653"/>
      <c r="G145" s="651"/>
      <c r="H145" s="426">
        <f>100/DAY(EOMONTH($B$1,0))*DAY($B$1)/100</f>
        <v>0.7</v>
      </c>
      <c r="I145" s="194"/>
      <c r="J145" s="194"/>
      <c r="M145" s="639"/>
      <c r="N145" s="644"/>
      <c r="O145" s="639"/>
      <c r="P145" s="639"/>
      <c r="Q145" s="641"/>
      <c r="R145" s="644"/>
      <c r="S145" s="453">
        <f>100/DAY(EOMONTH($B$1,0))*DAY($B$1)/100</f>
        <v>0.7</v>
      </c>
      <c r="T145" s="194"/>
      <c r="U145" s="194"/>
    </row>
    <row r="146" spans="2:21" x14ac:dyDescent="0.4">
      <c r="B146" s="437" t="s">
        <v>134</v>
      </c>
      <c r="C146" s="396">
        <f>C125</f>
        <v>7612800000</v>
      </c>
      <c r="D146" s="397">
        <f>D125</f>
        <v>475</v>
      </c>
      <c r="E146" s="427">
        <f>E125</f>
        <v>384</v>
      </c>
      <c r="F146" s="428">
        <f>F125</f>
        <v>5369470592.8485003</v>
      </c>
      <c r="G146" s="396">
        <f>F146-C146</f>
        <v>-2243329407.1514997</v>
      </c>
      <c r="H146" s="438">
        <f>F146/C146</f>
        <v>0.70532137884201607</v>
      </c>
      <c r="I146" s="194"/>
      <c r="J146" s="194"/>
      <c r="M146" s="437" t="s">
        <v>134</v>
      </c>
      <c r="N146" s="396">
        <f>N125</f>
        <v>7488000000</v>
      </c>
      <c r="O146" s="397">
        <f>O125</f>
        <v>365</v>
      </c>
      <c r="P146" s="427">
        <f>P125</f>
        <v>292</v>
      </c>
      <c r="Q146" s="428">
        <f>Q125</f>
        <v>3802111277.2498999</v>
      </c>
      <c r="R146" s="396">
        <f>Q146-N146</f>
        <v>-3685888722.7501001</v>
      </c>
      <c r="S146" s="438">
        <f>Q146/N146</f>
        <v>0.50776058723956996</v>
      </c>
      <c r="T146" s="194"/>
      <c r="U146" s="194"/>
    </row>
    <row r="147" spans="2:21" x14ac:dyDescent="0.4">
      <c r="B147" s="437" t="s">
        <v>136</v>
      </c>
      <c r="C147" s="396">
        <f>C138</f>
        <v>4867200000</v>
      </c>
      <c r="D147" s="397">
        <f>D138</f>
        <v>402</v>
      </c>
      <c r="E147" s="427">
        <f>E138</f>
        <v>303</v>
      </c>
      <c r="F147" s="428">
        <f>F138</f>
        <v>2402332853.9408998</v>
      </c>
      <c r="G147" s="396">
        <f>F147-C147</f>
        <v>-2464867146.0591002</v>
      </c>
      <c r="H147" s="438">
        <f t="shared" ref="H147:H148" si="107">F147/C147</f>
        <v>0.49357594796616122</v>
      </c>
      <c r="I147" s="194"/>
      <c r="J147" s="194"/>
      <c r="M147" s="437" t="s">
        <v>136</v>
      </c>
      <c r="N147" s="396">
        <f>N138</f>
        <v>4992000000</v>
      </c>
      <c r="O147" s="397">
        <f>O138</f>
        <v>352</v>
      </c>
      <c r="P147" s="427">
        <f>P138</f>
        <v>267</v>
      </c>
      <c r="Q147" s="428">
        <f>Q138</f>
        <v>2610305770.6922007</v>
      </c>
      <c r="R147" s="396">
        <f t="shared" ref="R147:R148" si="108">Q147-N147</f>
        <v>-2381694229.3077993</v>
      </c>
      <c r="S147" s="438">
        <f t="shared" ref="S147:S148" si="109">Q147/N147</f>
        <v>0.52289779060340558</v>
      </c>
      <c r="T147" s="194"/>
      <c r="U147" s="194"/>
    </row>
    <row r="148" spans="2:21" x14ac:dyDescent="0.4">
      <c r="B148" s="403" t="s">
        <v>77</v>
      </c>
      <c r="C148" s="404">
        <f>SUM(C146:C147)</f>
        <v>12480000000</v>
      </c>
      <c r="D148" s="405">
        <f t="shared" ref="D148:F148" si="110">SUM(D146:D147)</f>
        <v>877</v>
      </c>
      <c r="E148" s="406">
        <f t="shared" si="110"/>
        <v>687</v>
      </c>
      <c r="F148" s="430">
        <f t="shared" si="110"/>
        <v>7771803446.7894001</v>
      </c>
      <c r="G148" s="404">
        <f t="shared" ref="G148" si="111">F148-C148</f>
        <v>-4708196553.2105999</v>
      </c>
      <c r="H148" s="407">
        <f t="shared" si="107"/>
        <v>0.62274066080043267</v>
      </c>
      <c r="I148" s="194"/>
      <c r="J148" s="194"/>
      <c r="M148" s="446" t="s">
        <v>77</v>
      </c>
      <c r="N148" s="447">
        <f>SUM(N146:N147)</f>
        <v>12480000000</v>
      </c>
      <c r="O148" s="448">
        <f t="shared" ref="O148:Q148" si="112">SUM(O146:O147)</f>
        <v>717</v>
      </c>
      <c r="P148" s="449">
        <f t="shared" si="112"/>
        <v>559</v>
      </c>
      <c r="Q148" s="454">
        <f t="shared" si="112"/>
        <v>6412417047.9421005</v>
      </c>
      <c r="R148" s="447">
        <f t="shared" si="108"/>
        <v>-6067582952.0578995</v>
      </c>
      <c r="S148" s="450">
        <f t="shared" si="109"/>
        <v>0.51381546858510418</v>
      </c>
      <c r="T148" s="194"/>
      <c r="U148" s="194"/>
    </row>
  </sheetData>
  <mergeCells count="81">
    <mergeCell ref="A69:A77"/>
    <mergeCell ref="A36:A44"/>
    <mergeCell ref="A58:A66"/>
    <mergeCell ref="A47:A55"/>
    <mergeCell ref="A3:A11"/>
    <mergeCell ref="A25:A33"/>
    <mergeCell ref="A14:A22"/>
    <mergeCell ref="A102:A110"/>
    <mergeCell ref="A91:A99"/>
    <mergeCell ref="A80:A88"/>
    <mergeCell ref="D91:G91"/>
    <mergeCell ref="L91:L99"/>
    <mergeCell ref="D102:G102"/>
    <mergeCell ref="L102:L110"/>
    <mergeCell ref="D80:G80"/>
    <mergeCell ref="D3:G3"/>
    <mergeCell ref="L3:L11"/>
    <mergeCell ref="O3:R3"/>
    <mergeCell ref="D14:G14"/>
    <mergeCell ref="L14:L22"/>
    <mergeCell ref="O14:R14"/>
    <mergeCell ref="O144:O145"/>
    <mergeCell ref="B144:B145"/>
    <mergeCell ref="C144:C145"/>
    <mergeCell ref="D144:D145"/>
    <mergeCell ref="R144:R145"/>
    <mergeCell ref="E144:E145"/>
    <mergeCell ref="F144:F145"/>
    <mergeCell ref="G144:G145"/>
    <mergeCell ref="P144:P145"/>
    <mergeCell ref="Q144:Q145"/>
    <mergeCell ref="M144:M145"/>
    <mergeCell ref="B116:H117"/>
    <mergeCell ref="M116:S117"/>
    <mergeCell ref="L25:L33"/>
    <mergeCell ref="O25:R25"/>
    <mergeCell ref="D36:G36"/>
    <mergeCell ref="L36:L44"/>
    <mergeCell ref="O36:R36"/>
    <mergeCell ref="D25:G25"/>
    <mergeCell ref="D47:G47"/>
    <mergeCell ref="L47:L55"/>
    <mergeCell ref="O47:R47"/>
    <mergeCell ref="D58:G58"/>
    <mergeCell ref="L58:L66"/>
    <mergeCell ref="O58:R58"/>
    <mergeCell ref="O91:R91"/>
    <mergeCell ref="D69:G69"/>
    <mergeCell ref="B129:H130"/>
    <mergeCell ref="M129:S130"/>
    <mergeCell ref="B118:B119"/>
    <mergeCell ref="C118:C119"/>
    <mergeCell ref="D118:D119"/>
    <mergeCell ref="E118:E119"/>
    <mergeCell ref="F118:F119"/>
    <mergeCell ref="G118:G119"/>
    <mergeCell ref="M118:M119"/>
    <mergeCell ref="N118:N119"/>
    <mergeCell ref="O118:O119"/>
    <mergeCell ref="P118:P119"/>
    <mergeCell ref="M131:M132"/>
    <mergeCell ref="L69:L77"/>
    <mergeCell ref="O69:R69"/>
    <mergeCell ref="L80:L88"/>
    <mergeCell ref="O80:R80"/>
    <mergeCell ref="B142:H143"/>
    <mergeCell ref="M142:S143"/>
    <mergeCell ref="N144:N145"/>
    <mergeCell ref="Q118:Q119"/>
    <mergeCell ref="R118:R119"/>
    <mergeCell ref="B131:B132"/>
    <mergeCell ref="C131:C132"/>
    <mergeCell ref="D131:D132"/>
    <mergeCell ref="E131:E132"/>
    <mergeCell ref="F131:F132"/>
    <mergeCell ref="G131:G132"/>
    <mergeCell ref="P131:P132"/>
    <mergeCell ref="Q131:Q132"/>
    <mergeCell ref="R131:R132"/>
    <mergeCell ref="N131:N132"/>
    <mergeCell ref="O131:O132"/>
  </mergeCells>
  <phoneticPr fontId="9" type="noConversion"/>
  <pageMargins left="0" right="0" top="0" bottom="0" header="0" footer="0"/>
  <pageSetup paperSize="9" scale="44" fitToHeight="0" orientation="landscape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4D239-E41F-44CB-A9B8-C869525C4905}">
  <sheetPr>
    <tabColor rgb="FFFFFF00"/>
  </sheetPr>
  <dimension ref="A1:AI148"/>
  <sheetViews>
    <sheetView showGridLines="0" zoomScale="48" zoomScaleNormal="60" workbookViewId="0">
      <selection activeCell="B2" sqref="B2"/>
    </sheetView>
  </sheetViews>
  <sheetFormatPr defaultColWidth="8.7265625" defaultRowHeight="14.5" x14ac:dyDescent="0.35"/>
  <cols>
    <col min="1" max="1" width="8.7265625" style="194"/>
    <col min="2" max="2" width="17" style="194" customWidth="1"/>
    <col min="3" max="3" width="19.453125" style="186" customWidth="1"/>
    <col min="4" max="4" width="8.1796875" style="187" customWidth="1"/>
    <col min="5" max="5" width="8" style="188" customWidth="1"/>
    <col min="6" max="6" width="16.1796875" style="189" customWidth="1"/>
    <col min="7" max="7" width="16.1796875" style="190" customWidth="1"/>
    <col min="8" max="9" width="16.1796875" style="186" customWidth="1"/>
    <col min="10" max="10" width="16.1796875" style="191" customWidth="1"/>
    <col min="11" max="11" width="16.1796875" style="187" customWidth="1"/>
    <col min="12" max="12" width="16.453125" style="192" customWidth="1"/>
    <col min="13" max="13" width="18.7265625" style="193" bestFit="1" customWidth="1"/>
    <col min="14" max="14" width="18.54296875" style="194" customWidth="1"/>
    <col min="15" max="15" width="11.81640625" style="194" bestFit="1" customWidth="1"/>
    <col min="16" max="16" width="17.1796875" style="194" customWidth="1"/>
    <col min="17" max="17" width="19.453125" style="187" customWidth="1"/>
    <col min="18" max="18" width="8.1796875" style="195" customWidth="1"/>
    <col min="19" max="19" width="8.1796875" style="187" customWidth="1"/>
    <col min="20" max="20" width="16.1796875" style="189" customWidth="1"/>
    <col min="21" max="21" width="16.1796875" style="190" customWidth="1"/>
    <col min="22" max="24" width="16.1796875" style="186" customWidth="1"/>
    <col min="25" max="25" width="16.1796875" style="187" customWidth="1"/>
    <col min="26" max="26" width="15.7265625" style="186" customWidth="1"/>
    <col min="27" max="27" width="18.54296875" style="196" customWidth="1"/>
    <col min="28" max="28" width="14" style="194" bestFit="1" customWidth="1"/>
    <col min="29" max="29" width="12.54296875" style="194" customWidth="1"/>
    <col min="30" max="30" width="13" style="194" bestFit="1" customWidth="1"/>
    <col min="31" max="33" width="9.1796875" style="194" hidden="1" customWidth="1"/>
    <col min="34" max="34" width="7.7265625" style="194" hidden="1" customWidth="1"/>
    <col min="35" max="35" width="22.1796875" style="194" hidden="1" customWidth="1"/>
    <col min="36" max="36" width="24.1796875" style="194" customWidth="1"/>
    <col min="37" max="37" width="16" style="194" customWidth="1"/>
    <col min="38" max="38" width="12.54296875" style="194" bestFit="1" customWidth="1"/>
    <col min="39" max="40" width="18.26953125" style="194" customWidth="1"/>
    <col min="41" max="41" width="12.54296875" style="194" bestFit="1" customWidth="1"/>
    <col min="42" max="42" width="13.81640625" style="194" bestFit="1" customWidth="1"/>
    <col min="43" max="43" width="14.54296875" style="194" customWidth="1"/>
    <col min="44" max="16384" width="8.7265625" style="194"/>
  </cols>
  <sheetData>
    <row r="1" spans="1:28" ht="15" thickBot="1" x14ac:dyDescent="0.4">
      <c r="A1" s="184" t="s">
        <v>88</v>
      </c>
      <c r="B1" s="185">
        <v>46296</v>
      </c>
    </row>
    <row r="2" spans="1:28" ht="15" thickBot="1" x14ac:dyDescent="0.4">
      <c r="G2" s="190" t="s">
        <v>89</v>
      </c>
      <c r="W2" s="194"/>
    </row>
    <row r="3" spans="1:28" ht="19.5" customHeight="1" x14ac:dyDescent="0.35">
      <c r="A3" s="627">
        <v>1</v>
      </c>
      <c r="B3" s="352" t="s">
        <v>57</v>
      </c>
      <c r="C3" s="353" t="s">
        <v>90</v>
      </c>
      <c r="D3" s="681" t="s">
        <v>91</v>
      </c>
      <c r="E3" s="616" t="s">
        <v>62</v>
      </c>
      <c r="F3" s="604" t="s">
        <v>92</v>
      </c>
      <c r="G3" s="605"/>
      <c r="H3" s="605"/>
      <c r="I3" s="606"/>
      <c r="J3" s="587" t="s">
        <v>65</v>
      </c>
      <c r="K3" s="352" t="s">
        <v>66</v>
      </c>
      <c r="O3" s="613">
        <v>1</v>
      </c>
      <c r="P3" s="354" t="s">
        <v>57</v>
      </c>
      <c r="Q3" s="355" t="s">
        <v>49</v>
      </c>
      <c r="R3" s="679" t="s">
        <v>91</v>
      </c>
      <c r="S3" s="591" t="s">
        <v>62</v>
      </c>
      <c r="T3" s="610" t="s">
        <v>92</v>
      </c>
      <c r="U3" s="611"/>
      <c r="V3" s="611"/>
      <c r="W3" s="612"/>
      <c r="X3" s="595" t="s">
        <v>65</v>
      </c>
      <c r="Y3" s="354" t="s">
        <v>66</v>
      </c>
    </row>
    <row r="4" spans="1:28" s="199" customFormat="1" ht="36" customHeight="1" x14ac:dyDescent="0.35">
      <c r="A4" s="628"/>
      <c r="B4" s="352" t="s">
        <v>93</v>
      </c>
      <c r="C4" s="353" t="s">
        <v>94</v>
      </c>
      <c r="D4" s="682"/>
      <c r="E4" s="617"/>
      <c r="F4" s="163" t="str">
        <f>"OMSET "&amp;UPPER(TEXT($B$1,"MMM"))&amp;CHAR(10)&amp;" (1-"&amp;DAY($B$1)&amp;")"</f>
        <v>OMSET OCT
 (1-1)</v>
      </c>
      <c r="G4" s="163" t="s">
        <v>95</v>
      </c>
      <c r="H4" s="353" t="s">
        <v>63</v>
      </c>
      <c r="I4" s="353" t="s">
        <v>64</v>
      </c>
      <c r="J4" s="587"/>
      <c r="K4" s="164">
        <f>100/DAY(EOMONTH($B$1,0))*DAY($B$1)/100</f>
        <v>3.2258064516129031E-2</v>
      </c>
      <c r="L4" s="197"/>
      <c r="M4" s="198"/>
      <c r="O4" s="614"/>
      <c r="P4" s="354" t="s">
        <v>93</v>
      </c>
      <c r="Q4" s="355" t="s">
        <v>94</v>
      </c>
      <c r="R4" s="680"/>
      <c r="S4" s="592"/>
      <c r="T4" s="200" t="str">
        <f>F4</f>
        <v>OMSET OCT
 (1-1)</v>
      </c>
      <c r="U4" s="200" t="str">
        <f>G4</f>
        <v>OMSET PRODUK</v>
      </c>
      <c r="V4" s="355" t="s">
        <v>63</v>
      </c>
      <c r="W4" s="355" t="s">
        <v>64</v>
      </c>
      <c r="X4" s="596"/>
      <c r="Y4" s="201">
        <f>K4</f>
        <v>3.2258064516129031E-2</v>
      </c>
      <c r="Z4" s="202"/>
      <c r="AA4" s="203"/>
    </row>
    <row r="5" spans="1:28" x14ac:dyDescent="0.35">
      <c r="A5" s="628"/>
      <c r="B5" s="165" t="s">
        <v>96</v>
      </c>
      <c r="C5" s="166">
        <v>184991040</v>
      </c>
      <c r="D5" s="167"/>
      <c r="E5" s="168"/>
      <c r="F5" s="169"/>
      <c r="G5" s="170"/>
      <c r="H5" s="166"/>
      <c r="I5" s="166">
        <f t="shared" ref="I5:I11" si="0">F5-G5</f>
        <v>0</v>
      </c>
      <c r="J5" s="171">
        <f t="shared" ref="J5:J10" si="1">I5-C5</f>
        <v>-184991040</v>
      </c>
      <c r="K5" s="172">
        <f t="shared" ref="K5:K12" si="2">I5/C5</f>
        <v>0</v>
      </c>
      <c r="L5" s="192">
        <f t="shared" ref="L5:L10" si="3">IF(K5&gt;120%, I5*0.55%, IF(K5&gt;100%, I5*0.45%, IF(K5&gt;80%, I5*0.35%, IF(K5&gt;60%, I5*0.2%, 0))))</f>
        <v>0</v>
      </c>
      <c r="O5" s="614"/>
      <c r="P5" s="165" t="s">
        <v>96</v>
      </c>
      <c r="Q5" s="166"/>
      <c r="R5" s="167"/>
      <c r="S5" s="168"/>
      <c r="T5" s="169"/>
      <c r="U5" s="170"/>
      <c r="V5" s="166"/>
      <c r="W5" s="166">
        <f t="shared" ref="W5:W11" si="4">T5-U5</f>
        <v>0</v>
      </c>
      <c r="X5" s="171">
        <f>W5-Q5</f>
        <v>0</v>
      </c>
      <c r="Y5" s="172" t="e">
        <f>W5/Q5</f>
        <v>#DIV/0!</v>
      </c>
      <c r="Z5" s="192" t="e">
        <f t="shared" ref="Z5:Z10" si="5">IF(Y5&gt;120%, W5*0.55%, IF(Y5&gt;100%, W5*0.45%, IF(Y5&gt;80%, W5*0.35%, IF(Y5&gt;60%, W5*0.2%, 0))))</f>
        <v>#DIV/0!</v>
      </c>
    </row>
    <row r="6" spans="1:28" x14ac:dyDescent="0.35">
      <c r="A6" s="628"/>
      <c r="B6" s="165" t="s">
        <v>97</v>
      </c>
      <c r="C6" s="173">
        <v>308318400</v>
      </c>
      <c r="D6" s="167"/>
      <c r="E6" s="168"/>
      <c r="F6" s="169"/>
      <c r="G6" s="174"/>
      <c r="H6" s="173"/>
      <c r="I6" s="166">
        <f t="shared" si="0"/>
        <v>0</v>
      </c>
      <c r="J6" s="171">
        <f t="shared" si="1"/>
        <v>-308318400</v>
      </c>
      <c r="K6" s="172">
        <f t="shared" si="2"/>
        <v>0</v>
      </c>
      <c r="L6" s="192">
        <f t="shared" si="3"/>
        <v>0</v>
      </c>
      <c r="O6" s="614"/>
      <c r="P6" s="165" t="s">
        <v>97</v>
      </c>
      <c r="Q6" s="173"/>
      <c r="R6" s="167"/>
      <c r="S6" s="168"/>
      <c r="T6" s="169"/>
      <c r="U6" s="174"/>
      <c r="V6" s="173"/>
      <c r="W6" s="166">
        <f t="shared" si="4"/>
        <v>0</v>
      </c>
      <c r="X6" s="171">
        <f>W6-Q6</f>
        <v>0</v>
      </c>
      <c r="Y6" s="172" t="e">
        <f>W6/Q6</f>
        <v>#DIV/0!</v>
      </c>
      <c r="Z6" s="192" t="e">
        <f t="shared" si="5"/>
        <v>#DIV/0!</v>
      </c>
    </row>
    <row r="7" spans="1:28" x14ac:dyDescent="0.35">
      <c r="A7" s="628"/>
      <c r="B7" s="165" t="s">
        <v>98</v>
      </c>
      <c r="C7" s="173">
        <v>123327360</v>
      </c>
      <c r="D7" s="167"/>
      <c r="E7" s="168"/>
      <c r="F7" s="169"/>
      <c r="G7" s="170"/>
      <c r="H7" s="173"/>
      <c r="I7" s="166">
        <f t="shared" si="0"/>
        <v>0</v>
      </c>
      <c r="J7" s="171">
        <f t="shared" si="1"/>
        <v>-123327360</v>
      </c>
      <c r="K7" s="172">
        <f t="shared" si="2"/>
        <v>0</v>
      </c>
      <c r="L7" s="192">
        <f t="shared" si="3"/>
        <v>0</v>
      </c>
      <c r="O7" s="614"/>
      <c r="P7" s="165" t="s">
        <v>98</v>
      </c>
      <c r="Q7" s="173"/>
      <c r="R7" s="167"/>
      <c r="S7" s="168"/>
      <c r="T7" s="169"/>
      <c r="U7" s="170"/>
      <c r="V7" s="173"/>
      <c r="W7" s="166">
        <f t="shared" si="4"/>
        <v>0</v>
      </c>
      <c r="X7" s="171">
        <f t="shared" ref="X7:X11" si="6">W7-Q7</f>
        <v>0</v>
      </c>
      <c r="Y7" s="172" t="e">
        <f t="shared" ref="Y7:Y11" si="7">W7/Q7</f>
        <v>#DIV/0!</v>
      </c>
      <c r="Z7" s="192" t="e">
        <f t="shared" si="5"/>
        <v>#DIV/0!</v>
      </c>
    </row>
    <row r="8" spans="1:28" x14ac:dyDescent="0.35">
      <c r="A8" s="628"/>
      <c r="B8" s="165" t="s">
        <v>99</v>
      </c>
      <c r="C8" s="173">
        <v>169575120</v>
      </c>
      <c r="D8" s="167"/>
      <c r="E8" s="168"/>
      <c r="F8" s="169"/>
      <c r="G8" s="170"/>
      <c r="H8" s="173"/>
      <c r="I8" s="166">
        <f t="shared" si="0"/>
        <v>0</v>
      </c>
      <c r="J8" s="171">
        <f t="shared" si="1"/>
        <v>-169575120</v>
      </c>
      <c r="K8" s="172">
        <f t="shared" si="2"/>
        <v>0</v>
      </c>
      <c r="L8" s="192">
        <f t="shared" si="3"/>
        <v>0</v>
      </c>
      <c r="O8" s="614"/>
      <c r="P8" s="165" t="s">
        <v>99</v>
      </c>
      <c r="Q8" s="173"/>
      <c r="R8" s="167"/>
      <c r="S8" s="168"/>
      <c r="T8" s="169"/>
      <c r="U8" s="170"/>
      <c r="V8" s="173"/>
      <c r="W8" s="166">
        <f t="shared" si="4"/>
        <v>0</v>
      </c>
      <c r="X8" s="171">
        <f t="shared" si="6"/>
        <v>0</v>
      </c>
      <c r="Y8" s="172" t="e">
        <f t="shared" si="7"/>
        <v>#DIV/0!</v>
      </c>
      <c r="Z8" s="192" t="e">
        <f t="shared" si="5"/>
        <v>#DIV/0!</v>
      </c>
    </row>
    <row r="9" spans="1:28" x14ac:dyDescent="0.35">
      <c r="A9" s="628"/>
      <c r="B9" s="165" t="s">
        <v>100</v>
      </c>
      <c r="C9" s="173">
        <v>231238800</v>
      </c>
      <c r="D9" s="167"/>
      <c r="E9" s="168"/>
      <c r="F9" s="169"/>
      <c r="G9" s="170"/>
      <c r="H9" s="173"/>
      <c r="I9" s="166">
        <f t="shared" si="0"/>
        <v>0</v>
      </c>
      <c r="J9" s="171">
        <f t="shared" si="1"/>
        <v>-231238800</v>
      </c>
      <c r="K9" s="172">
        <f t="shared" si="2"/>
        <v>0</v>
      </c>
      <c r="L9" s="192">
        <f t="shared" si="3"/>
        <v>0</v>
      </c>
      <c r="O9" s="614"/>
      <c r="P9" s="165" t="s">
        <v>100</v>
      </c>
      <c r="Q9" s="173"/>
      <c r="R9" s="167"/>
      <c r="S9" s="168"/>
      <c r="T9" s="169"/>
      <c r="U9" s="170"/>
      <c r="V9" s="173"/>
      <c r="W9" s="166">
        <f t="shared" si="4"/>
        <v>0</v>
      </c>
      <c r="X9" s="171">
        <f t="shared" si="6"/>
        <v>0</v>
      </c>
      <c r="Y9" s="172" t="e">
        <f t="shared" si="7"/>
        <v>#DIV/0!</v>
      </c>
      <c r="Z9" s="192" t="e">
        <f t="shared" si="5"/>
        <v>#DIV/0!</v>
      </c>
    </row>
    <row r="10" spans="1:28" x14ac:dyDescent="0.35">
      <c r="A10" s="628"/>
      <c r="B10" s="165" t="s">
        <v>101</v>
      </c>
      <c r="C10" s="173">
        <v>524141280.00000006</v>
      </c>
      <c r="D10" s="167"/>
      <c r="E10" s="168"/>
      <c r="F10" s="169"/>
      <c r="G10" s="170"/>
      <c r="H10" s="173"/>
      <c r="I10" s="166">
        <f t="shared" si="0"/>
        <v>0</v>
      </c>
      <c r="J10" s="171">
        <f t="shared" si="1"/>
        <v>-524141280.00000006</v>
      </c>
      <c r="K10" s="172">
        <f t="shared" si="2"/>
        <v>0</v>
      </c>
      <c r="L10" s="192">
        <f t="shared" si="3"/>
        <v>0</v>
      </c>
      <c r="O10" s="614"/>
      <c r="P10" s="165" t="s">
        <v>101</v>
      </c>
      <c r="Q10" s="173"/>
      <c r="R10" s="167"/>
      <c r="S10" s="168"/>
      <c r="T10" s="169"/>
      <c r="U10" s="170"/>
      <c r="V10" s="173"/>
      <c r="W10" s="166">
        <f t="shared" si="4"/>
        <v>0</v>
      </c>
      <c r="X10" s="171">
        <f t="shared" si="6"/>
        <v>0</v>
      </c>
      <c r="Y10" s="172" t="e">
        <f t="shared" si="7"/>
        <v>#DIV/0!</v>
      </c>
      <c r="Z10" s="192" t="e">
        <f t="shared" si="5"/>
        <v>#DIV/0!</v>
      </c>
    </row>
    <row r="11" spans="1:28" s="199" customFormat="1" ht="14.5" customHeight="1" thickBot="1" x14ac:dyDescent="0.4">
      <c r="A11" s="628"/>
      <c r="B11" s="175" t="s">
        <v>77</v>
      </c>
      <c r="C11" s="176">
        <f t="shared" ref="C11:H11" si="8">SUM(C5:C10)</f>
        <v>1541592000</v>
      </c>
      <c r="D11" s="177">
        <f>SUM(D5:D10)</f>
        <v>0</v>
      </c>
      <c r="E11" s="178">
        <f t="shared" si="8"/>
        <v>0</v>
      </c>
      <c r="F11" s="176">
        <f>SUM(F5:F10)</f>
        <v>0</v>
      </c>
      <c r="G11" s="179">
        <f t="shared" si="8"/>
        <v>0</v>
      </c>
      <c r="H11" s="176">
        <f t="shared" si="8"/>
        <v>0</v>
      </c>
      <c r="I11" s="176">
        <f t="shared" si="0"/>
        <v>0</v>
      </c>
      <c r="J11" s="176">
        <f>I11-C11</f>
        <v>-1541592000</v>
      </c>
      <c r="K11" s="180">
        <f>I11/C11</f>
        <v>0</v>
      </c>
      <c r="L11" s="197">
        <f>SUM(L5:L10)</f>
        <v>0</v>
      </c>
      <c r="M11" s="198"/>
      <c r="O11" s="615"/>
      <c r="P11" s="204" t="s">
        <v>77</v>
      </c>
      <c r="Q11" s="205">
        <f>SUM(Q5:Q10)</f>
        <v>0</v>
      </c>
      <c r="R11" s="206">
        <f t="shared" ref="R11:V11" si="9">SUM(R5:R10)</f>
        <v>0</v>
      </c>
      <c r="S11" s="207">
        <f t="shared" si="9"/>
        <v>0</v>
      </c>
      <c r="T11" s="205">
        <f t="shared" si="9"/>
        <v>0</v>
      </c>
      <c r="U11" s="208">
        <f t="shared" si="9"/>
        <v>0</v>
      </c>
      <c r="V11" s="205">
        <f t="shared" si="9"/>
        <v>0</v>
      </c>
      <c r="W11" s="205">
        <f t="shared" si="4"/>
        <v>0</v>
      </c>
      <c r="X11" s="205">
        <f t="shared" si="6"/>
        <v>0</v>
      </c>
      <c r="Y11" s="209" t="e">
        <f t="shared" si="7"/>
        <v>#DIV/0!</v>
      </c>
      <c r="Z11" s="197" t="e">
        <f>SUM(Z5:Z10)</f>
        <v>#DIV/0!</v>
      </c>
      <c r="AA11" s="203"/>
      <c r="AB11" s="194"/>
    </row>
    <row r="12" spans="1:28" x14ac:dyDescent="0.35">
      <c r="B12" s="181" t="s">
        <v>87</v>
      </c>
      <c r="C12" s="182">
        <f>C11*B13</f>
        <v>1233273600</v>
      </c>
      <c r="D12" s="676"/>
      <c r="E12" s="677"/>
      <c r="F12" s="677"/>
      <c r="G12" s="677"/>
      <c r="H12" s="678"/>
      <c r="I12" s="182">
        <f>I11</f>
        <v>0</v>
      </c>
      <c r="J12" s="182">
        <f>I12-C12</f>
        <v>-1233273600</v>
      </c>
      <c r="K12" s="183">
        <f t="shared" si="2"/>
        <v>0</v>
      </c>
      <c r="L12" s="192">
        <f>IF(K12&gt;=1,3500000,IF(K12&gt;=0.9,2500000,0))</f>
        <v>0</v>
      </c>
      <c r="P12" s="181" t="str">
        <f>$B$12</f>
        <v>TARGET Q4</v>
      </c>
      <c r="Q12" s="182">
        <f>P13*Q11</f>
        <v>0</v>
      </c>
      <c r="R12" s="676"/>
      <c r="S12" s="677"/>
      <c r="T12" s="677"/>
      <c r="U12" s="677"/>
      <c r="V12" s="678"/>
      <c r="W12" s="182">
        <f>W11</f>
        <v>0</v>
      </c>
      <c r="X12" s="182">
        <f>W12-Q12</f>
        <v>0</v>
      </c>
      <c r="Y12" s="183" t="e">
        <f>W12/Q12</f>
        <v>#DIV/0!</v>
      </c>
      <c r="Z12" s="192" t="e">
        <f>IF(Y12&gt;=1,3500000,IF(Y12&gt;=0.9,2500000,0))</f>
        <v>#DIV/0!</v>
      </c>
    </row>
    <row r="13" spans="1:28" ht="15" thickBot="1" x14ac:dyDescent="0.4">
      <c r="B13" s="194">
        <f>80%</f>
        <v>0.8</v>
      </c>
      <c r="C13" s="210">
        <f>C12/C11</f>
        <v>0.8</v>
      </c>
      <c r="P13" s="194">
        <f>80%</f>
        <v>0.8</v>
      </c>
      <c r="Q13" s="210" t="e">
        <f>Q12/Q11</f>
        <v>#DIV/0!</v>
      </c>
    </row>
    <row r="14" spans="1:28" ht="19.5" customHeight="1" x14ac:dyDescent="0.35">
      <c r="A14" s="623">
        <v>2</v>
      </c>
      <c r="B14" s="352" t="s">
        <v>57</v>
      </c>
      <c r="C14" s="353" t="s">
        <v>102</v>
      </c>
      <c r="D14" s="681" t="s">
        <v>91</v>
      </c>
      <c r="E14" s="616" t="s">
        <v>62</v>
      </c>
      <c r="F14" s="604" t="s">
        <v>103</v>
      </c>
      <c r="G14" s="605"/>
      <c r="H14" s="605"/>
      <c r="I14" s="606"/>
      <c r="J14" s="587" t="s">
        <v>65</v>
      </c>
      <c r="K14" s="352" t="s">
        <v>66</v>
      </c>
      <c r="O14" s="607">
        <v>2</v>
      </c>
      <c r="P14" s="354" t="s">
        <v>57</v>
      </c>
      <c r="Q14" s="355"/>
      <c r="R14" s="679" t="s">
        <v>91</v>
      </c>
      <c r="S14" s="591" t="s">
        <v>62</v>
      </c>
      <c r="T14" s="610" t="s">
        <v>103</v>
      </c>
      <c r="U14" s="611"/>
      <c r="V14" s="611"/>
      <c r="W14" s="612"/>
      <c r="X14" s="603" t="s">
        <v>65</v>
      </c>
      <c r="Y14" s="354" t="s">
        <v>66</v>
      </c>
    </row>
    <row r="15" spans="1:28" ht="36" customHeight="1" x14ac:dyDescent="0.35">
      <c r="A15" s="623"/>
      <c r="B15" s="352" t="s">
        <v>93</v>
      </c>
      <c r="C15" s="353" t="str">
        <f>C4</f>
        <v>TARGET 100%</v>
      </c>
      <c r="D15" s="682"/>
      <c r="E15" s="617"/>
      <c r="F15" s="163" t="str">
        <f>F4</f>
        <v>OMSET OCT
 (1-1)</v>
      </c>
      <c r="G15" s="163" t="str">
        <f>G4</f>
        <v>OMSET PRODUK</v>
      </c>
      <c r="H15" s="353" t="s">
        <v>63</v>
      </c>
      <c r="I15" s="353" t="s">
        <v>64</v>
      </c>
      <c r="J15" s="587"/>
      <c r="K15" s="164">
        <f>K4</f>
        <v>3.2258064516129031E-2</v>
      </c>
      <c r="L15" s="211"/>
      <c r="M15" s="212"/>
      <c r="O15" s="608"/>
      <c r="P15" s="354" t="s">
        <v>93</v>
      </c>
      <c r="Q15" s="355" t="str">
        <f>Q4</f>
        <v>TARGET 100%</v>
      </c>
      <c r="R15" s="680"/>
      <c r="S15" s="592"/>
      <c r="T15" s="200" t="str">
        <f>T4</f>
        <v>OMSET OCT
 (1-1)</v>
      </c>
      <c r="U15" s="200" t="str">
        <f>G4</f>
        <v>OMSET PRODUK</v>
      </c>
      <c r="V15" s="355" t="s">
        <v>63</v>
      </c>
      <c r="W15" s="355" t="s">
        <v>64</v>
      </c>
      <c r="X15" s="603"/>
      <c r="Y15" s="201">
        <f>K15</f>
        <v>3.2258064516129031E-2</v>
      </c>
    </row>
    <row r="16" spans="1:28" ht="14.5" customHeight="1" x14ac:dyDescent="0.35">
      <c r="A16" s="623"/>
      <c r="B16" s="165" t="s">
        <v>96</v>
      </c>
      <c r="C16" s="166"/>
      <c r="D16" s="167"/>
      <c r="E16" s="168"/>
      <c r="F16" s="169"/>
      <c r="G16" s="170"/>
      <c r="H16" s="166"/>
      <c r="I16" s="166">
        <f t="shared" ref="I16:I22" si="10">F16-G16</f>
        <v>0</v>
      </c>
      <c r="J16" s="171">
        <f t="shared" ref="J16:J22" si="11">I16-C16</f>
        <v>0</v>
      </c>
      <c r="K16" s="172" t="e">
        <f t="shared" ref="K16:K23" si="12">I16/C16</f>
        <v>#DIV/0!</v>
      </c>
      <c r="L16" s="192" t="e">
        <f t="shared" ref="L16:L21" si="13">IF(K16&gt;120%, I16*0.55%, IF(K16&gt;100%, I16*0.45%, IF(K16&gt;80%, I16*0.35%, IF(K16&gt;60%, I16*0.2%, 0))))</f>
        <v>#DIV/0!</v>
      </c>
      <c r="O16" s="608"/>
      <c r="P16" s="165" t="s">
        <v>96</v>
      </c>
      <c r="Q16" s="166"/>
      <c r="R16" s="167"/>
      <c r="S16" s="168"/>
      <c r="T16" s="169"/>
      <c r="U16" s="170"/>
      <c r="V16" s="166"/>
      <c r="W16" s="166">
        <f t="shared" ref="W16:W22" si="14">T16-U16</f>
        <v>0</v>
      </c>
      <c r="X16" s="171">
        <f t="shared" ref="X16:X22" si="15">W16-Q16</f>
        <v>0</v>
      </c>
      <c r="Y16" s="172" t="e">
        <f t="shared" ref="Y16:Y21" si="16">W16/Q16</f>
        <v>#DIV/0!</v>
      </c>
      <c r="Z16" s="192" t="e">
        <f t="shared" ref="Z16:Z21" si="17">IF(Y16&gt;120%, W16*0.55%, IF(Y16&gt;100%, W16*0.45%, IF(Y16&gt;80%, W16*0.35%, IF(Y16&gt;60%, W16*0.2%, 0))))</f>
        <v>#DIV/0!</v>
      </c>
    </row>
    <row r="17" spans="1:26" ht="14.5" customHeight="1" x14ac:dyDescent="0.35">
      <c r="A17" s="623"/>
      <c r="B17" s="165" t="s">
        <v>97</v>
      </c>
      <c r="C17" s="173"/>
      <c r="D17" s="167"/>
      <c r="E17" s="168"/>
      <c r="F17" s="169"/>
      <c r="G17" s="174"/>
      <c r="H17" s="173"/>
      <c r="I17" s="166">
        <f t="shared" si="10"/>
        <v>0</v>
      </c>
      <c r="J17" s="171">
        <f t="shared" si="11"/>
        <v>0</v>
      </c>
      <c r="K17" s="172" t="e">
        <f t="shared" si="12"/>
        <v>#DIV/0!</v>
      </c>
      <c r="L17" s="192" t="e">
        <f t="shared" si="13"/>
        <v>#DIV/0!</v>
      </c>
      <c r="O17" s="608"/>
      <c r="P17" s="165" t="s">
        <v>97</v>
      </c>
      <c r="Q17" s="173"/>
      <c r="R17" s="167"/>
      <c r="S17" s="168"/>
      <c r="T17" s="169"/>
      <c r="U17" s="174"/>
      <c r="V17" s="173"/>
      <c r="W17" s="166">
        <f t="shared" si="14"/>
        <v>0</v>
      </c>
      <c r="X17" s="171">
        <f t="shared" si="15"/>
        <v>0</v>
      </c>
      <c r="Y17" s="172" t="e">
        <f t="shared" si="16"/>
        <v>#DIV/0!</v>
      </c>
      <c r="Z17" s="192" t="e">
        <f t="shared" si="17"/>
        <v>#DIV/0!</v>
      </c>
    </row>
    <row r="18" spans="1:26" ht="14.5" customHeight="1" x14ac:dyDescent="0.35">
      <c r="A18" s="623"/>
      <c r="B18" s="165" t="s">
        <v>98</v>
      </c>
      <c r="C18" s="173"/>
      <c r="D18" s="167"/>
      <c r="E18" s="168"/>
      <c r="F18" s="169"/>
      <c r="G18" s="170"/>
      <c r="H18" s="173"/>
      <c r="I18" s="166">
        <f t="shared" si="10"/>
        <v>0</v>
      </c>
      <c r="J18" s="171">
        <f t="shared" si="11"/>
        <v>0</v>
      </c>
      <c r="K18" s="172" t="e">
        <f t="shared" si="12"/>
        <v>#DIV/0!</v>
      </c>
      <c r="L18" s="192" t="e">
        <f t="shared" si="13"/>
        <v>#DIV/0!</v>
      </c>
      <c r="M18" s="213"/>
      <c r="O18" s="608"/>
      <c r="P18" s="165" t="s">
        <v>98</v>
      </c>
      <c r="Q18" s="173"/>
      <c r="R18" s="167"/>
      <c r="S18" s="168"/>
      <c r="T18" s="169"/>
      <c r="U18" s="170"/>
      <c r="V18" s="173"/>
      <c r="W18" s="166">
        <f t="shared" si="14"/>
        <v>0</v>
      </c>
      <c r="X18" s="171">
        <f t="shared" si="15"/>
        <v>0</v>
      </c>
      <c r="Y18" s="172" t="e">
        <f t="shared" si="16"/>
        <v>#DIV/0!</v>
      </c>
      <c r="Z18" s="192" t="e">
        <f t="shared" si="17"/>
        <v>#DIV/0!</v>
      </c>
    </row>
    <row r="19" spans="1:26" ht="14.5" customHeight="1" x14ac:dyDescent="0.35">
      <c r="A19" s="623"/>
      <c r="B19" s="165" t="s">
        <v>99</v>
      </c>
      <c r="C19" s="173"/>
      <c r="D19" s="167"/>
      <c r="E19" s="168"/>
      <c r="F19" s="169"/>
      <c r="G19" s="170"/>
      <c r="H19" s="173"/>
      <c r="I19" s="166">
        <f t="shared" si="10"/>
        <v>0</v>
      </c>
      <c r="J19" s="171">
        <f t="shared" si="11"/>
        <v>0</v>
      </c>
      <c r="K19" s="172" t="e">
        <f t="shared" si="12"/>
        <v>#DIV/0!</v>
      </c>
      <c r="L19" s="192" t="e">
        <f t="shared" si="13"/>
        <v>#DIV/0!</v>
      </c>
      <c r="O19" s="608"/>
      <c r="P19" s="165" t="s">
        <v>99</v>
      </c>
      <c r="Q19" s="173"/>
      <c r="R19" s="167"/>
      <c r="S19" s="168"/>
      <c r="T19" s="169"/>
      <c r="U19" s="170"/>
      <c r="V19" s="173"/>
      <c r="W19" s="166">
        <f t="shared" si="14"/>
        <v>0</v>
      </c>
      <c r="X19" s="171">
        <f t="shared" si="15"/>
        <v>0</v>
      </c>
      <c r="Y19" s="172" t="e">
        <f t="shared" si="16"/>
        <v>#DIV/0!</v>
      </c>
      <c r="Z19" s="192" t="e">
        <f t="shared" si="17"/>
        <v>#DIV/0!</v>
      </c>
    </row>
    <row r="20" spans="1:26" ht="14.5" customHeight="1" x14ac:dyDescent="0.35">
      <c r="A20" s="623"/>
      <c r="B20" s="165" t="s">
        <v>100</v>
      </c>
      <c r="C20" s="173"/>
      <c r="D20" s="167"/>
      <c r="E20" s="168"/>
      <c r="F20" s="169"/>
      <c r="G20" s="170"/>
      <c r="H20" s="173"/>
      <c r="I20" s="166">
        <f t="shared" si="10"/>
        <v>0</v>
      </c>
      <c r="J20" s="171">
        <f t="shared" si="11"/>
        <v>0</v>
      </c>
      <c r="K20" s="172" t="e">
        <f t="shared" si="12"/>
        <v>#DIV/0!</v>
      </c>
      <c r="L20" s="192" t="e">
        <f t="shared" si="13"/>
        <v>#DIV/0!</v>
      </c>
      <c r="O20" s="608"/>
      <c r="P20" s="165" t="s">
        <v>100</v>
      </c>
      <c r="Q20" s="173"/>
      <c r="R20" s="167"/>
      <c r="S20" s="168"/>
      <c r="T20" s="169"/>
      <c r="U20" s="170"/>
      <c r="V20" s="173"/>
      <c r="W20" s="166">
        <f>T20-U20</f>
        <v>0</v>
      </c>
      <c r="X20" s="171">
        <f t="shared" si="15"/>
        <v>0</v>
      </c>
      <c r="Y20" s="172" t="e">
        <f t="shared" si="16"/>
        <v>#DIV/0!</v>
      </c>
      <c r="Z20" s="192" t="e">
        <f t="shared" si="17"/>
        <v>#DIV/0!</v>
      </c>
    </row>
    <row r="21" spans="1:26" ht="14.5" customHeight="1" x14ac:dyDescent="0.35">
      <c r="A21" s="623"/>
      <c r="B21" s="165" t="s">
        <v>101</v>
      </c>
      <c r="C21" s="173"/>
      <c r="D21" s="167"/>
      <c r="E21" s="168"/>
      <c r="F21" s="169"/>
      <c r="G21" s="170"/>
      <c r="H21" s="173"/>
      <c r="I21" s="166">
        <f t="shared" si="10"/>
        <v>0</v>
      </c>
      <c r="J21" s="171">
        <f t="shared" si="11"/>
        <v>0</v>
      </c>
      <c r="K21" s="172" t="e">
        <f t="shared" si="12"/>
        <v>#DIV/0!</v>
      </c>
      <c r="L21" s="192" t="e">
        <f t="shared" si="13"/>
        <v>#DIV/0!</v>
      </c>
      <c r="O21" s="608"/>
      <c r="P21" s="165" t="s">
        <v>101</v>
      </c>
      <c r="Q21" s="173"/>
      <c r="R21" s="167"/>
      <c r="S21" s="168"/>
      <c r="T21" s="169"/>
      <c r="U21" s="170"/>
      <c r="V21" s="173"/>
      <c r="W21" s="166">
        <f t="shared" si="14"/>
        <v>0</v>
      </c>
      <c r="X21" s="171">
        <f t="shared" si="15"/>
        <v>0</v>
      </c>
      <c r="Y21" s="172" t="e">
        <f t="shared" si="16"/>
        <v>#DIV/0!</v>
      </c>
      <c r="Z21" s="192" t="e">
        <f t="shared" si="17"/>
        <v>#DIV/0!</v>
      </c>
    </row>
    <row r="22" spans="1:26" ht="14.5" customHeight="1" thickBot="1" x14ac:dyDescent="0.4">
      <c r="A22" s="623"/>
      <c r="B22" s="175" t="s">
        <v>77</v>
      </c>
      <c r="C22" s="176">
        <f t="shared" ref="C22:H22" si="18">SUM(C16:C21)</f>
        <v>0</v>
      </c>
      <c r="D22" s="177">
        <f>SUM(D16:D21)</f>
        <v>0</v>
      </c>
      <c r="E22" s="178">
        <f t="shared" si="18"/>
        <v>0</v>
      </c>
      <c r="F22" s="176">
        <f>SUM(F16:F21)</f>
        <v>0</v>
      </c>
      <c r="G22" s="179">
        <f t="shared" si="18"/>
        <v>0</v>
      </c>
      <c r="H22" s="176">
        <f t="shared" si="18"/>
        <v>0</v>
      </c>
      <c r="I22" s="176">
        <f t="shared" si="10"/>
        <v>0</v>
      </c>
      <c r="J22" s="176">
        <f t="shared" si="11"/>
        <v>0</v>
      </c>
      <c r="K22" s="180" t="e">
        <f t="shared" si="12"/>
        <v>#DIV/0!</v>
      </c>
      <c r="L22" s="197" t="e">
        <f>SUM(L16:L21)</f>
        <v>#DIV/0!</v>
      </c>
      <c r="O22" s="609"/>
      <c r="P22" s="204" t="s">
        <v>77</v>
      </c>
      <c r="Q22" s="205">
        <f t="shared" ref="Q22:V22" si="19">SUM(Q16:Q21)</f>
        <v>0</v>
      </c>
      <c r="R22" s="206">
        <f>SUM(R16:R21)</f>
        <v>0</v>
      </c>
      <c r="S22" s="207">
        <f t="shared" si="19"/>
        <v>0</v>
      </c>
      <c r="T22" s="205">
        <f t="shared" si="19"/>
        <v>0</v>
      </c>
      <c r="U22" s="208">
        <f t="shared" si="19"/>
        <v>0</v>
      </c>
      <c r="V22" s="205">
        <f t="shared" si="19"/>
        <v>0</v>
      </c>
      <c r="W22" s="205">
        <f t="shared" si="14"/>
        <v>0</v>
      </c>
      <c r="X22" s="205">
        <f t="shared" si="15"/>
        <v>0</v>
      </c>
      <c r="Y22" s="209" t="e">
        <f>W22/Q22</f>
        <v>#DIV/0!</v>
      </c>
      <c r="Z22" s="197" t="e">
        <f>SUM(Z16:Z21)</f>
        <v>#DIV/0!</v>
      </c>
    </row>
    <row r="23" spans="1:26" x14ac:dyDescent="0.35">
      <c r="B23" s="181" t="str">
        <f>$B$12</f>
        <v>TARGET Q4</v>
      </c>
      <c r="C23" s="182"/>
      <c r="D23" s="676"/>
      <c r="E23" s="677"/>
      <c r="F23" s="677"/>
      <c r="G23" s="677"/>
      <c r="H23" s="678"/>
      <c r="I23" s="182">
        <f>I22</f>
        <v>0</v>
      </c>
      <c r="J23" s="182">
        <f>I23-C23</f>
        <v>0</v>
      </c>
      <c r="K23" s="183" t="e">
        <f t="shared" si="12"/>
        <v>#DIV/0!</v>
      </c>
      <c r="L23" s="192" t="e">
        <f>IF(K23&gt;=1,3500000,IF(K23&gt;=0.9,2500000,0))</f>
        <v>#DIV/0!</v>
      </c>
      <c r="P23" s="181" t="str">
        <f>$B$12</f>
        <v>TARGET Q4</v>
      </c>
      <c r="Q23" s="182">
        <f>Q22*P24</f>
        <v>0</v>
      </c>
      <c r="R23" s="676"/>
      <c r="S23" s="677"/>
      <c r="T23" s="677"/>
      <c r="U23" s="677"/>
      <c r="V23" s="678"/>
      <c r="W23" s="182">
        <f>W22</f>
        <v>0</v>
      </c>
      <c r="X23" s="182">
        <f>W23-Q23</f>
        <v>0</v>
      </c>
      <c r="Y23" s="183" t="e">
        <f>W23/Q23</f>
        <v>#DIV/0!</v>
      </c>
      <c r="Z23" s="192" t="e">
        <f>IF(Y23&gt;=1,3500000,IF(Y23&gt;=0.9,2500000,0))</f>
        <v>#DIV/0!</v>
      </c>
    </row>
    <row r="24" spans="1:26" ht="15" thickBot="1" x14ac:dyDescent="0.4">
      <c r="C24" s="210" t="e">
        <f>C23/C22</f>
        <v>#DIV/0!</v>
      </c>
      <c r="P24" s="194">
        <f>80%</f>
        <v>0.8</v>
      </c>
      <c r="Q24" s="210" t="e">
        <f>Q23/Q22</f>
        <v>#DIV/0!</v>
      </c>
    </row>
    <row r="25" spans="1:26" ht="19.5" customHeight="1" x14ac:dyDescent="0.35">
      <c r="A25" s="623">
        <v>3</v>
      </c>
      <c r="B25" s="352" t="s">
        <v>57</v>
      </c>
      <c r="C25" s="353" t="s">
        <v>105</v>
      </c>
      <c r="D25" s="681" t="s">
        <v>91</v>
      </c>
      <c r="E25" s="616" t="s">
        <v>62</v>
      </c>
      <c r="F25" s="604" t="s">
        <v>138</v>
      </c>
      <c r="G25" s="605"/>
      <c r="H25" s="605"/>
      <c r="I25" s="606"/>
      <c r="J25" s="587" t="s">
        <v>65</v>
      </c>
      <c r="K25" s="352" t="s">
        <v>66</v>
      </c>
      <c r="O25" s="613">
        <v>3</v>
      </c>
      <c r="P25" s="354" t="s">
        <v>57</v>
      </c>
      <c r="Q25" s="355"/>
      <c r="R25" s="679" t="s">
        <v>91</v>
      </c>
      <c r="S25" s="591" t="s">
        <v>62</v>
      </c>
      <c r="T25" s="610" t="s">
        <v>139</v>
      </c>
      <c r="U25" s="611"/>
      <c r="V25" s="611"/>
      <c r="W25" s="612"/>
      <c r="X25" s="603" t="s">
        <v>65</v>
      </c>
      <c r="Y25" s="354" t="s">
        <v>66</v>
      </c>
    </row>
    <row r="26" spans="1:26" ht="36" customHeight="1" x14ac:dyDescent="0.35">
      <c r="A26" s="623"/>
      <c r="B26" s="352" t="s">
        <v>93</v>
      </c>
      <c r="C26" s="353" t="str">
        <f>C15</f>
        <v>TARGET 100%</v>
      </c>
      <c r="D26" s="682"/>
      <c r="E26" s="617"/>
      <c r="F26" s="163" t="str">
        <f>F4</f>
        <v>OMSET OCT
 (1-1)</v>
      </c>
      <c r="G26" s="163" t="str">
        <f>G4</f>
        <v>OMSET PRODUK</v>
      </c>
      <c r="H26" s="353" t="s">
        <v>63</v>
      </c>
      <c r="I26" s="353" t="s">
        <v>64</v>
      </c>
      <c r="J26" s="587"/>
      <c r="K26" s="164">
        <f>K15</f>
        <v>3.2258064516129031E-2</v>
      </c>
      <c r="O26" s="614"/>
      <c r="P26" s="354" t="s">
        <v>93</v>
      </c>
      <c r="Q26" s="355" t="str">
        <f>Q15</f>
        <v>TARGET 100%</v>
      </c>
      <c r="R26" s="680"/>
      <c r="S26" s="592"/>
      <c r="T26" s="200" t="str">
        <f>T4</f>
        <v>OMSET OCT
 (1-1)</v>
      </c>
      <c r="U26" s="200" t="str">
        <f>G4</f>
        <v>OMSET PRODUK</v>
      </c>
      <c r="V26" s="355" t="s">
        <v>63</v>
      </c>
      <c r="W26" s="355" t="s">
        <v>64</v>
      </c>
      <c r="X26" s="603"/>
      <c r="Y26" s="201">
        <f>K26</f>
        <v>3.2258064516129031E-2</v>
      </c>
    </row>
    <row r="27" spans="1:26" ht="14.5" customHeight="1" x14ac:dyDescent="0.35">
      <c r="A27" s="623"/>
      <c r="B27" s="165" t="s">
        <v>96</v>
      </c>
      <c r="C27" s="166"/>
      <c r="D27" s="167"/>
      <c r="E27" s="168"/>
      <c r="F27" s="169"/>
      <c r="G27" s="170"/>
      <c r="H27" s="166"/>
      <c r="I27" s="166">
        <f t="shared" ref="I27:I33" si="20">F27-G27</f>
        <v>0</v>
      </c>
      <c r="J27" s="171">
        <f t="shared" ref="J27:J33" si="21">I27-C27</f>
        <v>0</v>
      </c>
      <c r="K27" s="172" t="e">
        <f t="shared" ref="K27:K34" si="22">I27/C27</f>
        <v>#DIV/0!</v>
      </c>
      <c r="L27" s="192" t="e">
        <f t="shared" ref="L27:L32" si="23">IF(K27&gt;120%, I27*0.55%, IF(K27&gt;100%, I27*0.45%, IF(K27&gt;80%, I27*0.35%, IF(K27&gt;60%, I27*0.2%, 0))))</f>
        <v>#DIV/0!</v>
      </c>
      <c r="O27" s="614"/>
      <c r="P27" s="165" t="s">
        <v>96</v>
      </c>
      <c r="Q27" s="166"/>
      <c r="R27" s="167"/>
      <c r="S27" s="168"/>
      <c r="T27" s="169"/>
      <c r="U27" s="170"/>
      <c r="V27" s="166"/>
      <c r="W27" s="166">
        <f t="shared" ref="W27:W33" si="24">T27-U27</f>
        <v>0</v>
      </c>
      <c r="X27" s="171">
        <f t="shared" ref="X27:X33" si="25">W27-Q27</f>
        <v>0</v>
      </c>
      <c r="Y27" s="172" t="e">
        <f t="shared" ref="Y27:Y33" si="26">W27/Q27</f>
        <v>#DIV/0!</v>
      </c>
      <c r="Z27" s="192" t="e">
        <f t="shared" ref="Z27:Z32" si="27">IF(Y27&gt;120%, W27*0.55%, IF(Y27&gt;100%, W27*0.45%, IF(Y27&gt;80%, W27*0.35%, IF(Y27&gt;60%, W27*0.2%, 0))))</f>
        <v>#DIV/0!</v>
      </c>
    </row>
    <row r="28" spans="1:26" ht="14.5" customHeight="1" x14ac:dyDescent="0.35">
      <c r="A28" s="623"/>
      <c r="B28" s="165" t="s">
        <v>97</v>
      </c>
      <c r="C28" s="173"/>
      <c r="D28" s="167"/>
      <c r="E28" s="168"/>
      <c r="F28" s="169"/>
      <c r="G28" s="174"/>
      <c r="H28" s="173"/>
      <c r="I28" s="166">
        <f t="shared" si="20"/>
        <v>0</v>
      </c>
      <c r="J28" s="171">
        <f t="shared" si="21"/>
        <v>0</v>
      </c>
      <c r="K28" s="172" t="e">
        <f t="shared" si="22"/>
        <v>#DIV/0!</v>
      </c>
      <c r="L28" s="192" t="e">
        <f t="shared" si="23"/>
        <v>#DIV/0!</v>
      </c>
      <c r="O28" s="614"/>
      <c r="P28" s="165" t="s">
        <v>97</v>
      </c>
      <c r="Q28" s="173"/>
      <c r="R28" s="167"/>
      <c r="S28" s="168"/>
      <c r="T28" s="169"/>
      <c r="U28" s="174"/>
      <c r="V28" s="173"/>
      <c r="W28" s="166">
        <f t="shared" si="24"/>
        <v>0</v>
      </c>
      <c r="X28" s="171">
        <f t="shared" si="25"/>
        <v>0</v>
      </c>
      <c r="Y28" s="172" t="e">
        <f t="shared" si="26"/>
        <v>#DIV/0!</v>
      </c>
      <c r="Z28" s="192" t="e">
        <f t="shared" si="27"/>
        <v>#DIV/0!</v>
      </c>
    </row>
    <row r="29" spans="1:26" ht="14.5" customHeight="1" x14ac:dyDescent="0.35">
      <c r="A29" s="623"/>
      <c r="B29" s="165" t="s">
        <v>98</v>
      </c>
      <c r="C29" s="173"/>
      <c r="D29" s="167"/>
      <c r="E29" s="168"/>
      <c r="F29" s="169"/>
      <c r="G29" s="170"/>
      <c r="H29" s="173"/>
      <c r="I29" s="166">
        <f t="shared" si="20"/>
        <v>0</v>
      </c>
      <c r="J29" s="171">
        <f t="shared" si="21"/>
        <v>0</v>
      </c>
      <c r="K29" s="172" t="e">
        <f t="shared" si="22"/>
        <v>#DIV/0!</v>
      </c>
      <c r="L29" s="192" t="e">
        <f t="shared" si="23"/>
        <v>#DIV/0!</v>
      </c>
      <c r="O29" s="614"/>
      <c r="P29" s="165" t="s">
        <v>98</v>
      </c>
      <c r="Q29" s="173"/>
      <c r="R29" s="167"/>
      <c r="S29" s="168"/>
      <c r="T29" s="169"/>
      <c r="U29" s="170"/>
      <c r="V29" s="173"/>
      <c r="W29" s="166">
        <f t="shared" si="24"/>
        <v>0</v>
      </c>
      <c r="X29" s="171">
        <f t="shared" si="25"/>
        <v>0</v>
      </c>
      <c r="Y29" s="172" t="e">
        <f t="shared" si="26"/>
        <v>#DIV/0!</v>
      </c>
      <c r="Z29" s="192" t="e">
        <f t="shared" si="27"/>
        <v>#DIV/0!</v>
      </c>
    </row>
    <row r="30" spans="1:26" ht="14.5" customHeight="1" x14ac:dyDescent="0.35">
      <c r="A30" s="623"/>
      <c r="B30" s="165" t="s">
        <v>99</v>
      </c>
      <c r="C30" s="173"/>
      <c r="D30" s="167"/>
      <c r="E30" s="168"/>
      <c r="F30" s="169"/>
      <c r="G30" s="170"/>
      <c r="H30" s="173"/>
      <c r="I30" s="166">
        <f t="shared" si="20"/>
        <v>0</v>
      </c>
      <c r="J30" s="171">
        <f t="shared" si="21"/>
        <v>0</v>
      </c>
      <c r="K30" s="172" t="e">
        <f t="shared" si="22"/>
        <v>#DIV/0!</v>
      </c>
      <c r="L30" s="192" t="e">
        <f t="shared" si="23"/>
        <v>#DIV/0!</v>
      </c>
      <c r="O30" s="614"/>
      <c r="P30" s="165" t="s">
        <v>99</v>
      </c>
      <c r="Q30" s="173"/>
      <c r="R30" s="167"/>
      <c r="S30" s="168"/>
      <c r="T30" s="169"/>
      <c r="U30" s="170"/>
      <c r="V30" s="173"/>
      <c r="W30" s="166">
        <f t="shared" si="24"/>
        <v>0</v>
      </c>
      <c r="X30" s="171">
        <f t="shared" si="25"/>
        <v>0</v>
      </c>
      <c r="Y30" s="172" t="e">
        <f t="shared" si="26"/>
        <v>#DIV/0!</v>
      </c>
      <c r="Z30" s="192" t="e">
        <f t="shared" si="27"/>
        <v>#DIV/0!</v>
      </c>
    </row>
    <row r="31" spans="1:26" ht="14.5" customHeight="1" x14ac:dyDescent="0.35">
      <c r="A31" s="623"/>
      <c r="B31" s="165" t="s">
        <v>100</v>
      </c>
      <c r="C31" s="173"/>
      <c r="D31" s="167"/>
      <c r="E31" s="168"/>
      <c r="F31" s="169"/>
      <c r="G31" s="170"/>
      <c r="H31" s="173"/>
      <c r="I31" s="166">
        <f t="shared" si="20"/>
        <v>0</v>
      </c>
      <c r="J31" s="171">
        <f t="shared" si="21"/>
        <v>0</v>
      </c>
      <c r="K31" s="172" t="e">
        <f t="shared" si="22"/>
        <v>#DIV/0!</v>
      </c>
      <c r="L31" s="192" t="e">
        <f t="shared" si="23"/>
        <v>#DIV/0!</v>
      </c>
      <c r="O31" s="614"/>
      <c r="P31" s="165" t="s">
        <v>100</v>
      </c>
      <c r="Q31" s="173"/>
      <c r="R31" s="167"/>
      <c r="S31" s="168"/>
      <c r="T31" s="169"/>
      <c r="U31" s="170"/>
      <c r="V31" s="173"/>
      <c r="W31" s="166">
        <f t="shared" si="24"/>
        <v>0</v>
      </c>
      <c r="X31" s="171">
        <f t="shared" si="25"/>
        <v>0</v>
      </c>
      <c r="Y31" s="172" t="e">
        <f>W31/Q31</f>
        <v>#DIV/0!</v>
      </c>
      <c r="Z31" s="192" t="e">
        <f t="shared" si="27"/>
        <v>#DIV/0!</v>
      </c>
    </row>
    <row r="32" spans="1:26" ht="14.5" customHeight="1" x14ac:dyDescent="0.35">
      <c r="A32" s="623"/>
      <c r="B32" s="165" t="s">
        <v>101</v>
      </c>
      <c r="C32" s="173"/>
      <c r="D32" s="167"/>
      <c r="E32" s="168"/>
      <c r="F32" s="169"/>
      <c r="G32" s="170"/>
      <c r="H32" s="173"/>
      <c r="I32" s="166">
        <f t="shared" si="20"/>
        <v>0</v>
      </c>
      <c r="J32" s="171">
        <f t="shared" si="21"/>
        <v>0</v>
      </c>
      <c r="K32" s="172" t="e">
        <f t="shared" si="22"/>
        <v>#DIV/0!</v>
      </c>
      <c r="L32" s="192" t="e">
        <f t="shared" si="23"/>
        <v>#DIV/0!</v>
      </c>
      <c r="O32" s="614"/>
      <c r="P32" s="165" t="s">
        <v>101</v>
      </c>
      <c r="Q32" s="173"/>
      <c r="R32" s="167"/>
      <c r="S32" s="168"/>
      <c r="T32" s="169"/>
      <c r="U32" s="170"/>
      <c r="V32" s="173"/>
      <c r="W32" s="166">
        <f t="shared" si="24"/>
        <v>0</v>
      </c>
      <c r="X32" s="171">
        <f t="shared" si="25"/>
        <v>0</v>
      </c>
      <c r="Y32" s="172" t="e">
        <f t="shared" si="26"/>
        <v>#DIV/0!</v>
      </c>
      <c r="Z32" s="192" t="e">
        <f t="shared" si="27"/>
        <v>#DIV/0!</v>
      </c>
    </row>
    <row r="33" spans="1:26" ht="14.5" customHeight="1" thickBot="1" x14ac:dyDescent="0.4">
      <c r="A33" s="623"/>
      <c r="B33" s="175" t="s">
        <v>77</v>
      </c>
      <c r="C33" s="176">
        <f t="shared" ref="C33:H33" si="28">SUM(C27:C32)</f>
        <v>0</v>
      </c>
      <c r="D33" s="177">
        <f>SUM(D27:D32)</f>
        <v>0</v>
      </c>
      <c r="E33" s="178">
        <f>SUM(E27:E32)</f>
        <v>0</v>
      </c>
      <c r="F33" s="176">
        <f t="shared" si="28"/>
        <v>0</v>
      </c>
      <c r="G33" s="179">
        <f t="shared" si="28"/>
        <v>0</v>
      </c>
      <c r="H33" s="176">
        <f t="shared" si="28"/>
        <v>0</v>
      </c>
      <c r="I33" s="176">
        <f t="shared" si="20"/>
        <v>0</v>
      </c>
      <c r="J33" s="176">
        <f t="shared" si="21"/>
        <v>0</v>
      </c>
      <c r="K33" s="180" t="e">
        <f t="shared" si="22"/>
        <v>#DIV/0!</v>
      </c>
      <c r="L33" s="197" t="e">
        <f>SUM(L27:L32)</f>
        <v>#DIV/0!</v>
      </c>
      <c r="O33" s="615"/>
      <c r="P33" s="204" t="s">
        <v>77</v>
      </c>
      <c r="Q33" s="205">
        <f t="shared" ref="Q33:V33" si="29">SUM(Q27:Q32)</f>
        <v>0</v>
      </c>
      <c r="R33" s="206">
        <f>SUM(R27:R32)</f>
        <v>0</v>
      </c>
      <c r="S33" s="207">
        <f t="shared" si="29"/>
        <v>0</v>
      </c>
      <c r="T33" s="205">
        <f>SUM(T27:T32)</f>
        <v>0</v>
      </c>
      <c r="U33" s="208">
        <f t="shared" si="29"/>
        <v>0</v>
      </c>
      <c r="V33" s="205">
        <f t="shared" si="29"/>
        <v>0</v>
      </c>
      <c r="W33" s="205">
        <f t="shared" si="24"/>
        <v>0</v>
      </c>
      <c r="X33" s="205">
        <f t="shared" si="25"/>
        <v>0</v>
      </c>
      <c r="Y33" s="209" t="e">
        <f t="shared" si="26"/>
        <v>#DIV/0!</v>
      </c>
      <c r="Z33" s="197" t="e">
        <f>SUM(Z27:Z32)</f>
        <v>#DIV/0!</v>
      </c>
    </row>
    <row r="34" spans="1:26" x14ac:dyDescent="0.35">
      <c r="B34" s="181" t="str">
        <f>$B$12</f>
        <v>TARGET Q4</v>
      </c>
      <c r="C34" s="182">
        <f>B35*C33</f>
        <v>0</v>
      </c>
      <c r="D34" s="676"/>
      <c r="E34" s="677"/>
      <c r="F34" s="677"/>
      <c r="G34" s="677"/>
      <c r="H34" s="678"/>
      <c r="I34" s="182">
        <f>I33</f>
        <v>0</v>
      </c>
      <c r="J34" s="182">
        <f>I34-C34</f>
        <v>0</v>
      </c>
      <c r="K34" s="183" t="e">
        <f t="shared" si="22"/>
        <v>#DIV/0!</v>
      </c>
      <c r="L34" s="192" t="e">
        <f>IF(K34&gt;=1,3500000,IF(K34&gt;=0.9,2500000,0))</f>
        <v>#DIV/0!</v>
      </c>
      <c r="P34" s="181" t="str">
        <f>$B$12</f>
        <v>TARGET Q4</v>
      </c>
      <c r="Q34" s="182"/>
      <c r="R34" s="676"/>
      <c r="S34" s="677"/>
      <c r="T34" s="677"/>
      <c r="U34" s="677"/>
      <c r="V34" s="678"/>
      <c r="W34" s="182">
        <f>W33</f>
        <v>0</v>
      </c>
      <c r="X34" s="182">
        <f>W34-Q34</f>
        <v>0</v>
      </c>
      <c r="Y34" s="183" t="e">
        <f>W34/Q34</f>
        <v>#DIV/0!</v>
      </c>
      <c r="Z34" s="192" t="e">
        <f>IF(Y34&gt;=1,3500000,IF(Y34&gt;=0.9,2500000,0))</f>
        <v>#DIV/0!</v>
      </c>
    </row>
    <row r="35" spans="1:26" ht="15" thickBot="1" x14ac:dyDescent="0.4">
      <c r="B35" s="194">
        <f>80%</f>
        <v>0.8</v>
      </c>
      <c r="C35" s="210" t="e">
        <f>C34/C33</f>
        <v>#DIV/0!</v>
      </c>
      <c r="Q35" s="210" t="e">
        <f>Q34/Q33</f>
        <v>#DIV/0!</v>
      </c>
    </row>
    <row r="36" spans="1:26" ht="19.5" customHeight="1" x14ac:dyDescent="0.35">
      <c r="A36" s="623">
        <v>4</v>
      </c>
      <c r="B36" s="352" t="s">
        <v>57</v>
      </c>
      <c r="C36" s="353" t="s">
        <v>108</v>
      </c>
      <c r="D36" s="681" t="s">
        <v>91</v>
      </c>
      <c r="E36" s="616" t="s">
        <v>62</v>
      </c>
      <c r="F36" s="604" t="s">
        <v>109</v>
      </c>
      <c r="G36" s="605"/>
      <c r="H36" s="605"/>
      <c r="I36" s="606"/>
      <c r="J36" s="587" t="s">
        <v>65</v>
      </c>
      <c r="K36" s="352" t="s">
        <v>66</v>
      </c>
      <c r="O36" s="607">
        <v>4</v>
      </c>
      <c r="P36" s="354" t="s">
        <v>57</v>
      </c>
      <c r="Q36" s="355" t="s">
        <v>53</v>
      </c>
      <c r="R36" s="679" t="s">
        <v>91</v>
      </c>
      <c r="S36" s="591" t="s">
        <v>62</v>
      </c>
      <c r="T36" s="610" t="s">
        <v>109</v>
      </c>
      <c r="U36" s="611"/>
      <c r="V36" s="611"/>
      <c r="W36" s="612"/>
      <c r="X36" s="603" t="s">
        <v>65</v>
      </c>
      <c r="Y36" s="354" t="s">
        <v>66</v>
      </c>
    </row>
    <row r="37" spans="1:26" ht="36" customHeight="1" x14ac:dyDescent="0.35">
      <c r="A37" s="623"/>
      <c r="B37" s="352" t="s">
        <v>93</v>
      </c>
      <c r="C37" s="353" t="str">
        <f>C26</f>
        <v>TARGET 100%</v>
      </c>
      <c r="D37" s="682"/>
      <c r="E37" s="617"/>
      <c r="F37" s="163" t="str">
        <f>F4</f>
        <v>OMSET OCT
 (1-1)</v>
      </c>
      <c r="G37" s="163" t="str">
        <f>G4</f>
        <v>OMSET PRODUK</v>
      </c>
      <c r="H37" s="353" t="s">
        <v>63</v>
      </c>
      <c r="I37" s="353" t="s">
        <v>64</v>
      </c>
      <c r="J37" s="587"/>
      <c r="K37" s="164">
        <f>K26</f>
        <v>3.2258064516129031E-2</v>
      </c>
      <c r="L37" s="214"/>
      <c r="M37" s="212"/>
      <c r="O37" s="608"/>
      <c r="P37" s="354" t="s">
        <v>93</v>
      </c>
      <c r="Q37" s="355" t="str">
        <f>Q26</f>
        <v>TARGET 100%</v>
      </c>
      <c r="R37" s="680"/>
      <c r="S37" s="592"/>
      <c r="T37" s="200" t="str">
        <f>T4</f>
        <v>OMSET OCT
 (1-1)</v>
      </c>
      <c r="U37" s="200" t="str">
        <f>G4</f>
        <v>OMSET PRODUK</v>
      </c>
      <c r="V37" s="355" t="s">
        <v>63</v>
      </c>
      <c r="W37" s="355" t="s">
        <v>64</v>
      </c>
      <c r="X37" s="603"/>
      <c r="Y37" s="201">
        <f>K37</f>
        <v>3.2258064516129031E-2</v>
      </c>
    </row>
    <row r="38" spans="1:26" ht="14.5" customHeight="1" x14ac:dyDescent="0.35">
      <c r="A38" s="623"/>
      <c r="B38" s="165" t="s">
        <v>96</v>
      </c>
      <c r="C38" s="166"/>
      <c r="D38" s="167"/>
      <c r="E38" s="168"/>
      <c r="F38" s="169"/>
      <c r="G38" s="170"/>
      <c r="H38" s="166"/>
      <c r="I38" s="166">
        <f t="shared" ref="I38:I44" si="30">F38-G38</f>
        <v>0</v>
      </c>
      <c r="J38" s="171">
        <f t="shared" ref="J38:J44" si="31">I38-C38</f>
        <v>0</v>
      </c>
      <c r="K38" s="172" t="e">
        <f t="shared" ref="K38:K45" si="32">I38/C38</f>
        <v>#DIV/0!</v>
      </c>
      <c r="L38" s="192" t="e">
        <f t="shared" ref="L38:L43" si="33">IF(K38&gt;120%, I38*0.55%, IF(K38&gt;100%, I38*0.45%, IF(K38&gt;80%, I38*0.35%, IF(K38&gt;60%, I38*0.2%, 0))))</f>
        <v>#DIV/0!</v>
      </c>
      <c r="M38" s="215"/>
      <c r="N38" s="216"/>
      <c r="O38" s="608"/>
      <c r="P38" s="165" t="s">
        <v>96</v>
      </c>
      <c r="Q38" s="166"/>
      <c r="R38" s="167"/>
      <c r="S38" s="168"/>
      <c r="T38" s="169"/>
      <c r="U38" s="170"/>
      <c r="V38" s="166"/>
      <c r="W38" s="166">
        <f>T38-U38</f>
        <v>0</v>
      </c>
      <c r="X38" s="171">
        <f t="shared" ref="X38:X44" si="34">W38-Q38</f>
        <v>0</v>
      </c>
      <c r="Y38" s="172" t="e">
        <f t="shared" ref="Y38:Y44" si="35">W38/Q38</f>
        <v>#DIV/0!</v>
      </c>
      <c r="Z38" s="192" t="e">
        <f t="shared" ref="Z38:Z43" si="36">IF(Y38&gt;120%, W38*0.55%, IF(Y38&gt;100%, W38*0.45%, IF(Y38&gt;80%, W38*0.35%, IF(Y38&gt;60%, W38*0.2%, 0))))</f>
        <v>#DIV/0!</v>
      </c>
    </row>
    <row r="39" spans="1:26" ht="14.5" customHeight="1" x14ac:dyDescent="0.35">
      <c r="A39" s="623"/>
      <c r="B39" s="165" t="s">
        <v>97</v>
      </c>
      <c r="C39" s="173"/>
      <c r="D39" s="167"/>
      <c r="E39" s="168"/>
      <c r="F39" s="169"/>
      <c r="G39" s="174"/>
      <c r="H39" s="173"/>
      <c r="I39" s="166">
        <f t="shared" si="30"/>
        <v>0</v>
      </c>
      <c r="J39" s="171">
        <f t="shared" si="31"/>
        <v>0</v>
      </c>
      <c r="K39" s="172" t="e">
        <f t="shared" si="32"/>
        <v>#DIV/0!</v>
      </c>
      <c r="L39" s="192" t="e">
        <f t="shared" si="33"/>
        <v>#DIV/0!</v>
      </c>
      <c r="M39" s="215"/>
      <c r="N39" s="216"/>
      <c r="O39" s="608"/>
      <c r="P39" s="165" t="s">
        <v>97</v>
      </c>
      <c r="Q39" s="173"/>
      <c r="R39" s="167"/>
      <c r="S39" s="168"/>
      <c r="T39" s="169"/>
      <c r="U39" s="174"/>
      <c r="V39" s="173"/>
      <c r="W39" s="166">
        <f>T39-U39</f>
        <v>0</v>
      </c>
      <c r="X39" s="171">
        <f t="shared" si="34"/>
        <v>0</v>
      </c>
      <c r="Y39" s="172" t="e">
        <f t="shared" si="35"/>
        <v>#DIV/0!</v>
      </c>
      <c r="Z39" s="192" t="e">
        <f t="shared" si="36"/>
        <v>#DIV/0!</v>
      </c>
    </row>
    <row r="40" spans="1:26" ht="14.5" customHeight="1" x14ac:dyDescent="0.35">
      <c r="A40" s="623"/>
      <c r="B40" s="165" t="s">
        <v>98</v>
      </c>
      <c r="C40" s="173"/>
      <c r="D40" s="167"/>
      <c r="E40" s="168"/>
      <c r="F40" s="169"/>
      <c r="G40" s="170"/>
      <c r="H40" s="173"/>
      <c r="I40" s="166">
        <f t="shared" si="30"/>
        <v>0</v>
      </c>
      <c r="J40" s="171">
        <f t="shared" si="31"/>
        <v>0</v>
      </c>
      <c r="K40" s="172" t="e">
        <f t="shared" si="32"/>
        <v>#DIV/0!</v>
      </c>
      <c r="L40" s="192" t="e">
        <f t="shared" si="33"/>
        <v>#DIV/0!</v>
      </c>
      <c r="M40" s="215"/>
      <c r="N40" s="216"/>
      <c r="O40" s="608"/>
      <c r="P40" s="165" t="s">
        <v>98</v>
      </c>
      <c r="Q40" s="173"/>
      <c r="R40" s="167"/>
      <c r="S40" s="168"/>
      <c r="T40" s="169"/>
      <c r="U40" s="170"/>
      <c r="V40" s="173"/>
      <c r="W40" s="166">
        <f t="shared" ref="W40:W44" si="37">T40-U40</f>
        <v>0</v>
      </c>
      <c r="X40" s="171">
        <f t="shared" si="34"/>
        <v>0</v>
      </c>
      <c r="Y40" s="172" t="e">
        <f t="shared" si="35"/>
        <v>#DIV/0!</v>
      </c>
      <c r="Z40" s="192" t="e">
        <f t="shared" si="36"/>
        <v>#DIV/0!</v>
      </c>
    </row>
    <row r="41" spans="1:26" ht="14.5" customHeight="1" x14ac:dyDescent="0.35">
      <c r="A41" s="623"/>
      <c r="B41" s="165" t="s">
        <v>99</v>
      </c>
      <c r="C41" s="173"/>
      <c r="D41" s="167"/>
      <c r="E41" s="168"/>
      <c r="F41" s="169"/>
      <c r="G41" s="170"/>
      <c r="H41" s="173"/>
      <c r="I41" s="166">
        <f t="shared" si="30"/>
        <v>0</v>
      </c>
      <c r="J41" s="171">
        <f t="shared" si="31"/>
        <v>0</v>
      </c>
      <c r="K41" s="172" t="e">
        <f t="shared" si="32"/>
        <v>#DIV/0!</v>
      </c>
      <c r="L41" s="192" t="e">
        <f t="shared" si="33"/>
        <v>#DIV/0!</v>
      </c>
      <c r="M41" s="215"/>
      <c r="N41" s="216"/>
      <c r="O41" s="608"/>
      <c r="P41" s="165" t="s">
        <v>99</v>
      </c>
      <c r="Q41" s="173"/>
      <c r="R41" s="167"/>
      <c r="S41" s="168"/>
      <c r="T41" s="169"/>
      <c r="U41" s="170"/>
      <c r="V41" s="173"/>
      <c r="W41" s="166">
        <f t="shared" si="37"/>
        <v>0</v>
      </c>
      <c r="X41" s="171">
        <f t="shared" si="34"/>
        <v>0</v>
      </c>
      <c r="Y41" s="172" t="e">
        <f t="shared" si="35"/>
        <v>#DIV/0!</v>
      </c>
      <c r="Z41" s="192" t="e">
        <f t="shared" si="36"/>
        <v>#DIV/0!</v>
      </c>
    </row>
    <row r="42" spans="1:26" ht="14.5" customHeight="1" x14ac:dyDescent="0.35">
      <c r="A42" s="623"/>
      <c r="B42" s="165" t="s">
        <v>100</v>
      </c>
      <c r="C42" s="173"/>
      <c r="D42" s="167"/>
      <c r="E42" s="168"/>
      <c r="F42" s="169"/>
      <c r="G42" s="170"/>
      <c r="H42" s="173"/>
      <c r="I42" s="166">
        <f t="shared" si="30"/>
        <v>0</v>
      </c>
      <c r="J42" s="171">
        <f t="shared" si="31"/>
        <v>0</v>
      </c>
      <c r="K42" s="172" t="e">
        <f t="shared" si="32"/>
        <v>#DIV/0!</v>
      </c>
      <c r="L42" s="192" t="e">
        <f t="shared" si="33"/>
        <v>#DIV/0!</v>
      </c>
      <c r="M42" s="215"/>
      <c r="N42" s="216"/>
      <c r="O42" s="608"/>
      <c r="P42" s="165" t="s">
        <v>100</v>
      </c>
      <c r="Q42" s="173"/>
      <c r="R42" s="167"/>
      <c r="S42" s="168"/>
      <c r="T42" s="169"/>
      <c r="U42" s="170"/>
      <c r="V42" s="173"/>
      <c r="W42" s="166">
        <f t="shared" si="37"/>
        <v>0</v>
      </c>
      <c r="X42" s="171">
        <f t="shared" si="34"/>
        <v>0</v>
      </c>
      <c r="Y42" s="172" t="e">
        <f t="shared" si="35"/>
        <v>#DIV/0!</v>
      </c>
      <c r="Z42" s="192" t="e">
        <f t="shared" si="36"/>
        <v>#DIV/0!</v>
      </c>
    </row>
    <row r="43" spans="1:26" ht="14.5" customHeight="1" x14ac:dyDescent="0.35">
      <c r="A43" s="623"/>
      <c r="B43" s="165" t="s">
        <v>101</v>
      </c>
      <c r="C43" s="173"/>
      <c r="D43" s="167"/>
      <c r="E43" s="168"/>
      <c r="F43" s="169"/>
      <c r="G43" s="170"/>
      <c r="H43" s="173"/>
      <c r="I43" s="166">
        <f t="shared" si="30"/>
        <v>0</v>
      </c>
      <c r="J43" s="171">
        <f t="shared" si="31"/>
        <v>0</v>
      </c>
      <c r="K43" s="172" t="e">
        <f t="shared" si="32"/>
        <v>#DIV/0!</v>
      </c>
      <c r="L43" s="192" t="e">
        <f t="shared" si="33"/>
        <v>#DIV/0!</v>
      </c>
      <c r="M43" s="215"/>
      <c r="N43" s="216"/>
      <c r="O43" s="608"/>
      <c r="P43" s="165" t="s">
        <v>101</v>
      </c>
      <c r="Q43" s="173"/>
      <c r="R43" s="167"/>
      <c r="S43" s="168"/>
      <c r="T43" s="169"/>
      <c r="U43" s="170"/>
      <c r="V43" s="173"/>
      <c r="W43" s="166">
        <f t="shared" si="37"/>
        <v>0</v>
      </c>
      <c r="X43" s="171">
        <f t="shared" si="34"/>
        <v>0</v>
      </c>
      <c r="Y43" s="172" t="e">
        <f t="shared" si="35"/>
        <v>#DIV/0!</v>
      </c>
      <c r="Z43" s="192" t="e">
        <f t="shared" si="36"/>
        <v>#DIV/0!</v>
      </c>
    </row>
    <row r="44" spans="1:26" ht="14.5" customHeight="1" thickBot="1" x14ac:dyDescent="0.4">
      <c r="A44" s="623"/>
      <c r="B44" s="175" t="s">
        <v>77</v>
      </c>
      <c r="C44" s="176">
        <f>SUM(C38:C43)</f>
        <v>0</v>
      </c>
      <c r="D44" s="177">
        <f>SUM(D38:D43)</f>
        <v>0</v>
      </c>
      <c r="E44" s="178">
        <f t="shared" ref="E44:H44" si="38">SUM(E38:E43)</f>
        <v>0</v>
      </c>
      <c r="F44" s="176">
        <f>SUM(F38:F43)</f>
        <v>0</v>
      </c>
      <c r="G44" s="179">
        <f>SUM(G38:G43)</f>
        <v>0</v>
      </c>
      <c r="H44" s="176">
        <f t="shared" si="38"/>
        <v>0</v>
      </c>
      <c r="I44" s="176">
        <f t="shared" si="30"/>
        <v>0</v>
      </c>
      <c r="J44" s="176">
        <f t="shared" si="31"/>
        <v>0</v>
      </c>
      <c r="K44" s="180" t="e">
        <f t="shared" si="32"/>
        <v>#DIV/0!</v>
      </c>
      <c r="L44" s="197" t="e">
        <f>SUM(L38:L43)</f>
        <v>#DIV/0!</v>
      </c>
      <c r="O44" s="609"/>
      <c r="P44" s="204" t="s">
        <v>77</v>
      </c>
      <c r="Q44" s="205">
        <f t="shared" ref="Q44:V44" si="39">SUM(Q38:Q43)</f>
        <v>0</v>
      </c>
      <c r="R44" s="206">
        <f>SUM(R38:R43)</f>
        <v>0</v>
      </c>
      <c r="S44" s="207">
        <f t="shared" si="39"/>
        <v>0</v>
      </c>
      <c r="T44" s="205">
        <f t="shared" si="39"/>
        <v>0</v>
      </c>
      <c r="U44" s="208">
        <f>SUM(U38:U43)</f>
        <v>0</v>
      </c>
      <c r="V44" s="205">
        <f t="shared" si="39"/>
        <v>0</v>
      </c>
      <c r="W44" s="205">
        <f t="shared" si="37"/>
        <v>0</v>
      </c>
      <c r="X44" s="205">
        <f t="shared" si="34"/>
        <v>0</v>
      </c>
      <c r="Y44" s="209" t="e">
        <f t="shared" si="35"/>
        <v>#DIV/0!</v>
      </c>
      <c r="Z44" s="197" t="e">
        <f>SUM(Z38:Z43)</f>
        <v>#DIV/0!</v>
      </c>
    </row>
    <row r="45" spans="1:26" x14ac:dyDescent="0.35">
      <c r="B45" s="181" t="str">
        <f>$B$12</f>
        <v>TARGET Q4</v>
      </c>
      <c r="C45" s="182"/>
      <c r="D45" s="676"/>
      <c r="E45" s="677"/>
      <c r="F45" s="677"/>
      <c r="G45" s="677"/>
      <c r="H45" s="678"/>
      <c r="I45" s="182">
        <f>I44</f>
        <v>0</v>
      </c>
      <c r="J45" s="182">
        <f>I45-C45</f>
        <v>0</v>
      </c>
      <c r="K45" s="183" t="e">
        <f t="shared" si="32"/>
        <v>#DIV/0!</v>
      </c>
      <c r="L45" s="192" t="e">
        <f>IF(K45&gt;=1,3500000,IF(K45&gt;=0.9,2500000,0))</f>
        <v>#DIV/0!</v>
      </c>
      <c r="P45" s="181" t="str">
        <f>$B$12</f>
        <v>TARGET Q4</v>
      </c>
      <c r="Q45" s="182"/>
      <c r="R45" s="676"/>
      <c r="S45" s="677"/>
      <c r="T45" s="677"/>
      <c r="U45" s="677"/>
      <c r="V45" s="678"/>
      <c r="W45" s="182">
        <f>W44</f>
        <v>0</v>
      </c>
      <c r="X45" s="182">
        <f>W45-Q45</f>
        <v>0</v>
      </c>
      <c r="Y45" s="183" t="e">
        <f>W45/Q45</f>
        <v>#DIV/0!</v>
      </c>
      <c r="Z45" s="192" t="e">
        <f>IF(Y45&gt;=1,3500000,IF(Y45&gt;=0.9,2500000,0))</f>
        <v>#DIV/0!</v>
      </c>
    </row>
    <row r="46" spans="1:26" ht="15" thickBot="1" x14ac:dyDescent="0.4">
      <c r="C46" s="210" t="e">
        <f>C45/C44</f>
        <v>#DIV/0!</v>
      </c>
      <c r="Q46" s="210" t="e">
        <f>Q45/Q44</f>
        <v>#DIV/0!</v>
      </c>
    </row>
    <row r="47" spans="1:26" ht="19.5" customHeight="1" x14ac:dyDescent="0.35">
      <c r="A47" s="627">
        <v>5</v>
      </c>
      <c r="B47" s="352" t="s">
        <v>57</v>
      </c>
      <c r="C47" s="353" t="s">
        <v>35</v>
      </c>
      <c r="D47" s="681" t="s">
        <v>91</v>
      </c>
      <c r="E47" s="616" t="s">
        <v>62</v>
      </c>
      <c r="F47" s="604" t="s">
        <v>110</v>
      </c>
      <c r="G47" s="605"/>
      <c r="H47" s="605"/>
      <c r="I47" s="606"/>
      <c r="J47" s="587" t="s">
        <v>65</v>
      </c>
      <c r="K47" s="352" t="s">
        <v>66</v>
      </c>
      <c r="O47" s="613">
        <v>5</v>
      </c>
      <c r="P47" s="354" t="s">
        <v>57</v>
      </c>
      <c r="Q47" s="355"/>
      <c r="R47" s="679" t="s">
        <v>91</v>
      </c>
      <c r="S47" s="591" t="s">
        <v>62</v>
      </c>
      <c r="T47" s="610" t="s">
        <v>110</v>
      </c>
      <c r="U47" s="611"/>
      <c r="V47" s="611"/>
      <c r="W47" s="612"/>
      <c r="X47" s="603" t="s">
        <v>65</v>
      </c>
      <c r="Y47" s="354" t="s">
        <v>66</v>
      </c>
    </row>
    <row r="48" spans="1:26" ht="36" customHeight="1" x14ac:dyDescent="0.35">
      <c r="A48" s="628"/>
      <c r="B48" s="352" t="s">
        <v>93</v>
      </c>
      <c r="C48" s="353" t="str">
        <f>C37</f>
        <v>TARGET 100%</v>
      </c>
      <c r="D48" s="682"/>
      <c r="E48" s="617"/>
      <c r="F48" s="163" t="str">
        <f>F4</f>
        <v>OMSET OCT
 (1-1)</v>
      </c>
      <c r="G48" s="163" t="str">
        <f>G4</f>
        <v>OMSET PRODUK</v>
      </c>
      <c r="H48" s="353" t="s">
        <v>63</v>
      </c>
      <c r="I48" s="353" t="s">
        <v>64</v>
      </c>
      <c r="J48" s="587"/>
      <c r="K48" s="164">
        <f>K37</f>
        <v>3.2258064516129031E-2</v>
      </c>
      <c r="L48" s="211"/>
      <c r="M48" s="212"/>
      <c r="O48" s="614"/>
      <c r="P48" s="354" t="s">
        <v>93</v>
      </c>
      <c r="Q48" s="355" t="str">
        <f>Q37</f>
        <v>TARGET 100%</v>
      </c>
      <c r="R48" s="680"/>
      <c r="S48" s="592"/>
      <c r="T48" s="200" t="str">
        <f>T4</f>
        <v>OMSET OCT
 (1-1)</v>
      </c>
      <c r="U48" s="200" t="str">
        <f>G4</f>
        <v>OMSET PRODUK</v>
      </c>
      <c r="V48" s="355" t="s">
        <v>63</v>
      </c>
      <c r="W48" s="355" t="s">
        <v>64</v>
      </c>
      <c r="X48" s="603"/>
      <c r="Y48" s="201">
        <f>K48</f>
        <v>3.2258064516129031E-2</v>
      </c>
    </row>
    <row r="49" spans="1:26" ht="14.5" customHeight="1" x14ac:dyDescent="0.35">
      <c r="A49" s="628"/>
      <c r="B49" s="165" t="s">
        <v>96</v>
      </c>
      <c r="C49" s="166"/>
      <c r="D49" s="167"/>
      <c r="E49" s="168"/>
      <c r="F49" s="169"/>
      <c r="G49" s="170"/>
      <c r="H49" s="166"/>
      <c r="I49" s="166">
        <f t="shared" ref="I49:I55" si="40">F49-G49</f>
        <v>0</v>
      </c>
      <c r="J49" s="171">
        <f t="shared" ref="J49:J55" si="41">I49-C49</f>
        <v>0</v>
      </c>
      <c r="K49" s="172" t="e">
        <f t="shared" ref="K49:K56" si="42">I49/C49</f>
        <v>#DIV/0!</v>
      </c>
      <c r="L49" s="192" t="e">
        <f t="shared" ref="L49:L54" si="43">IF(K49&gt;120%, I49*0.55%, IF(K49&gt;100%, I49*0.45%, IF(K49&gt;80%, I49*0.35%, IF(K49&gt;60%, I49*0.2%, 0))))</f>
        <v>#DIV/0!</v>
      </c>
      <c r="O49" s="614"/>
      <c r="P49" s="165" t="s">
        <v>96</v>
      </c>
      <c r="Q49" s="166"/>
      <c r="R49" s="167"/>
      <c r="S49" s="168"/>
      <c r="T49" s="169"/>
      <c r="U49" s="170"/>
      <c r="V49" s="166"/>
      <c r="W49" s="166">
        <f t="shared" ref="W49:W55" si="44">T49-U49</f>
        <v>0</v>
      </c>
      <c r="X49" s="171">
        <f t="shared" ref="X49:X55" si="45">W49-Q49</f>
        <v>0</v>
      </c>
      <c r="Y49" s="172" t="e">
        <f t="shared" ref="Y49:Y55" si="46">W49/Q49</f>
        <v>#DIV/0!</v>
      </c>
      <c r="Z49" s="192" t="e">
        <f t="shared" ref="Z49:Z54" si="47">IF(Y49&gt;120%, W49*0.55%, IF(Y49&gt;100%, W49*0.45%, IF(Y49&gt;80%, W49*0.35%, IF(Y49&gt;60%, W49*0.2%, 0))))</f>
        <v>#DIV/0!</v>
      </c>
    </row>
    <row r="50" spans="1:26" ht="14.5" customHeight="1" x14ac:dyDescent="0.35">
      <c r="A50" s="628"/>
      <c r="B50" s="165" t="s">
        <v>97</v>
      </c>
      <c r="C50" s="173"/>
      <c r="D50" s="167"/>
      <c r="E50" s="168"/>
      <c r="F50" s="169"/>
      <c r="G50" s="174"/>
      <c r="H50" s="173"/>
      <c r="I50" s="166">
        <f t="shared" si="40"/>
        <v>0</v>
      </c>
      <c r="J50" s="171">
        <f t="shared" si="41"/>
        <v>0</v>
      </c>
      <c r="K50" s="172" t="e">
        <f t="shared" si="42"/>
        <v>#DIV/0!</v>
      </c>
      <c r="L50" s="192" t="e">
        <f t="shared" si="43"/>
        <v>#DIV/0!</v>
      </c>
      <c r="N50" s="216"/>
      <c r="O50" s="614"/>
      <c r="P50" s="165" t="s">
        <v>97</v>
      </c>
      <c r="Q50" s="173"/>
      <c r="R50" s="167"/>
      <c r="S50" s="168"/>
      <c r="T50" s="169"/>
      <c r="U50" s="174"/>
      <c r="V50" s="173"/>
      <c r="W50" s="166">
        <f t="shared" si="44"/>
        <v>0</v>
      </c>
      <c r="X50" s="171">
        <f t="shared" si="45"/>
        <v>0</v>
      </c>
      <c r="Y50" s="172" t="e">
        <f t="shared" si="46"/>
        <v>#DIV/0!</v>
      </c>
      <c r="Z50" s="192" t="e">
        <f t="shared" si="47"/>
        <v>#DIV/0!</v>
      </c>
    </row>
    <row r="51" spans="1:26" ht="14.5" customHeight="1" x14ac:dyDescent="0.35">
      <c r="A51" s="628"/>
      <c r="B51" s="165" t="s">
        <v>98</v>
      </c>
      <c r="C51" s="173"/>
      <c r="D51" s="167"/>
      <c r="E51" s="168"/>
      <c r="F51" s="169"/>
      <c r="G51" s="170"/>
      <c r="H51" s="173"/>
      <c r="I51" s="166">
        <f t="shared" si="40"/>
        <v>0</v>
      </c>
      <c r="J51" s="171">
        <f t="shared" si="41"/>
        <v>0</v>
      </c>
      <c r="K51" s="172" t="e">
        <f t="shared" si="42"/>
        <v>#DIV/0!</v>
      </c>
      <c r="L51" s="192" t="e">
        <f t="shared" si="43"/>
        <v>#DIV/0!</v>
      </c>
      <c r="M51" s="191"/>
      <c r="N51" s="216"/>
      <c r="O51" s="614"/>
      <c r="P51" s="165" t="s">
        <v>98</v>
      </c>
      <c r="Q51" s="173"/>
      <c r="R51" s="167"/>
      <c r="S51" s="168"/>
      <c r="T51" s="169"/>
      <c r="U51" s="170"/>
      <c r="V51" s="173"/>
      <c r="W51" s="166">
        <f t="shared" si="44"/>
        <v>0</v>
      </c>
      <c r="X51" s="171">
        <f t="shared" si="45"/>
        <v>0</v>
      </c>
      <c r="Y51" s="172" t="e">
        <f t="shared" si="46"/>
        <v>#DIV/0!</v>
      </c>
      <c r="Z51" s="192" t="e">
        <f t="shared" si="47"/>
        <v>#DIV/0!</v>
      </c>
    </row>
    <row r="52" spans="1:26" ht="14.5" customHeight="1" x14ac:dyDescent="0.35">
      <c r="A52" s="628"/>
      <c r="B52" s="165" t="s">
        <v>99</v>
      </c>
      <c r="C52" s="173"/>
      <c r="D52" s="167"/>
      <c r="E52" s="168"/>
      <c r="F52" s="169"/>
      <c r="G52" s="170"/>
      <c r="H52" s="173"/>
      <c r="I52" s="166">
        <f t="shared" si="40"/>
        <v>0</v>
      </c>
      <c r="J52" s="171">
        <f t="shared" si="41"/>
        <v>0</v>
      </c>
      <c r="K52" s="172" t="e">
        <f t="shared" si="42"/>
        <v>#DIV/0!</v>
      </c>
      <c r="L52" s="192" t="e">
        <f t="shared" si="43"/>
        <v>#DIV/0!</v>
      </c>
      <c r="N52" s="216"/>
      <c r="O52" s="614"/>
      <c r="P52" s="165" t="s">
        <v>99</v>
      </c>
      <c r="Q52" s="173"/>
      <c r="R52" s="167"/>
      <c r="S52" s="168"/>
      <c r="T52" s="169"/>
      <c r="U52" s="170"/>
      <c r="V52" s="173"/>
      <c r="W52" s="166">
        <f t="shared" si="44"/>
        <v>0</v>
      </c>
      <c r="X52" s="171">
        <f t="shared" si="45"/>
        <v>0</v>
      </c>
      <c r="Y52" s="172" t="e">
        <f t="shared" si="46"/>
        <v>#DIV/0!</v>
      </c>
      <c r="Z52" s="192" t="e">
        <f t="shared" si="47"/>
        <v>#DIV/0!</v>
      </c>
    </row>
    <row r="53" spans="1:26" ht="14.5" customHeight="1" x14ac:dyDescent="0.35">
      <c r="A53" s="628"/>
      <c r="B53" s="165" t="s">
        <v>100</v>
      </c>
      <c r="C53" s="173"/>
      <c r="D53" s="167"/>
      <c r="E53" s="168"/>
      <c r="F53" s="169"/>
      <c r="G53" s="170"/>
      <c r="H53" s="173"/>
      <c r="I53" s="166">
        <f t="shared" si="40"/>
        <v>0</v>
      </c>
      <c r="J53" s="171">
        <f t="shared" si="41"/>
        <v>0</v>
      </c>
      <c r="K53" s="172" t="e">
        <f t="shared" si="42"/>
        <v>#DIV/0!</v>
      </c>
      <c r="L53" s="192" t="e">
        <f t="shared" si="43"/>
        <v>#DIV/0!</v>
      </c>
      <c r="N53" s="216"/>
      <c r="O53" s="614"/>
      <c r="P53" s="165" t="s">
        <v>100</v>
      </c>
      <c r="Q53" s="173"/>
      <c r="R53" s="167"/>
      <c r="S53" s="168"/>
      <c r="T53" s="169"/>
      <c r="U53" s="170"/>
      <c r="V53" s="173"/>
      <c r="W53" s="166">
        <f t="shared" si="44"/>
        <v>0</v>
      </c>
      <c r="X53" s="171">
        <f t="shared" si="45"/>
        <v>0</v>
      </c>
      <c r="Y53" s="172" t="e">
        <f t="shared" si="46"/>
        <v>#DIV/0!</v>
      </c>
      <c r="Z53" s="192" t="e">
        <f t="shared" si="47"/>
        <v>#DIV/0!</v>
      </c>
    </row>
    <row r="54" spans="1:26" ht="14.5" customHeight="1" x14ac:dyDescent="0.35">
      <c r="A54" s="628"/>
      <c r="B54" s="165" t="s">
        <v>101</v>
      </c>
      <c r="C54" s="173"/>
      <c r="D54" s="167"/>
      <c r="E54" s="168"/>
      <c r="F54" s="169"/>
      <c r="G54" s="170"/>
      <c r="H54" s="173"/>
      <c r="I54" s="166">
        <f t="shared" si="40"/>
        <v>0</v>
      </c>
      <c r="J54" s="171">
        <f t="shared" si="41"/>
        <v>0</v>
      </c>
      <c r="K54" s="172" t="e">
        <f t="shared" si="42"/>
        <v>#DIV/0!</v>
      </c>
      <c r="L54" s="192" t="e">
        <f t="shared" si="43"/>
        <v>#DIV/0!</v>
      </c>
      <c r="N54" s="216"/>
      <c r="O54" s="614"/>
      <c r="P54" s="165" t="s">
        <v>101</v>
      </c>
      <c r="Q54" s="173"/>
      <c r="R54" s="167"/>
      <c r="S54" s="168"/>
      <c r="T54" s="169"/>
      <c r="U54" s="170"/>
      <c r="V54" s="173"/>
      <c r="W54" s="166">
        <f t="shared" si="44"/>
        <v>0</v>
      </c>
      <c r="X54" s="171">
        <f t="shared" si="45"/>
        <v>0</v>
      </c>
      <c r="Y54" s="172" t="e">
        <f t="shared" si="46"/>
        <v>#DIV/0!</v>
      </c>
      <c r="Z54" s="192" t="e">
        <f t="shared" si="47"/>
        <v>#DIV/0!</v>
      </c>
    </row>
    <row r="55" spans="1:26" ht="14.5" customHeight="1" thickBot="1" x14ac:dyDescent="0.4">
      <c r="A55" s="628"/>
      <c r="B55" s="175" t="s">
        <v>77</v>
      </c>
      <c r="C55" s="176">
        <f t="shared" ref="C55:H55" si="48">SUM(C49:C54)</f>
        <v>0</v>
      </c>
      <c r="D55" s="177">
        <f t="shared" si="48"/>
        <v>0</v>
      </c>
      <c r="E55" s="178">
        <f t="shared" si="48"/>
        <v>0</v>
      </c>
      <c r="F55" s="176">
        <f t="shared" si="48"/>
        <v>0</v>
      </c>
      <c r="G55" s="179">
        <f t="shared" si="48"/>
        <v>0</v>
      </c>
      <c r="H55" s="176">
        <f t="shared" si="48"/>
        <v>0</v>
      </c>
      <c r="I55" s="176">
        <f t="shared" si="40"/>
        <v>0</v>
      </c>
      <c r="J55" s="176">
        <f t="shared" si="41"/>
        <v>0</v>
      </c>
      <c r="K55" s="180" t="e">
        <f t="shared" si="42"/>
        <v>#DIV/0!</v>
      </c>
      <c r="L55" s="197" t="e">
        <f>SUM(L49:L54)</f>
        <v>#DIV/0!</v>
      </c>
      <c r="O55" s="615"/>
      <c r="P55" s="204" t="s">
        <v>77</v>
      </c>
      <c r="Q55" s="205">
        <f t="shared" ref="Q55:V55" si="49">SUM(Q49:Q54)</f>
        <v>0</v>
      </c>
      <c r="R55" s="206">
        <f>SUM(R49:R54)</f>
        <v>0</v>
      </c>
      <c r="S55" s="207">
        <f t="shared" si="49"/>
        <v>0</v>
      </c>
      <c r="T55" s="205">
        <f>SUM(T49:T54)</f>
        <v>0</v>
      </c>
      <c r="U55" s="208">
        <f t="shared" si="49"/>
        <v>0</v>
      </c>
      <c r="V55" s="205">
        <f t="shared" si="49"/>
        <v>0</v>
      </c>
      <c r="W55" s="205">
        <f t="shared" si="44"/>
        <v>0</v>
      </c>
      <c r="X55" s="205">
        <f t="shared" si="45"/>
        <v>0</v>
      </c>
      <c r="Y55" s="209" t="e">
        <f t="shared" si="46"/>
        <v>#DIV/0!</v>
      </c>
      <c r="Z55" s="197" t="e">
        <f>SUM(Z49:Z54)</f>
        <v>#DIV/0!</v>
      </c>
    </row>
    <row r="56" spans="1:26" x14ac:dyDescent="0.35">
      <c r="B56" s="181" t="str">
        <f>$B$12</f>
        <v>TARGET Q4</v>
      </c>
      <c r="C56" s="182"/>
      <c r="D56" s="676"/>
      <c r="E56" s="677"/>
      <c r="F56" s="677"/>
      <c r="G56" s="677"/>
      <c r="H56" s="678"/>
      <c r="I56" s="182">
        <f>I55</f>
        <v>0</v>
      </c>
      <c r="J56" s="182">
        <f>I56-C56</f>
        <v>0</v>
      </c>
      <c r="K56" s="183" t="e">
        <f t="shared" si="42"/>
        <v>#DIV/0!</v>
      </c>
      <c r="L56" s="192" t="e">
        <f>IF(K56&gt;=1,3500000,IF(K56&gt;=0.9,2500000,0))</f>
        <v>#DIV/0!</v>
      </c>
      <c r="P56" s="181" t="str">
        <f>$B$12</f>
        <v>TARGET Q4</v>
      </c>
      <c r="Q56" s="182"/>
      <c r="R56" s="676"/>
      <c r="S56" s="677"/>
      <c r="T56" s="677"/>
      <c r="U56" s="677"/>
      <c r="V56" s="678"/>
      <c r="W56" s="182">
        <f>W55</f>
        <v>0</v>
      </c>
      <c r="X56" s="182">
        <f>W56-Q56</f>
        <v>0</v>
      </c>
      <c r="Y56" s="183" t="e">
        <f>W56/Q56</f>
        <v>#DIV/0!</v>
      </c>
      <c r="Z56" s="192" t="e">
        <f>IF(Y56&gt;=1,3500000,IF(Y56&gt;=0.9,2500000,0))</f>
        <v>#DIV/0!</v>
      </c>
    </row>
    <row r="57" spans="1:26" ht="15" thickBot="1" x14ac:dyDescent="0.4">
      <c r="C57" s="210" t="e">
        <f>C56/C55</f>
        <v>#DIV/0!</v>
      </c>
      <c r="Q57" s="210" t="e">
        <f>Q56/Q55</f>
        <v>#DIV/0!</v>
      </c>
    </row>
    <row r="58" spans="1:26" ht="19.5" customHeight="1" x14ac:dyDescent="0.35">
      <c r="A58" s="626">
        <v>6</v>
      </c>
      <c r="B58" s="352" t="s">
        <v>57</v>
      </c>
      <c r="C58" s="353" t="s">
        <v>34</v>
      </c>
      <c r="D58" s="681" t="s">
        <v>91</v>
      </c>
      <c r="E58" s="616" t="s">
        <v>62</v>
      </c>
      <c r="F58" s="604" t="s">
        <v>112</v>
      </c>
      <c r="G58" s="605"/>
      <c r="H58" s="605"/>
      <c r="I58" s="606"/>
      <c r="J58" s="587" t="s">
        <v>65</v>
      </c>
      <c r="K58" s="352" t="s">
        <v>66</v>
      </c>
      <c r="O58" s="618">
        <v>6</v>
      </c>
      <c r="P58" s="354" t="s">
        <v>57</v>
      </c>
      <c r="Q58" s="355" t="s">
        <v>51</v>
      </c>
      <c r="R58" s="679" t="s">
        <v>91</v>
      </c>
      <c r="S58" s="591" t="s">
        <v>62</v>
      </c>
      <c r="T58" s="610" t="s">
        <v>112</v>
      </c>
      <c r="U58" s="611"/>
      <c r="V58" s="611"/>
      <c r="W58" s="612"/>
      <c r="X58" s="603" t="s">
        <v>65</v>
      </c>
      <c r="Y58" s="354" t="s">
        <v>66</v>
      </c>
    </row>
    <row r="59" spans="1:26" ht="36" customHeight="1" x14ac:dyDescent="0.35">
      <c r="A59" s="626"/>
      <c r="B59" s="352" t="s">
        <v>93</v>
      </c>
      <c r="C59" s="353" t="str">
        <f>C48</f>
        <v>TARGET 100%</v>
      </c>
      <c r="D59" s="682"/>
      <c r="E59" s="617"/>
      <c r="F59" s="163" t="str">
        <f>F4</f>
        <v>OMSET OCT
 (1-1)</v>
      </c>
      <c r="G59" s="163" t="str">
        <f>G4</f>
        <v>OMSET PRODUK</v>
      </c>
      <c r="H59" s="353" t="s">
        <v>63</v>
      </c>
      <c r="I59" s="353" t="s">
        <v>64</v>
      </c>
      <c r="J59" s="587"/>
      <c r="K59" s="164">
        <f>K48</f>
        <v>3.2258064516129031E-2</v>
      </c>
      <c r="O59" s="619"/>
      <c r="P59" s="354" t="s">
        <v>93</v>
      </c>
      <c r="Q59" s="355" t="str">
        <f>Q48</f>
        <v>TARGET 100%</v>
      </c>
      <c r="R59" s="680"/>
      <c r="S59" s="592"/>
      <c r="T59" s="200" t="str">
        <f>T4</f>
        <v>OMSET OCT
 (1-1)</v>
      </c>
      <c r="U59" s="200" t="str">
        <f>G4</f>
        <v>OMSET PRODUK</v>
      </c>
      <c r="V59" s="355" t="s">
        <v>63</v>
      </c>
      <c r="W59" s="355" t="s">
        <v>64</v>
      </c>
      <c r="X59" s="603"/>
      <c r="Y59" s="201">
        <f>K59</f>
        <v>3.2258064516129031E-2</v>
      </c>
    </row>
    <row r="60" spans="1:26" ht="14.5" customHeight="1" x14ac:dyDescent="0.35">
      <c r="A60" s="626"/>
      <c r="B60" s="165" t="s">
        <v>96</v>
      </c>
      <c r="C60" s="166"/>
      <c r="D60" s="167"/>
      <c r="E60" s="168"/>
      <c r="F60" s="169"/>
      <c r="G60" s="170"/>
      <c r="H60" s="166"/>
      <c r="I60" s="166">
        <f t="shared" ref="I60:I66" si="50">F60-G60</f>
        <v>0</v>
      </c>
      <c r="J60" s="171">
        <f t="shared" ref="J60:J66" si="51">I60-C60</f>
        <v>0</v>
      </c>
      <c r="K60" s="172" t="e">
        <f t="shared" ref="K60:K67" si="52">I60/C60</f>
        <v>#DIV/0!</v>
      </c>
      <c r="L60" s="192" t="e">
        <f t="shared" ref="L60:L65" si="53">IF(K60&gt;120%, I60*0.55%, IF(K60&gt;100%, I60*0.45%, IF(K60&gt;80%, I60*0.35%, IF(K60&gt;60%, I60*0.2%, 0))))</f>
        <v>#DIV/0!</v>
      </c>
      <c r="O60" s="619"/>
      <c r="P60" s="165" t="s">
        <v>96</v>
      </c>
      <c r="Q60" s="166"/>
      <c r="R60" s="167"/>
      <c r="S60" s="168"/>
      <c r="T60" s="169"/>
      <c r="U60" s="170"/>
      <c r="V60" s="166"/>
      <c r="W60" s="166">
        <f t="shared" ref="W60:W66" si="54">T60-U60</f>
        <v>0</v>
      </c>
      <c r="X60" s="171">
        <f t="shared" ref="X60:X66" si="55">W60-Q60</f>
        <v>0</v>
      </c>
      <c r="Y60" s="172" t="e">
        <f t="shared" ref="Y60:Y66" si="56">W60/Q60</f>
        <v>#DIV/0!</v>
      </c>
      <c r="Z60" s="192" t="e">
        <f t="shared" ref="Z60:Z65" si="57">IF(Y60&gt;120%, W60*0.55%, IF(Y60&gt;100%, W60*0.45%, IF(Y60&gt;80%, W60*0.35%, IF(Y60&gt;60%, W60*0.2%, 0))))</f>
        <v>#DIV/0!</v>
      </c>
    </row>
    <row r="61" spans="1:26" ht="14.5" customHeight="1" x14ac:dyDescent="0.35">
      <c r="A61" s="626"/>
      <c r="B61" s="165" t="s">
        <v>97</v>
      </c>
      <c r="C61" s="173"/>
      <c r="D61" s="167"/>
      <c r="E61" s="168"/>
      <c r="F61" s="169"/>
      <c r="G61" s="174"/>
      <c r="H61" s="173"/>
      <c r="I61" s="166">
        <f t="shared" si="50"/>
        <v>0</v>
      </c>
      <c r="J61" s="171">
        <f t="shared" si="51"/>
        <v>0</v>
      </c>
      <c r="K61" s="172" t="e">
        <f t="shared" si="52"/>
        <v>#DIV/0!</v>
      </c>
      <c r="L61" s="192" t="e">
        <f t="shared" si="53"/>
        <v>#DIV/0!</v>
      </c>
      <c r="O61" s="619"/>
      <c r="P61" s="165" t="s">
        <v>97</v>
      </c>
      <c r="Q61" s="173"/>
      <c r="R61" s="167"/>
      <c r="S61" s="168"/>
      <c r="T61" s="169"/>
      <c r="U61" s="174"/>
      <c r="V61" s="173"/>
      <c r="W61" s="166">
        <f t="shared" si="54"/>
        <v>0</v>
      </c>
      <c r="X61" s="171">
        <f t="shared" si="55"/>
        <v>0</v>
      </c>
      <c r="Y61" s="172" t="e">
        <f>W61/Q61</f>
        <v>#DIV/0!</v>
      </c>
      <c r="Z61" s="192" t="e">
        <f t="shared" si="57"/>
        <v>#DIV/0!</v>
      </c>
    </row>
    <row r="62" spans="1:26" ht="14.5" customHeight="1" x14ac:dyDescent="0.35">
      <c r="A62" s="626"/>
      <c r="B62" s="165" t="s">
        <v>98</v>
      </c>
      <c r="C62" s="173"/>
      <c r="D62" s="167"/>
      <c r="E62" s="168"/>
      <c r="F62" s="169"/>
      <c r="G62" s="170"/>
      <c r="H62" s="173"/>
      <c r="I62" s="166">
        <f t="shared" si="50"/>
        <v>0</v>
      </c>
      <c r="J62" s="171">
        <f t="shared" si="51"/>
        <v>0</v>
      </c>
      <c r="K62" s="172" t="e">
        <f t="shared" si="52"/>
        <v>#DIV/0!</v>
      </c>
      <c r="L62" s="192" t="e">
        <f t="shared" si="53"/>
        <v>#DIV/0!</v>
      </c>
      <c r="O62" s="619"/>
      <c r="P62" s="165" t="s">
        <v>98</v>
      </c>
      <c r="Q62" s="173"/>
      <c r="R62" s="167"/>
      <c r="S62" s="168"/>
      <c r="T62" s="169"/>
      <c r="U62" s="170"/>
      <c r="V62" s="173"/>
      <c r="W62" s="166">
        <f t="shared" si="54"/>
        <v>0</v>
      </c>
      <c r="X62" s="171">
        <f t="shared" si="55"/>
        <v>0</v>
      </c>
      <c r="Y62" s="172" t="e">
        <f t="shared" si="56"/>
        <v>#DIV/0!</v>
      </c>
      <c r="Z62" s="192" t="e">
        <f t="shared" si="57"/>
        <v>#DIV/0!</v>
      </c>
    </row>
    <row r="63" spans="1:26" ht="14.5" customHeight="1" x14ac:dyDescent="0.35">
      <c r="A63" s="626"/>
      <c r="B63" s="165" t="s">
        <v>99</v>
      </c>
      <c r="C63" s="173"/>
      <c r="D63" s="167"/>
      <c r="E63" s="168"/>
      <c r="F63" s="169"/>
      <c r="G63" s="170"/>
      <c r="H63" s="173"/>
      <c r="I63" s="166">
        <f t="shared" si="50"/>
        <v>0</v>
      </c>
      <c r="J63" s="171">
        <f t="shared" si="51"/>
        <v>0</v>
      </c>
      <c r="K63" s="172" t="e">
        <f t="shared" si="52"/>
        <v>#DIV/0!</v>
      </c>
      <c r="L63" s="192" t="e">
        <f t="shared" si="53"/>
        <v>#DIV/0!</v>
      </c>
      <c r="O63" s="619"/>
      <c r="P63" s="165" t="s">
        <v>99</v>
      </c>
      <c r="Q63" s="173"/>
      <c r="R63" s="167"/>
      <c r="S63" s="168"/>
      <c r="T63" s="169"/>
      <c r="U63" s="170"/>
      <c r="V63" s="173"/>
      <c r="W63" s="166">
        <f t="shared" si="54"/>
        <v>0</v>
      </c>
      <c r="X63" s="171">
        <f t="shared" si="55"/>
        <v>0</v>
      </c>
      <c r="Y63" s="172" t="e">
        <f t="shared" si="56"/>
        <v>#DIV/0!</v>
      </c>
      <c r="Z63" s="192" t="e">
        <f t="shared" si="57"/>
        <v>#DIV/0!</v>
      </c>
    </row>
    <row r="64" spans="1:26" ht="14.5" customHeight="1" x14ac:dyDescent="0.35">
      <c r="A64" s="626"/>
      <c r="B64" s="165" t="s">
        <v>100</v>
      </c>
      <c r="C64" s="173"/>
      <c r="D64" s="167"/>
      <c r="E64" s="168"/>
      <c r="F64" s="169"/>
      <c r="G64" s="170"/>
      <c r="H64" s="173"/>
      <c r="I64" s="166">
        <f t="shared" si="50"/>
        <v>0</v>
      </c>
      <c r="J64" s="171">
        <f t="shared" si="51"/>
        <v>0</v>
      </c>
      <c r="K64" s="172" t="e">
        <f t="shared" si="52"/>
        <v>#DIV/0!</v>
      </c>
      <c r="L64" s="192" t="e">
        <f t="shared" si="53"/>
        <v>#DIV/0!</v>
      </c>
      <c r="O64" s="619"/>
      <c r="P64" s="165" t="s">
        <v>100</v>
      </c>
      <c r="Q64" s="173"/>
      <c r="R64" s="167"/>
      <c r="S64" s="168"/>
      <c r="T64" s="169"/>
      <c r="U64" s="170"/>
      <c r="V64" s="173"/>
      <c r="W64" s="166">
        <f t="shared" si="54"/>
        <v>0</v>
      </c>
      <c r="X64" s="171">
        <f t="shared" si="55"/>
        <v>0</v>
      </c>
      <c r="Y64" s="172" t="e">
        <f t="shared" si="56"/>
        <v>#DIV/0!</v>
      </c>
      <c r="Z64" s="192" t="e">
        <f t="shared" si="57"/>
        <v>#DIV/0!</v>
      </c>
    </row>
    <row r="65" spans="1:26" ht="14.5" customHeight="1" x14ac:dyDescent="0.35">
      <c r="A65" s="626"/>
      <c r="B65" s="165" t="s">
        <v>101</v>
      </c>
      <c r="C65" s="173"/>
      <c r="D65" s="167"/>
      <c r="E65" s="168"/>
      <c r="F65" s="169"/>
      <c r="G65" s="170"/>
      <c r="H65" s="173"/>
      <c r="I65" s="166">
        <f t="shared" si="50"/>
        <v>0</v>
      </c>
      <c r="J65" s="171">
        <f t="shared" si="51"/>
        <v>0</v>
      </c>
      <c r="K65" s="172" t="e">
        <f t="shared" si="52"/>
        <v>#DIV/0!</v>
      </c>
      <c r="L65" s="192" t="e">
        <f t="shared" si="53"/>
        <v>#DIV/0!</v>
      </c>
      <c r="O65" s="619"/>
      <c r="P65" s="165" t="s">
        <v>101</v>
      </c>
      <c r="Q65" s="173"/>
      <c r="R65" s="167"/>
      <c r="S65" s="168"/>
      <c r="T65" s="169"/>
      <c r="U65" s="170"/>
      <c r="V65" s="173"/>
      <c r="W65" s="166">
        <f t="shared" si="54"/>
        <v>0</v>
      </c>
      <c r="X65" s="171">
        <f t="shared" si="55"/>
        <v>0</v>
      </c>
      <c r="Y65" s="172" t="e">
        <f t="shared" si="56"/>
        <v>#DIV/0!</v>
      </c>
      <c r="Z65" s="192" t="e">
        <f t="shared" si="57"/>
        <v>#DIV/0!</v>
      </c>
    </row>
    <row r="66" spans="1:26" ht="15" customHeight="1" thickBot="1" x14ac:dyDescent="0.4">
      <c r="A66" s="626"/>
      <c r="B66" s="175" t="s">
        <v>77</v>
      </c>
      <c r="C66" s="176">
        <f t="shared" ref="C66:H66" si="58">SUM(C60:C65)</f>
        <v>0</v>
      </c>
      <c r="D66" s="177">
        <f t="shared" si="58"/>
        <v>0</v>
      </c>
      <c r="E66" s="178">
        <f t="shared" si="58"/>
        <v>0</v>
      </c>
      <c r="F66" s="176">
        <f t="shared" si="58"/>
        <v>0</v>
      </c>
      <c r="G66" s="179">
        <f t="shared" si="58"/>
        <v>0</v>
      </c>
      <c r="H66" s="176">
        <f t="shared" si="58"/>
        <v>0</v>
      </c>
      <c r="I66" s="176">
        <f t="shared" si="50"/>
        <v>0</v>
      </c>
      <c r="J66" s="176">
        <f t="shared" si="51"/>
        <v>0</v>
      </c>
      <c r="K66" s="180" t="e">
        <f t="shared" si="52"/>
        <v>#DIV/0!</v>
      </c>
      <c r="L66" s="197" t="e">
        <f>SUM(L60:L65)</f>
        <v>#DIV/0!</v>
      </c>
      <c r="O66" s="620"/>
      <c r="P66" s="204" t="s">
        <v>77</v>
      </c>
      <c r="Q66" s="205">
        <f t="shared" ref="Q66:V66" si="59">SUM(Q60:Q65)</f>
        <v>0</v>
      </c>
      <c r="R66" s="206">
        <f>SUM(R60:R65)</f>
        <v>0</v>
      </c>
      <c r="S66" s="207">
        <f t="shared" si="59"/>
        <v>0</v>
      </c>
      <c r="T66" s="205">
        <f t="shared" si="59"/>
        <v>0</v>
      </c>
      <c r="U66" s="208">
        <f t="shared" si="59"/>
        <v>0</v>
      </c>
      <c r="V66" s="205">
        <f t="shared" si="59"/>
        <v>0</v>
      </c>
      <c r="W66" s="205">
        <f t="shared" si="54"/>
        <v>0</v>
      </c>
      <c r="X66" s="205">
        <f t="shared" si="55"/>
        <v>0</v>
      </c>
      <c r="Y66" s="209" t="e">
        <f t="shared" si="56"/>
        <v>#DIV/0!</v>
      </c>
      <c r="Z66" s="197" t="e">
        <f>SUM(Z60:Z65)</f>
        <v>#DIV/0!</v>
      </c>
    </row>
    <row r="67" spans="1:26" x14ac:dyDescent="0.35">
      <c r="B67" s="181" t="str">
        <f>$B$12</f>
        <v>TARGET Q4</v>
      </c>
      <c r="C67" s="182"/>
      <c r="D67" s="676"/>
      <c r="E67" s="677"/>
      <c r="F67" s="677"/>
      <c r="G67" s="677"/>
      <c r="H67" s="678"/>
      <c r="I67" s="182">
        <f>I66</f>
        <v>0</v>
      </c>
      <c r="J67" s="182">
        <f>I67-C67</f>
        <v>0</v>
      </c>
      <c r="K67" s="183" t="e">
        <f t="shared" si="52"/>
        <v>#DIV/0!</v>
      </c>
      <c r="L67" s="192" t="e">
        <f>IF(K67&gt;=1,3500000,IF(K67&gt;=0.9,2500000,0))</f>
        <v>#DIV/0!</v>
      </c>
      <c r="P67" s="181" t="str">
        <f>$B$12</f>
        <v>TARGET Q4</v>
      </c>
      <c r="Q67" s="182"/>
      <c r="R67" s="676"/>
      <c r="S67" s="677"/>
      <c r="T67" s="677"/>
      <c r="U67" s="677"/>
      <c r="V67" s="678"/>
      <c r="W67" s="182">
        <f>W66</f>
        <v>0</v>
      </c>
      <c r="X67" s="182">
        <f>W67-Q67</f>
        <v>0</v>
      </c>
      <c r="Y67" s="183" t="e">
        <f>W67/Q67</f>
        <v>#DIV/0!</v>
      </c>
      <c r="Z67" s="192" t="e">
        <f>IF(Y67&gt;=1,3500000,IF(Y67&gt;=0.9,2500000,0))</f>
        <v>#DIV/0!</v>
      </c>
    </row>
    <row r="68" spans="1:26" ht="15" thickBot="1" x14ac:dyDescent="0.4">
      <c r="C68" s="210" t="e">
        <f>C67/C66</f>
        <v>#DIV/0!</v>
      </c>
      <c r="Q68" s="210" t="e">
        <f>Q67/Q66</f>
        <v>#DIV/0!</v>
      </c>
    </row>
    <row r="69" spans="1:26" ht="19.5" customHeight="1" x14ac:dyDescent="0.35">
      <c r="A69" s="623">
        <v>7</v>
      </c>
      <c r="B69" s="352" t="s">
        <v>57</v>
      </c>
      <c r="C69" s="353" t="s">
        <v>41</v>
      </c>
      <c r="D69" s="681" t="s">
        <v>91</v>
      </c>
      <c r="E69" s="616" t="s">
        <v>62</v>
      </c>
      <c r="F69" s="604" t="s">
        <v>114</v>
      </c>
      <c r="G69" s="605"/>
      <c r="H69" s="605"/>
      <c r="I69" s="606"/>
      <c r="J69" s="587" t="s">
        <v>65</v>
      </c>
      <c r="K69" s="352" t="s">
        <v>66</v>
      </c>
      <c r="O69" s="607">
        <v>7</v>
      </c>
      <c r="P69" s="354" t="s">
        <v>57</v>
      </c>
      <c r="Q69" s="355" t="s">
        <v>115</v>
      </c>
      <c r="R69" s="679" t="s">
        <v>91</v>
      </c>
      <c r="S69" s="591" t="s">
        <v>62</v>
      </c>
      <c r="T69" s="610" t="s">
        <v>114</v>
      </c>
      <c r="U69" s="611"/>
      <c r="V69" s="611"/>
      <c r="W69" s="612"/>
      <c r="X69" s="603" t="s">
        <v>65</v>
      </c>
      <c r="Y69" s="354" t="s">
        <v>66</v>
      </c>
    </row>
    <row r="70" spans="1:26" ht="36" customHeight="1" x14ac:dyDescent="0.35">
      <c r="A70" s="623"/>
      <c r="B70" s="352" t="s">
        <v>93</v>
      </c>
      <c r="C70" s="353" t="str">
        <f>C59</f>
        <v>TARGET 100%</v>
      </c>
      <c r="D70" s="682"/>
      <c r="E70" s="617"/>
      <c r="F70" s="163" t="str">
        <f>F4</f>
        <v>OMSET OCT
 (1-1)</v>
      </c>
      <c r="G70" s="163" t="str">
        <f>G4</f>
        <v>OMSET PRODUK</v>
      </c>
      <c r="H70" s="353" t="s">
        <v>63</v>
      </c>
      <c r="I70" s="353" t="s">
        <v>64</v>
      </c>
      <c r="J70" s="587"/>
      <c r="K70" s="164">
        <f>K59</f>
        <v>3.2258064516129031E-2</v>
      </c>
      <c r="O70" s="608"/>
      <c r="P70" s="354" t="s">
        <v>93</v>
      </c>
      <c r="Q70" s="355" t="str">
        <f>Q59</f>
        <v>TARGET 100%</v>
      </c>
      <c r="R70" s="680"/>
      <c r="S70" s="592"/>
      <c r="T70" s="200" t="str">
        <f>T4</f>
        <v>OMSET OCT
 (1-1)</v>
      </c>
      <c r="U70" s="200" t="str">
        <f>G4</f>
        <v>OMSET PRODUK</v>
      </c>
      <c r="V70" s="355" t="s">
        <v>63</v>
      </c>
      <c r="W70" s="355" t="s">
        <v>64</v>
      </c>
      <c r="X70" s="603"/>
      <c r="Y70" s="201">
        <f>K70</f>
        <v>3.2258064516129031E-2</v>
      </c>
    </row>
    <row r="71" spans="1:26" ht="14.5" customHeight="1" x14ac:dyDescent="0.35">
      <c r="A71" s="623"/>
      <c r="B71" s="165" t="s">
        <v>96</v>
      </c>
      <c r="C71" s="166"/>
      <c r="D71" s="167"/>
      <c r="E71" s="168"/>
      <c r="F71" s="169"/>
      <c r="G71" s="170"/>
      <c r="H71" s="166"/>
      <c r="I71" s="166">
        <f t="shared" ref="I71:I77" si="60">F71-G71</f>
        <v>0</v>
      </c>
      <c r="J71" s="171">
        <f t="shared" ref="J71:J77" si="61">I71-C71</f>
        <v>0</v>
      </c>
      <c r="K71" s="172" t="e">
        <f t="shared" ref="K71:K78" si="62">I71/C71</f>
        <v>#DIV/0!</v>
      </c>
      <c r="L71" s="192" t="e">
        <f t="shared" ref="L71:L76" si="63">IF(K71&gt;120%, I71*0.55%, IF(K71&gt;100%, I71*0.45%, IF(K71&gt;80%, I71*0.35%, IF(K71&gt;60%, I71*0.2%, 0))))</f>
        <v>#DIV/0!</v>
      </c>
      <c r="M71" s="191"/>
      <c r="N71" s="191"/>
      <c r="O71" s="608"/>
      <c r="P71" s="165" t="s">
        <v>96</v>
      </c>
      <c r="Q71" s="166"/>
      <c r="R71" s="167"/>
      <c r="S71" s="168"/>
      <c r="T71" s="169"/>
      <c r="U71" s="170"/>
      <c r="V71" s="166"/>
      <c r="W71" s="166">
        <f>T71-U71</f>
        <v>0</v>
      </c>
      <c r="X71" s="171">
        <f t="shared" ref="X71:X77" si="64">W71-Q71</f>
        <v>0</v>
      </c>
      <c r="Y71" s="172" t="e">
        <f t="shared" ref="Y71:Y77" si="65">W71/Q71</f>
        <v>#DIV/0!</v>
      </c>
      <c r="Z71" s="192" t="e">
        <f t="shared" ref="Z71:Z76" si="66">IF(Y71&gt;120%, W71*0.55%, IF(Y71&gt;100%, W71*0.45%, IF(Y71&gt;80%, W71*0.35%, IF(Y71&gt;60%, W71*0.2%, 0))))</f>
        <v>#DIV/0!</v>
      </c>
    </row>
    <row r="72" spans="1:26" ht="14.5" customHeight="1" x14ac:dyDescent="0.35">
      <c r="A72" s="623"/>
      <c r="B72" s="165" t="s">
        <v>97</v>
      </c>
      <c r="C72" s="173"/>
      <c r="D72" s="167"/>
      <c r="E72" s="168"/>
      <c r="F72" s="169"/>
      <c r="G72" s="174"/>
      <c r="H72" s="173"/>
      <c r="I72" s="166">
        <f t="shared" si="60"/>
        <v>0</v>
      </c>
      <c r="J72" s="171">
        <f t="shared" si="61"/>
        <v>0</v>
      </c>
      <c r="K72" s="172" t="e">
        <f t="shared" si="62"/>
        <v>#DIV/0!</v>
      </c>
      <c r="L72" s="192" t="e">
        <f t="shared" si="63"/>
        <v>#DIV/0!</v>
      </c>
      <c r="M72" s="191"/>
      <c r="N72" s="191"/>
      <c r="O72" s="608"/>
      <c r="P72" s="165" t="s">
        <v>97</v>
      </c>
      <c r="Q72" s="173"/>
      <c r="R72" s="167"/>
      <c r="S72" s="168"/>
      <c r="T72" s="169"/>
      <c r="U72" s="174"/>
      <c r="V72" s="173"/>
      <c r="W72" s="166">
        <f t="shared" ref="W72:W77" si="67">T72-U72</f>
        <v>0</v>
      </c>
      <c r="X72" s="171">
        <f t="shared" si="64"/>
        <v>0</v>
      </c>
      <c r="Y72" s="172" t="e">
        <f t="shared" si="65"/>
        <v>#DIV/0!</v>
      </c>
      <c r="Z72" s="192" t="e">
        <f t="shared" si="66"/>
        <v>#DIV/0!</v>
      </c>
    </row>
    <row r="73" spans="1:26" ht="14.5" customHeight="1" x14ac:dyDescent="0.35">
      <c r="A73" s="623"/>
      <c r="B73" s="165" t="s">
        <v>98</v>
      </c>
      <c r="C73" s="173"/>
      <c r="D73" s="167"/>
      <c r="E73" s="168"/>
      <c r="F73" s="169"/>
      <c r="G73" s="170"/>
      <c r="H73" s="173"/>
      <c r="I73" s="166">
        <f t="shared" si="60"/>
        <v>0</v>
      </c>
      <c r="J73" s="171">
        <f t="shared" si="61"/>
        <v>0</v>
      </c>
      <c r="K73" s="172" t="e">
        <f t="shared" si="62"/>
        <v>#DIV/0!</v>
      </c>
      <c r="L73" s="192" t="e">
        <f t="shared" si="63"/>
        <v>#DIV/0!</v>
      </c>
      <c r="M73" s="191"/>
      <c r="N73" s="191"/>
      <c r="O73" s="608"/>
      <c r="P73" s="165" t="s">
        <v>98</v>
      </c>
      <c r="Q73" s="173"/>
      <c r="R73" s="167"/>
      <c r="S73" s="168"/>
      <c r="T73" s="169"/>
      <c r="U73" s="170"/>
      <c r="V73" s="173"/>
      <c r="W73" s="166">
        <f t="shared" si="67"/>
        <v>0</v>
      </c>
      <c r="X73" s="171">
        <f t="shared" si="64"/>
        <v>0</v>
      </c>
      <c r="Y73" s="172" t="e">
        <f t="shared" si="65"/>
        <v>#DIV/0!</v>
      </c>
      <c r="Z73" s="192" t="e">
        <f t="shared" si="66"/>
        <v>#DIV/0!</v>
      </c>
    </row>
    <row r="74" spans="1:26" ht="14.5" customHeight="1" x14ac:dyDescent="0.35">
      <c r="A74" s="623"/>
      <c r="B74" s="165" t="s">
        <v>99</v>
      </c>
      <c r="C74" s="173"/>
      <c r="D74" s="167"/>
      <c r="E74" s="168"/>
      <c r="F74" s="169"/>
      <c r="G74" s="170"/>
      <c r="H74" s="173"/>
      <c r="I74" s="166">
        <f t="shared" si="60"/>
        <v>0</v>
      </c>
      <c r="J74" s="171">
        <f t="shared" si="61"/>
        <v>0</v>
      </c>
      <c r="K74" s="172" t="e">
        <f t="shared" si="62"/>
        <v>#DIV/0!</v>
      </c>
      <c r="L74" s="192" t="e">
        <f t="shared" si="63"/>
        <v>#DIV/0!</v>
      </c>
      <c r="M74" s="191"/>
      <c r="N74" s="191"/>
      <c r="O74" s="608"/>
      <c r="P74" s="165" t="s">
        <v>99</v>
      </c>
      <c r="Q74" s="173"/>
      <c r="R74" s="167"/>
      <c r="S74" s="168"/>
      <c r="T74" s="169"/>
      <c r="U74" s="170"/>
      <c r="V74" s="173"/>
      <c r="W74" s="166">
        <f t="shared" si="67"/>
        <v>0</v>
      </c>
      <c r="X74" s="171">
        <f t="shared" si="64"/>
        <v>0</v>
      </c>
      <c r="Y74" s="172" t="e">
        <f t="shared" si="65"/>
        <v>#DIV/0!</v>
      </c>
      <c r="Z74" s="192" t="e">
        <f t="shared" si="66"/>
        <v>#DIV/0!</v>
      </c>
    </row>
    <row r="75" spans="1:26" ht="14.5" customHeight="1" x14ac:dyDescent="0.35">
      <c r="A75" s="623"/>
      <c r="B75" s="165" t="s">
        <v>100</v>
      </c>
      <c r="C75" s="173"/>
      <c r="D75" s="167"/>
      <c r="E75" s="168"/>
      <c r="F75" s="169"/>
      <c r="G75" s="170"/>
      <c r="H75" s="173"/>
      <c r="I75" s="166">
        <f t="shared" si="60"/>
        <v>0</v>
      </c>
      <c r="J75" s="171">
        <f t="shared" si="61"/>
        <v>0</v>
      </c>
      <c r="K75" s="172" t="e">
        <f t="shared" si="62"/>
        <v>#DIV/0!</v>
      </c>
      <c r="L75" s="192" t="e">
        <f t="shared" si="63"/>
        <v>#DIV/0!</v>
      </c>
      <c r="M75" s="191"/>
      <c r="N75" s="191"/>
      <c r="O75" s="608"/>
      <c r="P75" s="165" t="s">
        <v>100</v>
      </c>
      <c r="Q75" s="173"/>
      <c r="R75" s="167"/>
      <c r="S75" s="168"/>
      <c r="T75" s="169"/>
      <c r="U75" s="170"/>
      <c r="V75" s="173"/>
      <c r="W75" s="166">
        <f t="shared" si="67"/>
        <v>0</v>
      </c>
      <c r="X75" s="171">
        <f t="shared" si="64"/>
        <v>0</v>
      </c>
      <c r="Y75" s="172" t="e">
        <f t="shared" si="65"/>
        <v>#DIV/0!</v>
      </c>
      <c r="Z75" s="192" t="e">
        <f t="shared" si="66"/>
        <v>#DIV/0!</v>
      </c>
    </row>
    <row r="76" spans="1:26" ht="14.5" customHeight="1" x14ac:dyDescent="0.35">
      <c r="A76" s="623"/>
      <c r="B76" s="165" t="s">
        <v>101</v>
      </c>
      <c r="C76" s="173"/>
      <c r="D76" s="167"/>
      <c r="E76" s="168"/>
      <c r="F76" s="169"/>
      <c r="G76" s="170"/>
      <c r="H76" s="173"/>
      <c r="I76" s="166">
        <f t="shared" si="60"/>
        <v>0</v>
      </c>
      <c r="J76" s="171">
        <f t="shared" si="61"/>
        <v>0</v>
      </c>
      <c r="K76" s="172" t="e">
        <f t="shared" si="62"/>
        <v>#DIV/0!</v>
      </c>
      <c r="L76" s="192" t="e">
        <f t="shared" si="63"/>
        <v>#DIV/0!</v>
      </c>
      <c r="M76" s="191"/>
      <c r="N76" s="191"/>
      <c r="O76" s="608"/>
      <c r="P76" s="165" t="s">
        <v>101</v>
      </c>
      <c r="Q76" s="173"/>
      <c r="R76" s="167"/>
      <c r="S76" s="168"/>
      <c r="T76" s="169"/>
      <c r="U76" s="170"/>
      <c r="V76" s="173"/>
      <c r="W76" s="166">
        <f t="shared" si="67"/>
        <v>0</v>
      </c>
      <c r="X76" s="171">
        <f t="shared" si="64"/>
        <v>0</v>
      </c>
      <c r="Y76" s="172" t="e">
        <f t="shared" si="65"/>
        <v>#DIV/0!</v>
      </c>
      <c r="Z76" s="192" t="e">
        <f t="shared" si="66"/>
        <v>#DIV/0!</v>
      </c>
    </row>
    <row r="77" spans="1:26" ht="14.5" customHeight="1" thickBot="1" x14ac:dyDescent="0.4">
      <c r="A77" s="623"/>
      <c r="B77" s="175" t="s">
        <v>77</v>
      </c>
      <c r="C77" s="176">
        <f t="shared" ref="C77:H77" si="68">SUM(C71:C76)</f>
        <v>0</v>
      </c>
      <c r="D77" s="177">
        <f t="shared" si="68"/>
        <v>0</v>
      </c>
      <c r="E77" s="178">
        <f t="shared" si="68"/>
        <v>0</v>
      </c>
      <c r="F77" s="176">
        <f t="shared" si="68"/>
        <v>0</v>
      </c>
      <c r="G77" s="179">
        <f t="shared" si="68"/>
        <v>0</v>
      </c>
      <c r="H77" s="176">
        <f t="shared" si="68"/>
        <v>0</v>
      </c>
      <c r="I77" s="176">
        <f t="shared" si="60"/>
        <v>0</v>
      </c>
      <c r="J77" s="176">
        <f t="shared" si="61"/>
        <v>0</v>
      </c>
      <c r="K77" s="180" t="e">
        <f t="shared" si="62"/>
        <v>#DIV/0!</v>
      </c>
      <c r="L77" s="197" t="e">
        <f>SUM(L71:L76)</f>
        <v>#DIV/0!</v>
      </c>
      <c r="N77" s="191"/>
      <c r="O77" s="609"/>
      <c r="P77" s="204" t="s">
        <v>77</v>
      </c>
      <c r="Q77" s="205">
        <f t="shared" ref="Q77:V77" si="69">SUM(Q71:Q76)</f>
        <v>0</v>
      </c>
      <c r="R77" s="206">
        <f>SUM(R71:R76)</f>
        <v>0</v>
      </c>
      <c r="S77" s="207">
        <f t="shared" si="69"/>
        <v>0</v>
      </c>
      <c r="T77" s="205">
        <f t="shared" si="69"/>
        <v>0</v>
      </c>
      <c r="U77" s="208">
        <f t="shared" si="69"/>
        <v>0</v>
      </c>
      <c r="V77" s="205">
        <f t="shared" si="69"/>
        <v>0</v>
      </c>
      <c r="W77" s="205">
        <f t="shared" si="67"/>
        <v>0</v>
      </c>
      <c r="X77" s="205">
        <f t="shared" si="64"/>
        <v>0</v>
      </c>
      <c r="Y77" s="209" t="e">
        <f t="shared" si="65"/>
        <v>#DIV/0!</v>
      </c>
      <c r="Z77" s="197" t="e">
        <f>SUM(Z71:Z76)</f>
        <v>#DIV/0!</v>
      </c>
    </row>
    <row r="78" spans="1:26" ht="14.5" customHeight="1" x14ac:dyDescent="0.35">
      <c r="B78" s="181" t="str">
        <f>$B$12</f>
        <v>TARGET Q4</v>
      </c>
      <c r="C78" s="182"/>
      <c r="D78" s="676"/>
      <c r="E78" s="677"/>
      <c r="F78" s="677"/>
      <c r="G78" s="677"/>
      <c r="H78" s="678"/>
      <c r="I78" s="182">
        <f>I77</f>
        <v>0</v>
      </c>
      <c r="J78" s="182">
        <f>I78-C78</f>
        <v>0</v>
      </c>
      <c r="K78" s="183" t="e">
        <f t="shared" si="62"/>
        <v>#DIV/0!</v>
      </c>
      <c r="L78" s="192" t="e">
        <f>IF(K78&gt;=1,3500000,IF(K78&gt;=0.9,2500000,0))</f>
        <v>#DIV/0!</v>
      </c>
      <c r="P78" s="181" t="str">
        <f>$B$12</f>
        <v>TARGET Q4</v>
      </c>
      <c r="Q78" s="182"/>
      <c r="R78" s="676"/>
      <c r="S78" s="677"/>
      <c r="T78" s="677"/>
      <c r="U78" s="677"/>
      <c r="V78" s="678"/>
      <c r="W78" s="182">
        <f>W77</f>
        <v>0</v>
      </c>
      <c r="X78" s="182">
        <f>W78-Q78</f>
        <v>0</v>
      </c>
      <c r="Y78" s="183" t="e">
        <f>W78/Q78</f>
        <v>#DIV/0!</v>
      </c>
      <c r="Z78" s="192" t="e">
        <f>IF(Y78&gt;=1,3500000,IF(Y78&gt;=0.9,2500000,0))</f>
        <v>#DIV/0!</v>
      </c>
    </row>
    <row r="79" spans="1:26" ht="14.5" customHeight="1" thickBot="1" x14ac:dyDescent="0.4">
      <c r="C79" s="210" t="e">
        <f>C78/C77</f>
        <v>#DIV/0!</v>
      </c>
      <c r="Q79" s="210" t="e">
        <f>Q78/Q77</f>
        <v>#DIV/0!</v>
      </c>
    </row>
    <row r="80" spans="1:26" ht="20.149999999999999" customHeight="1" x14ac:dyDescent="0.35">
      <c r="A80" s="623">
        <v>8</v>
      </c>
      <c r="B80" s="352" t="s">
        <v>57</v>
      </c>
      <c r="C80" s="353" t="s">
        <v>37</v>
      </c>
      <c r="D80" s="681" t="s">
        <v>91</v>
      </c>
      <c r="E80" s="616" t="s">
        <v>62</v>
      </c>
      <c r="F80" s="604" t="s">
        <v>117</v>
      </c>
      <c r="G80" s="605"/>
      <c r="H80" s="605"/>
      <c r="I80" s="606"/>
      <c r="J80" s="587" t="s">
        <v>65</v>
      </c>
      <c r="K80" s="352" t="s">
        <v>66</v>
      </c>
      <c r="O80" s="607">
        <v>8</v>
      </c>
      <c r="P80" s="354" t="s">
        <v>57</v>
      </c>
      <c r="Q80" s="355" t="s">
        <v>55</v>
      </c>
      <c r="R80" s="679" t="s">
        <v>91</v>
      </c>
      <c r="S80" s="591" t="s">
        <v>62</v>
      </c>
      <c r="T80" s="610" t="s">
        <v>117</v>
      </c>
      <c r="U80" s="611"/>
      <c r="V80" s="611"/>
      <c r="W80" s="612"/>
      <c r="X80" s="603" t="s">
        <v>65</v>
      </c>
      <c r="Y80" s="354" t="s">
        <v>66</v>
      </c>
    </row>
    <row r="81" spans="1:26" ht="33" customHeight="1" x14ac:dyDescent="0.35">
      <c r="A81" s="623"/>
      <c r="B81" s="352" t="s">
        <v>93</v>
      </c>
      <c r="C81" s="353" t="str">
        <f>C70</f>
        <v>TARGET 100%</v>
      </c>
      <c r="D81" s="682"/>
      <c r="E81" s="617"/>
      <c r="F81" s="163" t="str">
        <f>F4</f>
        <v>OMSET OCT
 (1-1)</v>
      </c>
      <c r="G81" s="163" t="str">
        <f>G4</f>
        <v>OMSET PRODUK</v>
      </c>
      <c r="H81" s="353" t="s">
        <v>63</v>
      </c>
      <c r="I81" s="353" t="s">
        <v>64</v>
      </c>
      <c r="J81" s="587"/>
      <c r="K81" s="164">
        <f>K70</f>
        <v>3.2258064516129031E-2</v>
      </c>
      <c r="O81" s="608"/>
      <c r="P81" s="354" t="s">
        <v>93</v>
      </c>
      <c r="Q81" s="355" t="str">
        <f>Q70</f>
        <v>TARGET 100%</v>
      </c>
      <c r="R81" s="680"/>
      <c r="S81" s="592"/>
      <c r="T81" s="200" t="str">
        <f>T4</f>
        <v>OMSET OCT
 (1-1)</v>
      </c>
      <c r="U81" s="200" t="str">
        <f>G4</f>
        <v>OMSET PRODUK</v>
      </c>
      <c r="V81" s="355" t="s">
        <v>63</v>
      </c>
      <c r="W81" s="355" t="s">
        <v>64</v>
      </c>
      <c r="X81" s="603"/>
      <c r="Y81" s="201">
        <f>K81</f>
        <v>3.2258064516129031E-2</v>
      </c>
    </row>
    <row r="82" spans="1:26" ht="14.5" customHeight="1" x14ac:dyDescent="0.35">
      <c r="A82" s="623"/>
      <c r="B82" s="165" t="s">
        <v>96</v>
      </c>
      <c r="C82" s="166"/>
      <c r="D82" s="167"/>
      <c r="E82" s="168"/>
      <c r="F82" s="169"/>
      <c r="G82" s="170"/>
      <c r="H82" s="166"/>
      <c r="I82" s="166">
        <f>F82-G82</f>
        <v>0</v>
      </c>
      <c r="J82" s="171">
        <f t="shared" ref="J82:J88" si="70">I82-C82</f>
        <v>0</v>
      </c>
      <c r="K82" s="172" t="e">
        <f t="shared" ref="K82:K89" si="71">I82/C82</f>
        <v>#DIV/0!</v>
      </c>
      <c r="L82" s="192" t="e">
        <f t="shared" ref="L82:L87" si="72">IF(K82&gt;120%, I82*0.55%, IF(K82&gt;100%, I82*0.45%, IF(K82&gt;80%, I82*0.35%, IF(K82&gt;60%, I82*0.2%, 0))))</f>
        <v>#DIV/0!</v>
      </c>
      <c r="O82" s="608"/>
      <c r="P82" s="165" t="s">
        <v>96</v>
      </c>
      <c r="Q82" s="166"/>
      <c r="R82" s="167"/>
      <c r="S82" s="168"/>
      <c r="T82" s="169"/>
      <c r="U82" s="170"/>
      <c r="V82" s="166"/>
      <c r="W82" s="166">
        <f t="shared" ref="W82:W88" si="73">T82-U82</f>
        <v>0</v>
      </c>
      <c r="X82" s="171">
        <f t="shared" ref="X82:X87" si="74">T82-Q82</f>
        <v>0</v>
      </c>
      <c r="Y82" s="172" t="e">
        <f t="shared" ref="Y82:Y88" si="75">W82/Q82</f>
        <v>#DIV/0!</v>
      </c>
      <c r="Z82" s="192" t="e">
        <f t="shared" ref="Z82:Z87" si="76">IF(Y82&gt;120%, W82*0.55%, IF(Y82&gt;100%, W82*0.45%, IF(Y82&gt;80%, W82*0.35%, IF(Y82&gt;60%, W82*0.2%, 0))))</f>
        <v>#DIV/0!</v>
      </c>
    </row>
    <row r="83" spans="1:26" ht="16" customHeight="1" x14ac:dyDescent="0.35">
      <c r="A83" s="623"/>
      <c r="B83" s="165" t="s">
        <v>97</v>
      </c>
      <c r="C83" s="173"/>
      <c r="D83" s="167"/>
      <c r="E83" s="168"/>
      <c r="F83" s="169"/>
      <c r="G83" s="174"/>
      <c r="H83" s="173"/>
      <c r="I83" s="166">
        <f t="shared" ref="I83:I88" si="77">F83-G83</f>
        <v>0</v>
      </c>
      <c r="J83" s="171">
        <f t="shared" si="70"/>
        <v>0</v>
      </c>
      <c r="K83" s="172" t="e">
        <f t="shared" si="71"/>
        <v>#DIV/0!</v>
      </c>
      <c r="L83" s="192" t="e">
        <f t="shared" si="72"/>
        <v>#DIV/0!</v>
      </c>
      <c r="O83" s="608"/>
      <c r="P83" s="165" t="s">
        <v>97</v>
      </c>
      <c r="Q83" s="173"/>
      <c r="R83" s="167"/>
      <c r="S83" s="168"/>
      <c r="T83" s="169"/>
      <c r="U83" s="174"/>
      <c r="V83" s="173"/>
      <c r="W83" s="166">
        <f t="shared" si="73"/>
        <v>0</v>
      </c>
      <c r="X83" s="171">
        <f t="shared" si="74"/>
        <v>0</v>
      </c>
      <c r="Y83" s="172" t="e">
        <f>W83/Q83</f>
        <v>#DIV/0!</v>
      </c>
      <c r="Z83" s="192" t="e">
        <f t="shared" si="76"/>
        <v>#DIV/0!</v>
      </c>
    </row>
    <row r="84" spans="1:26" ht="14.5" customHeight="1" x14ac:dyDescent="0.35">
      <c r="A84" s="623"/>
      <c r="B84" s="165" t="s">
        <v>98</v>
      </c>
      <c r="C84" s="173"/>
      <c r="D84" s="167"/>
      <c r="E84" s="168"/>
      <c r="F84" s="169"/>
      <c r="G84" s="170"/>
      <c r="H84" s="173"/>
      <c r="I84" s="166">
        <f t="shared" si="77"/>
        <v>0</v>
      </c>
      <c r="J84" s="171">
        <f t="shared" si="70"/>
        <v>0</v>
      </c>
      <c r="K84" s="172" t="e">
        <f t="shared" si="71"/>
        <v>#DIV/0!</v>
      </c>
      <c r="L84" s="192" t="e">
        <f t="shared" si="72"/>
        <v>#DIV/0!</v>
      </c>
      <c r="O84" s="608"/>
      <c r="P84" s="165" t="s">
        <v>98</v>
      </c>
      <c r="Q84" s="173"/>
      <c r="R84" s="167"/>
      <c r="S84" s="168"/>
      <c r="T84" s="169"/>
      <c r="U84" s="170"/>
      <c r="V84" s="173"/>
      <c r="W84" s="166">
        <f t="shared" si="73"/>
        <v>0</v>
      </c>
      <c r="X84" s="171">
        <f t="shared" si="74"/>
        <v>0</v>
      </c>
      <c r="Y84" s="172" t="e">
        <f t="shared" si="75"/>
        <v>#DIV/0!</v>
      </c>
      <c r="Z84" s="192" t="e">
        <f t="shared" si="76"/>
        <v>#DIV/0!</v>
      </c>
    </row>
    <row r="85" spans="1:26" ht="14.5" customHeight="1" x14ac:dyDescent="0.35">
      <c r="A85" s="623"/>
      <c r="B85" s="165" t="s">
        <v>99</v>
      </c>
      <c r="C85" s="173"/>
      <c r="D85" s="167"/>
      <c r="E85" s="168"/>
      <c r="F85" s="169"/>
      <c r="G85" s="170"/>
      <c r="H85" s="173"/>
      <c r="I85" s="166">
        <f t="shared" si="77"/>
        <v>0</v>
      </c>
      <c r="J85" s="171">
        <f t="shared" si="70"/>
        <v>0</v>
      </c>
      <c r="K85" s="172" t="e">
        <f t="shared" si="71"/>
        <v>#DIV/0!</v>
      </c>
      <c r="L85" s="192" t="e">
        <f t="shared" si="72"/>
        <v>#DIV/0!</v>
      </c>
      <c r="O85" s="608"/>
      <c r="P85" s="165" t="s">
        <v>99</v>
      </c>
      <c r="Q85" s="173"/>
      <c r="R85" s="167"/>
      <c r="S85" s="168"/>
      <c r="T85" s="169"/>
      <c r="U85" s="170"/>
      <c r="V85" s="173"/>
      <c r="W85" s="166">
        <f t="shared" si="73"/>
        <v>0</v>
      </c>
      <c r="X85" s="171">
        <f t="shared" si="74"/>
        <v>0</v>
      </c>
      <c r="Y85" s="172" t="e">
        <f t="shared" si="75"/>
        <v>#DIV/0!</v>
      </c>
      <c r="Z85" s="192" t="e">
        <f t="shared" si="76"/>
        <v>#DIV/0!</v>
      </c>
    </row>
    <row r="86" spans="1:26" ht="14.5" customHeight="1" x14ac:dyDescent="0.35">
      <c r="A86" s="623"/>
      <c r="B86" s="165" t="s">
        <v>100</v>
      </c>
      <c r="C86" s="173"/>
      <c r="D86" s="167"/>
      <c r="E86" s="168"/>
      <c r="F86" s="169"/>
      <c r="G86" s="170"/>
      <c r="H86" s="173"/>
      <c r="I86" s="166">
        <f t="shared" si="77"/>
        <v>0</v>
      </c>
      <c r="J86" s="171">
        <f t="shared" si="70"/>
        <v>0</v>
      </c>
      <c r="K86" s="172" t="e">
        <f t="shared" si="71"/>
        <v>#DIV/0!</v>
      </c>
      <c r="L86" s="192" t="e">
        <f t="shared" si="72"/>
        <v>#DIV/0!</v>
      </c>
      <c r="O86" s="608"/>
      <c r="P86" s="165" t="s">
        <v>100</v>
      </c>
      <c r="Q86" s="173"/>
      <c r="R86" s="167"/>
      <c r="S86" s="168"/>
      <c r="T86" s="169"/>
      <c r="U86" s="170"/>
      <c r="V86" s="173"/>
      <c r="W86" s="166">
        <f t="shared" si="73"/>
        <v>0</v>
      </c>
      <c r="X86" s="171">
        <f t="shared" si="74"/>
        <v>0</v>
      </c>
      <c r="Y86" s="172" t="e">
        <f t="shared" si="75"/>
        <v>#DIV/0!</v>
      </c>
      <c r="Z86" s="192" t="e">
        <f t="shared" si="76"/>
        <v>#DIV/0!</v>
      </c>
    </row>
    <row r="87" spans="1:26" ht="14.5" customHeight="1" x14ac:dyDescent="0.35">
      <c r="A87" s="623"/>
      <c r="B87" s="165" t="s">
        <v>101</v>
      </c>
      <c r="C87" s="173"/>
      <c r="D87" s="167"/>
      <c r="E87" s="168"/>
      <c r="F87" s="169"/>
      <c r="G87" s="170"/>
      <c r="H87" s="173"/>
      <c r="I87" s="166">
        <f t="shared" si="77"/>
        <v>0</v>
      </c>
      <c r="J87" s="171">
        <f t="shared" si="70"/>
        <v>0</v>
      </c>
      <c r="K87" s="172" t="e">
        <f t="shared" si="71"/>
        <v>#DIV/0!</v>
      </c>
      <c r="L87" s="192" t="e">
        <f t="shared" si="72"/>
        <v>#DIV/0!</v>
      </c>
      <c r="O87" s="608"/>
      <c r="P87" s="165" t="s">
        <v>101</v>
      </c>
      <c r="Q87" s="173"/>
      <c r="R87" s="167"/>
      <c r="S87" s="168"/>
      <c r="T87" s="169"/>
      <c r="U87" s="170"/>
      <c r="V87" s="173"/>
      <c r="W87" s="166">
        <f t="shared" si="73"/>
        <v>0</v>
      </c>
      <c r="X87" s="171">
        <f t="shared" si="74"/>
        <v>0</v>
      </c>
      <c r="Y87" s="172" t="e">
        <f>W87/Q87</f>
        <v>#DIV/0!</v>
      </c>
      <c r="Z87" s="192" t="e">
        <f t="shared" si="76"/>
        <v>#DIV/0!</v>
      </c>
    </row>
    <row r="88" spans="1:26" ht="14.5" customHeight="1" thickBot="1" x14ac:dyDescent="0.4">
      <c r="A88" s="623"/>
      <c r="B88" s="175" t="s">
        <v>77</v>
      </c>
      <c r="C88" s="176">
        <f t="shared" ref="C88:H88" si="78">SUM(C82:C87)</f>
        <v>0</v>
      </c>
      <c r="D88" s="177">
        <f t="shared" si="78"/>
        <v>0</v>
      </c>
      <c r="E88" s="178">
        <f t="shared" si="78"/>
        <v>0</v>
      </c>
      <c r="F88" s="176">
        <f t="shared" si="78"/>
        <v>0</v>
      </c>
      <c r="G88" s="179">
        <f t="shared" si="78"/>
        <v>0</v>
      </c>
      <c r="H88" s="176">
        <f t="shared" si="78"/>
        <v>0</v>
      </c>
      <c r="I88" s="176">
        <f t="shared" si="77"/>
        <v>0</v>
      </c>
      <c r="J88" s="176">
        <f t="shared" si="70"/>
        <v>0</v>
      </c>
      <c r="K88" s="180" t="e">
        <f>I88/C88</f>
        <v>#DIV/0!</v>
      </c>
      <c r="L88" s="197" t="e">
        <f>SUM(L82:L87)</f>
        <v>#DIV/0!</v>
      </c>
      <c r="O88" s="609"/>
      <c r="P88" s="204" t="s">
        <v>77</v>
      </c>
      <c r="Q88" s="205">
        <f t="shared" ref="Q88:V88" si="79">SUM(Q82:Q87)</f>
        <v>0</v>
      </c>
      <c r="R88" s="206">
        <f>SUM(R82:R87)</f>
        <v>0</v>
      </c>
      <c r="S88" s="207">
        <f t="shared" si="79"/>
        <v>0</v>
      </c>
      <c r="T88" s="205">
        <f t="shared" si="79"/>
        <v>0</v>
      </c>
      <c r="U88" s="208">
        <f t="shared" si="79"/>
        <v>0</v>
      </c>
      <c r="V88" s="205">
        <f t="shared" si="79"/>
        <v>0</v>
      </c>
      <c r="W88" s="205">
        <f t="shared" si="73"/>
        <v>0</v>
      </c>
      <c r="X88" s="205">
        <f>W88-Q88</f>
        <v>0</v>
      </c>
      <c r="Y88" s="209" t="e">
        <f t="shared" si="75"/>
        <v>#DIV/0!</v>
      </c>
      <c r="Z88" s="197" t="e">
        <f>SUM(Z82:Z87)</f>
        <v>#DIV/0!</v>
      </c>
    </row>
    <row r="89" spans="1:26" x14ac:dyDescent="0.35">
      <c r="B89" s="181" t="str">
        <f>$B$12</f>
        <v>TARGET Q4</v>
      </c>
      <c r="C89" s="182"/>
      <c r="D89" s="676"/>
      <c r="E89" s="677"/>
      <c r="F89" s="677"/>
      <c r="G89" s="677"/>
      <c r="H89" s="678"/>
      <c r="I89" s="182">
        <f>I88</f>
        <v>0</v>
      </c>
      <c r="J89" s="182">
        <f>I89-C89</f>
        <v>0</v>
      </c>
      <c r="K89" s="183" t="e">
        <f t="shared" si="71"/>
        <v>#DIV/0!</v>
      </c>
      <c r="L89" s="192" t="e">
        <f>IF(K89&gt;=1,3500000,IF(K89&gt;=0.9,2500000,0))</f>
        <v>#DIV/0!</v>
      </c>
      <c r="P89" s="181" t="str">
        <f>$B$12</f>
        <v>TARGET Q4</v>
      </c>
      <c r="Q89" s="182"/>
      <c r="R89" s="676"/>
      <c r="S89" s="677"/>
      <c r="T89" s="677"/>
      <c r="U89" s="677"/>
      <c r="V89" s="678"/>
      <c r="W89" s="182">
        <f>W88</f>
        <v>0</v>
      </c>
      <c r="X89" s="182">
        <f>W89-Q89</f>
        <v>0</v>
      </c>
      <c r="Y89" s="183" t="e">
        <f>W89/Q89</f>
        <v>#DIV/0!</v>
      </c>
      <c r="Z89" s="192" t="e">
        <f>IF(Y89&gt;=1,3500000,IF(Y89&gt;=0.9,2500000,0))</f>
        <v>#DIV/0!</v>
      </c>
    </row>
    <row r="90" spans="1:26" ht="15" thickBot="1" x14ac:dyDescent="0.4">
      <c r="C90" s="210" t="e">
        <f>C89/C88</f>
        <v>#DIV/0!</v>
      </c>
      <c r="Q90" s="210" t="e">
        <f>Q89/Q88</f>
        <v>#DIV/0!</v>
      </c>
    </row>
    <row r="91" spans="1:26" ht="20.5" customHeight="1" x14ac:dyDescent="0.35">
      <c r="A91" s="624">
        <v>9</v>
      </c>
      <c r="B91" s="352" t="s">
        <v>57</v>
      </c>
      <c r="C91" s="353" t="s">
        <v>43</v>
      </c>
      <c r="D91" s="681" t="s">
        <v>91</v>
      </c>
      <c r="E91" s="616" t="s">
        <v>62</v>
      </c>
      <c r="F91" s="604" t="s">
        <v>119</v>
      </c>
      <c r="G91" s="605"/>
      <c r="H91" s="605"/>
      <c r="I91" s="606"/>
      <c r="J91" s="587" t="s">
        <v>65</v>
      </c>
      <c r="K91" s="352" t="s">
        <v>66</v>
      </c>
      <c r="O91" s="607">
        <v>9</v>
      </c>
      <c r="P91" s="354" t="s">
        <v>57</v>
      </c>
      <c r="Q91" s="355"/>
      <c r="R91" s="679" t="s">
        <v>91</v>
      </c>
      <c r="S91" s="591" t="s">
        <v>62</v>
      </c>
      <c r="T91" s="610" t="s">
        <v>119</v>
      </c>
      <c r="U91" s="611"/>
      <c r="V91" s="611"/>
      <c r="W91" s="612"/>
      <c r="X91" s="603" t="s">
        <v>65</v>
      </c>
      <c r="Y91" s="354" t="s">
        <v>66</v>
      </c>
    </row>
    <row r="92" spans="1:26" ht="33.65" customHeight="1" x14ac:dyDescent="0.35">
      <c r="A92" s="625"/>
      <c r="B92" s="352" t="s">
        <v>93</v>
      </c>
      <c r="C92" s="353" t="str">
        <f>C81</f>
        <v>TARGET 100%</v>
      </c>
      <c r="D92" s="682"/>
      <c r="E92" s="617"/>
      <c r="F92" s="163" t="str">
        <f>F4</f>
        <v>OMSET OCT
 (1-1)</v>
      </c>
      <c r="G92" s="163" t="str">
        <f>G4</f>
        <v>OMSET PRODUK</v>
      </c>
      <c r="H92" s="353" t="s">
        <v>63</v>
      </c>
      <c r="I92" s="353" t="s">
        <v>64</v>
      </c>
      <c r="J92" s="587"/>
      <c r="K92" s="164">
        <f>K81</f>
        <v>3.2258064516129031E-2</v>
      </c>
      <c r="O92" s="608"/>
      <c r="P92" s="354" t="s">
        <v>93</v>
      </c>
      <c r="Q92" s="355" t="str">
        <f>Q81</f>
        <v>TARGET 100%</v>
      </c>
      <c r="R92" s="680"/>
      <c r="S92" s="592"/>
      <c r="T92" s="200" t="str">
        <f>T15</f>
        <v>OMSET OCT
 (1-1)</v>
      </c>
      <c r="U92" s="200" t="str">
        <f>G4</f>
        <v>OMSET PRODUK</v>
      </c>
      <c r="V92" s="355" t="s">
        <v>63</v>
      </c>
      <c r="W92" s="355" t="s">
        <v>64</v>
      </c>
      <c r="X92" s="603"/>
      <c r="Y92" s="201">
        <f>K92</f>
        <v>3.2258064516129031E-2</v>
      </c>
    </row>
    <row r="93" spans="1:26" ht="14.5" customHeight="1" x14ac:dyDescent="0.35">
      <c r="A93" s="625"/>
      <c r="B93" s="165" t="s">
        <v>96</v>
      </c>
      <c r="C93" s="166"/>
      <c r="D93" s="167"/>
      <c r="E93" s="168"/>
      <c r="F93" s="169"/>
      <c r="G93" s="170"/>
      <c r="H93" s="166"/>
      <c r="I93" s="166">
        <f t="shared" ref="I93:I99" si="80">F93-G93</f>
        <v>0</v>
      </c>
      <c r="J93" s="171">
        <f t="shared" ref="J93:J99" si="81">I93-C93</f>
        <v>0</v>
      </c>
      <c r="K93" s="172" t="e">
        <f t="shared" ref="K93:K100" si="82">I93/C93</f>
        <v>#DIV/0!</v>
      </c>
      <c r="L93" s="192" t="e">
        <f t="shared" ref="L93:L98" si="83">IF(K93&gt;120%, I93*0.55%, IF(K93&gt;100%, I93*0.45%, IF(K93&gt;80%, I93*0.35%, IF(K93&gt;60%, I93*0.2%, 0))))</f>
        <v>#DIV/0!</v>
      </c>
      <c r="O93" s="608"/>
      <c r="P93" s="165" t="s">
        <v>96</v>
      </c>
      <c r="Q93" s="166"/>
      <c r="R93" s="167"/>
      <c r="S93" s="168"/>
      <c r="T93" s="169"/>
      <c r="U93" s="170"/>
      <c r="V93" s="166"/>
      <c r="W93" s="166">
        <f t="shared" ref="W93:W99" si="84">T93-U93</f>
        <v>0</v>
      </c>
      <c r="X93" s="171">
        <f t="shared" ref="X93:X98" si="85">T93-Q93</f>
        <v>0</v>
      </c>
      <c r="Y93" s="172" t="e">
        <f t="shared" ref="Y93:Y99" si="86">W93/Q93</f>
        <v>#DIV/0!</v>
      </c>
      <c r="Z93" s="192" t="e">
        <f t="shared" ref="Z93:Z98" si="87">IF(Y93&gt;120%, W93*0.55%, IF(Y93&gt;100%, W93*0.45%, IF(Y93&gt;80%, W93*0.35%, IF(Y93&gt;60%, W93*0.2%, 0))))</f>
        <v>#DIV/0!</v>
      </c>
    </row>
    <row r="94" spans="1:26" ht="14.5" customHeight="1" x14ac:dyDescent="0.35">
      <c r="A94" s="625"/>
      <c r="B94" s="165" t="s">
        <v>97</v>
      </c>
      <c r="C94" s="173"/>
      <c r="D94" s="167"/>
      <c r="E94" s="168"/>
      <c r="F94" s="169"/>
      <c r="G94" s="174"/>
      <c r="H94" s="173"/>
      <c r="I94" s="166">
        <f t="shared" si="80"/>
        <v>0</v>
      </c>
      <c r="J94" s="171">
        <f t="shared" si="81"/>
        <v>0</v>
      </c>
      <c r="K94" s="172" t="e">
        <f t="shared" si="82"/>
        <v>#DIV/0!</v>
      </c>
      <c r="L94" s="192" t="e">
        <f t="shared" si="83"/>
        <v>#DIV/0!</v>
      </c>
      <c r="O94" s="608"/>
      <c r="P94" s="165" t="s">
        <v>97</v>
      </c>
      <c r="Q94" s="173"/>
      <c r="R94" s="167"/>
      <c r="S94" s="168"/>
      <c r="T94" s="169"/>
      <c r="U94" s="174"/>
      <c r="V94" s="173"/>
      <c r="W94" s="166">
        <f t="shared" si="84"/>
        <v>0</v>
      </c>
      <c r="X94" s="171">
        <f t="shared" si="85"/>
        <v>0</v>
      </c>
      <c r="Y94" s="172" t="e">
        <f t="shared" si="86"/>
        <v>#DIV/0!</v>
      </c>
      <c r="Z94" s="192" t="e">
        <f t="shared" si="87"/>
        <v>#DIV/0!</v>
      </c>
    </row>
    <row r="95" spans="1:26" ht="14.5" customHeight="1" x14ac:dyDescent="0.35">
      <c r="A95" s="625"/>
      <c r="B95" s="165" t="s">
        <v>98</v>
      </c>
      <c r="C95" s="173"/>
      <c r="D95" s="167"/>
      <c r="E95" s="168"/>
      <c r="F95" s="169"/>
      <c r="G95" s="170"/>
      <c r="H95" s="173"/>
      <c r="I95" s="166">
        <f>F95-G95</f>
        <v>0</v>
      </c>
      <c r="J95" s="171">
        <f t="shared" si="81"/>
        <v>0</v>
      </c>
      <c r="K95" s="172" t="e">
        <f t="shared" si="82"/>
        <v>#DIV/0!</v>
      </c>
      <c r="L95" s="192" t="e">
        <f t="shared" si="83"/>
        <v>#DIV/0!</v>
      </c>
      <c r="O95" s="608"/>
      <c r="P95" s="165" t="s">
        <v>98</v>
      </c>
      <c r="Q95" s="173"/>
      <c r="R95" s="167"/>
      <c r="S95" s="168"/>
      <c r="T95" s="169"/>
      <c r="U95" s="170"/>
      <c r="V95" s="173"/>
      <c r="W95" s="166">
        <f t="shared" si="84"/>
        <v>0</v>
      </c>
      <c r="X95" s="171">
        <f t="shared" si="85"/>
        <v>0</v>
      </c>
      <c r="Y95" s="172" t="e">
        <f t="shared" si="86"/>
        <v>#DIV/0!</v>
      </c>
      <c r="Z95" s="192" t="e">
        <f t="shared" si="87"/>
        <v>#DIV/0!</v>
      </c>
    </row>
    <row r="96" spans="1:26" ht="14.5" customHeight="1" x14ac:dyDescent="0.35">
      <c r="A96" s="625"/>
      <c r="B96" s="165" t="s">
        <v>99</v>
      </c>
      <c r="C96" s="173"/>
      <c r="D96" s="167"/>
      <c r="E96" s="168"/>
      <c r="F96" s="169"/>
      <c r="G96" s="170"/>
      <c r="H96" s="173"/>
      <c r="I96" s="166">
        <f>F96-G96</f>
        <v>0</v>
      </c>
      <c r="J96" s="171">
        <f t="shared" si="81"/>
        <v>0</v>
      </c>
      <c r="K96" s="172" t="e">
        <f t="shared" si="82"/>
        <v>#DIV/0!</v>
      </c>
      <c r="L96" s="192" t="e">
        <f t="shared" si="83"/>
        <v>#DIV/0!</v>
      </c>
      <c r="O96" s="608"/>
      <c r="P96" s="165" t="s">
        <v>99</v>
      </c>
      <c r="Q96" s="173"/>
      <c r="R96" s="167"/>
      <c r="S96" s="168"/>
      <c r="T96" s="169"/>
      <c r="U96" s="170"/>
      <c r="V96" s="173"/>
      <c r="W96" s="166">
        <f t="shared" si="84"/>
        <v>0</v>
      </c>
      <c r="X96" s="171">
        <f t="shared" si="85"/>
        <v>0</v>
      </c>
      <c r="Y96" s="172" t="e">
        <f t="shared" si="86"/>
        <v>#DIV/0!</v>
      </c>
      <c r="Z96" s="192" t="e">
        <f t="shared" si="87"/>
        <v>#DIV/0!</v>
      </c>
    </row>
    <row r="97" spans="1:27" ht="14.5" customHeight="1" x14ac:dyDescent="0.35">
      <c r="A97" s="625"/>
      <c r="B97" s="165" t="s">
        <v>100</v>
      </c>
      <c r="C97" s="173"/>
      <c r="D97" s="167"/>
      <c r="E97" s="168"/>
      <c r="F97" s="169"/>
      <c r="G97" s="170"/>
      <c r="H97" s="173"/>
      <c r="I97" s="166">
        <f t="shared" si="80"/>
        <v>0</v>
      </c>
      <c r="J97" s="171">
        <f t="shared" si="81"/>
        <v>0</v>
      </c>
      <c r="K97" s="172" t="e">
        <f t="shared" si="82"/>
        <v>#DIV/0!</v>
      </c>
      <c r="L97" s="192" t="e">
        <f t="shared" si="83"/>
        <v>#DIV/0!</v>
      </c>
      <c r="O97" s="608"/>
      <c r="P97" s="165" t="s">
        <v>100</v>
      </c>
      <c r="Q97" s="173"/>
      <c r="R97" s="167"/>
      <c r="S97" s="168"/>
      <c r="T97" s="169"/>
      <c r="U97" s="170"/>
      <c r="V97" s="173"/>
      <c r="W97" s="166">
        <f t="shared" si="84"/>
        <v>0</v>
      </c>
      <c r="X97" s="171">
        <f t="shared" si="85"/>
        <v>0</v>
      </c>
      <c r="Y97" s="172" t="e">
        <f t="shared" si="86"/>
        <v>#DIV/0!</v>
      </c>
      <c r="Z97" s="192" t="e">
        <f t="shared" si="87"/>
        <v>#DIV/0!</v>
      </c>
    </row>
    <row r="98" spans="1:27" ht="14.5" customHeight="1" x14ac:dyDescent="0.35">
      <c r="A98" s="625"/>
      <c r="B98" s="165" t="s">
        <v>101</v>
      </c>
      <c r="C98" s="173"/>
      <c r="D98" s="167"/>
      <c r="E98" s="168"/>
      <c r="F98" s="169"/>
      <c r="G98" s="170"/>
      <c r="H98" s="173"/>
      <c r="I98" s="166">
        <f t="shared" si="80"/>
        <v>0</v>
      </c>
      <c r="J98" s="171">
        <f t="shared" si="81"/>
        <v>0</v>
      </c>
      <c r="K98" s="172" t="e">
        <f t="shared" si="82"/>
        <v>#DIV/0!</v>
      </c>
      <c r="L98" s="192" t="e">
        <f t="shared" si="83"/>
        <v>#DIV/0!</v>
      </c>
      <c r="O98" s="608"/>
      <c r="P98" s="165" t="s">
        <v>101</v>
      </c>
      <c r="Q98" s="173"/>
      <c r="R98" s="167"/>
      <c r="S98" s="168"/>
      <c r="T98" s="169"/>
      <c r="U98" s="170"/>
      <c r="V98" s="173"/>
      <c r="W98" s="166">
        <f t="shared" si="84"/>
        <v>0</v>
      </c>
      <c r="X98" s="171">
        <f t="shared" si="85"/>
        <v>0</v>
      </c>
      <c r="Y98" s="172" t="e">
        <f t="shared" si="86"/>
        <v>#DIV/0!</v>
      </c>
      <c r="Z98" s="192" t="e">
        <f t="shared" si="87"/>
        <v>#DIV/0!</v>
      </c>
    </row>
    <row r="99" spans="1:27" s="187" customFormat="1" ht="14.5" customHeight="1" thickBot="1" x14ac:dyDescent="0.4">
      <c r="A99" s="625"/>
      <c r="B99" s="175" t="s">
        <v>77</v>
      </c>
      <c r="C99" s="176">
        <f t="shared" ref="C99:H99" si="88">SUM(C93:C98)</f>
        <v>0</v>
      </c>
      <c r="D99" s="177">
        <f t="shared" si="88"/>
        <v>0</v>
      </c>
      <c r="E99" s="178">
        <f t="shared" si="88"/>
        <v>0</v>
      </c>
      <c r="F99" s="176">
        <f t="shared" si="88"/>
        <v>0</v>
      </c>
      <c r="G99" s="179">
        <f t="shared" si="88"/>
        <v>0</v>
      </c>
      <c r="H99" s="176">
        <f t="shared" si="88"/>
        <v>0</v>
      </c>
      <c r="I99" s="176">
        <f t="shared" si="80"/>
        <v>0</v>
      </c>
      <c r="J99" s="176">
        <f t="shared" si="81"/>
        <v>0</v>
      </c>
      <c r="K99" s="180" t="e">
        <f t="shared" si="82"/>
        <v>#DIV/0!</v>
      </c>
      <c r="L99" s="197" t="e">
        <f>SUM(L93:L98)</f>
        <v>#DIV/0!</v>
      </c>
      <c r="M99" s="217"/>
      <c r="O99" s="609"/>
      <c r="P99" s="204" t="s">
        <v>77</v>
      </c>
      <c r="Q99" s="205">
        <f t="shared" ref="Q99:V99" si="89">SUM(Q93:Q98)</f>
        <v>0</v>
      </c>
      <c r="R99" s="206">
        <f t="shared" si="89"/>
        <v>0</v>
      </c>
      <c r="S99" s="207">
        <f>SUM(S93:S98)</f>
        <v>0</v>
      </c>
      <c r="T99" s="205">
        <f t="shared" si="89"/>
        <v>0</v>
      </c>
      <c r="U99" s="208">
        <f t="shared" si="89"/>
        <v>0</v>
      </c>
      <c r="V99" s="205">
        <f t="shared" si="89"/>
        <v>0</v>
      </c>
      <c r="W99" s="205">
        <f t="shared" si="84"/>
        <v>0</v>
      </c>
      <c r="X99" s="205">
        <f>W99-Q99</f>
        <v>0</v>
      </c>
      <c r="Y99" s="209" t="e">
        <f t="shared" si="86"/>
        <v>#DIV/0!</v>
      </c>
      <c r="Z99" s="197" t="e">
        <f>SUM(Z93:Z98)</f>
        <v>#DIV/0!</v>
      </c>
      <c r="AA99" s="218"/>
    </row>
    <row r="100" spans="1:27" ht="15" customHeight="1" x14ac:dyDescent="0.35">
      <c r="A100" s="219"/>
      <c r="B100" s="181" t="str">
        <f>$B$12</f>
        <v>TARGET Q4</v>
      </c>
      <c r="C100" s="182"/>
      <c r="D100" s="676"/>
      <c r="E100" s="677"/>
      <c r="F100" s="677"/>
      <c r="G100" s="677"/>
      <c r="H100" s="678"/>
      <c r="I100" s="182">
        <f>I99</f>
        <v>0</v>
      </c>
      <c r="J100" s="182">
        <f>I100-C100</f>
        <v>0</v>
      </c>
      <c r="K100" s="183" t="e">
        <f t="shared" si="82"/>
        <v>#DIV/0!</v>
      </c>
      <c r="L100" s="192" t="e">
        <f>IF(K100&gt;=1,3500000,IF(K100&gt;=0.9,2500000,0))</f>
        <v>#DIV/0!</v>
      </c>
      <c r="P100" s="181" t="str">
        <f>$B$12</f>
        <v>TARGET Q4</v>
      </c>
      <c r="Q100" s="182"/>
      <c r="R100" s="676"/>
      <c r="S100" s="677"/>
      <c r="T100" s="677"/>
      <c r="U100" s="677"/>
      <c r="V100" s="678"/>
      <c r="W100" s="182">
        <f>W99</f>
        <v>0</v>
      </c>
      <c r="X100" s="182">
        <f>W100-Q100</f>
        <v>0</v>
      </c>
      <c r="Y100" s="183" t="e">
        <f>W100/Q100</f>
        <v>#DIV/0!</v>
      </c>
      <c r="Z100" s="192" t="e">
        <f>IF(Y100&gt;=1,3500000,IF(Y100&gt;=0.9,2500000,0))</f>
        <v>#DIV/0!</v>
      </c>
    </row>
    <row r="101" spans="1:27" ht="15" thickBot="1" x14ac:dyDescent="0.4">
      <c r="C101" s="210" t="e">
        <f>C100/C99</f>
        <v>#DIV/0!</v>
      </c>
      <c r="Q101" s="210" t="e">
        <f>Q100/Q99</f>
        <v>#DIV/0!</v>
      </c>
    </row>
    <row r="102" spans="1:27" ht="17.149999999999999" customHeight="1" x14ac:dyDescent="0.35">
      <c r="A102" s="623">
        <v>10</v>
      </c>
      <c r="B102" s="352" t="s">
        <v>57</v>
      </c>
      <c r="C102" s="353"/>
      <c r="D102" s="681" t="s">
        <v>91</v>
      </c>
      <c r="E102" s="616" t="s">
        <v>62</v>
      </c>
      <c r="F102" s="604" t="s">
        <v>121</v>
      </c>
      <c r="G102" s="605"/>
      <c r="H102" s="605"/>
      <c r="I102" s="606"/>
      <c r="J102" s="587" t="s">
        <v>65</v>
      </c>
      <c r="K102" s="352" t="s">
        <v>66</v>
      </c>
      <c r="O102" s="613">
        <v>10</v>
      </c>
      <c r="P102" s="354" t="s">
        <v>57</v>
      </c>
      <c r="Q102" s="355"/>
      <c r="R102" s="679" t="s">
        <v>91</v>
      </c>
      <c r="S102" s="591" t="s">
        <v>62</v>
      </c>
      <c r="T102" s="610" t="s">
        <v>121</v>
      </c>
      <c r="U102" s="611"/>
      <c r="V102" s="611"/>
      <c r="W102" s="612"/>
      <c r="X102" s="603" t="s">
        <v>65</v>
      </c>
      <c r="Y102" s="354" t="s">
        <v>66</v>
      </c>
    </row>
    <row r="103" spans="1:27" ht="37.5" customHeight="1" x14ac:dyDescent="0.35">
      <c r="A103" s="623"/>
      <c r="B103" s="352" t="s">
        <v>93</v>
      </c>
      <c r="C103" s="353" t="str">
        <f>C92</f>
        <v>TARGET 100%</v>
      </c>
      <c r="D103" s="682"/>
      <c r="E103" s="617"/>
      <c r="F103" s="163" t="str">
        <f>F4</f>
        <v>OMSET OCT
 (1-1)</v>
      </c>
      <c r="G103" s="163" t="str">
        <f>G4</f>
        <v>OMSET PRODUK</v>
      </c>
      <c r="H103" s="353" t="s">
        <v>63</v>
      </c>
      <c r="I103" s="353" t="s">
        <v>64</v>
      </c>
      <c r="J103" s="587"/>
      <c r="K103" s="164">
        <f>K92</f>
        <v>3.2258064516129031E-2</v>
      </c>
      <c r="O103" s="614"/>
      <c r="P103" s="354" t="s">
        <v>93</v>
      </c>
      <c r="Q103" s="355" t="str">
        <f>Q92</f>
        <v>TARGET 100%</v>
      </c>
      <c r="R103" s="680"/>
      <c r="S103" s="592"/>
      <c r="T103" s="200" t="str">
        <f>T4</f>
        <v>OMSET OCT
 (1-1)</v>
      </c>
      <c r="U103" s="200" t="str">
        <f>G4</f>
        <v>OMSET PRODUK</v>
      </c>
      <c r="V103" s="355" t="s">
        <v>63</v>
      </c>
      <c r="W103" s="355" t="s">
        <v>64</v>
      </c>
      <c r="X103" s="603"/>
      <c r="Y103" s="201">
        <f>K103</f>
        <v>3.2258064516129031E-2</v>
      </c>
    </row>
    <row r="104" spans="1:27" ht="14.5" customHeight="1" x14ac:dyDescent="0.35">
      <c r="A104" s="623"/>
      <c r="B104" s="165" t="s">
        <v>96</v>
      </c>
      <c r="C104" s="166"/>
      <c r="D104" s="167"/>
      <c r="E104" s="168"/>
      <c r="F104" s="169"/>
      <c r="G104" s="170"/>
      <c r="H104" s="166"/>
      <c r="I104" s="166">
        <f t="shared" ref="I104:I110" si="90">F104-G104</f>
        <v>0</v>
      </c>
      <c r="J104" s="171">
        <f t="shared" ref="J104:J110" si="91">I104-C104</f>
        <v>0</v>
      </c>
      <c r="K104" s="172" t="e">
        <f>I104/C104</f>
        <v>#DIV/0!</v>
      </c>
      <c r="L104" s="192" t="e">
        <f t="shared" ref="L104:L109" si="92">IF(K104&gt;120%, I104*0.55%, IF(K104&gt;100%, I104*0.45%, IF(K104&gt;80%, I104*0.35%, IF(K104&gt;60%, I104*0.2%, 0))))</f>
        <v>#DIV/0!</v>
      </c>
      <c r="O104" s="614"/>
      <c r="P104" s="165" t="s">
        <v>96</v>
      </c>
      <c r="Q104" s="166"/>
      <c r="R104" s="167"/>
      <c r="S104" s="168"/>
      <c r="T104" s="169"/>
      <c r="U104" s="170"/>
      <c r="V104" s="166"/>
      <c r="W104" s="166">
        <f t="shared" ref="W104:W110" si="93">T104-U104</f>
        <v>0</v>
      </c>
      <c r="X104" s="171">
        <f t="shared" ref="X104:X109" si="94">T104-Q104</f>
        <v>0</v>
      </c>
      <c r="Y104" s="172" t="e">
        <f t="shared" ref="Y104:Y111" si="95">W104/Q104</f>
        <v>#DIV/0!</v>
      </c>
      <c r="Z104" s="192" t="e">
        <f t="shared" ref="Z104:Z109" si="96">IF(Y104&gt;120%, W104*0.55%, IF(Y104&gt;100%, W104*0.45%, IF(Y104&gt;80%, W104*0.35%, IF(Y104&gt;60%, W104*0.2%, 0))))</f>
        <v>#DIV/0!</v>
      </c>
    </row>
    <row r="105" spans="1:27" ht="14.5" customHeight="1" x14ac:dyDescent="0.35">
      <c r="A105" s="623"/>
      <c r="B105" s="165" t="s">
        <v>97</v>
      </c>
      <c r="C105" s="173"/>
      <c r="D105" s="167"/>
      <c r="E105" s="168"/>
      <c r="F105" s="169"/>
      <c r="G105" s="174"/>
      <c r="H105" s="173"/>
      <c r="I105" s="166">
        <f t="shared" si="90"/>
        <v>0</v>
      </c>
      <c r="J105" s="171">
        <f t="shared" si="91"/>
        <v>0</v>
      </c>
      <c r="K105" s="172" t="e">
        <f>I105/C105</f>
        <v>#DIV/0!</v>
      </c>
      <c r="L105" s="192" t="e">
        <f t="shared" si="92"/>
        <v>#DIV/0!</v>
      </c>
      <c r="O105" s="614"/>
      <c r="P105" s="165" t="s">
        <v>97</v>
      </c>
      <c r="Q105" s="173"/>
      <c r="R105" s="167"/>
      <c r="S105" s="168"/>
      <c r="T105" s="169"/>
      <c r="U105" s="174"/>
      <c r="V105" s="173"/>
      <c r="W105" s="166">
        <f>T105-U105</f>
        <v>0</v>
      </c>
      <c r="X105" s="171">
        <f>T105-Q105</f>
        <v>0</v>
      </c>
      <c r="Y105" s="172" t="e">
        <f t="shared" si="95"/>
        <v>#DIV/0!</v>
      </c>
      <c r="Z105" s="192" t="e">
        <f t="shared" si="96"/>
        <v>#DIV/0!</v>
      </c>
    </row>
    <row r="106" spans="1:27" ht="14.5" customHeight="1" x14ac:dyDescent="0.35">
      <c r="A106" s="623"/>
      <c r="B106" s="165" t="s">
        <v>98</v>
      </c>
      <c r="C106" s="173"/>
      <c r="D106" s="167"/>
      <c r="E106" s="168"/>
      <c r="F106" s="169"/>
      <c r="G106" s="170"/>
      <c r="H106" s="173"/>
      <c r="I106" s="166">
        <f t="shared" si="90"/>
        <v>0</v>
      </c>
      <c r="J106" s="171">
        <f t="shared" si="91"/>
        <v>0</v>
      </c>
      <c r="K106" s="172" t="e">
        <f t="shared" ref="K106:K109" si="97">I106/C106</f>
        <v>#DIV/0!</v>
      </c>
      <c r="L106" s="192" t="e">
        <f t="shared" si="92"/>
        <v>#DIV/0!</v>
      </c>
      <c r="O106" s="614"/>
      <c r="P106" s="165" t="s">
        <v>98</v>
      </c>
      <c r="Q106" s="173"/>
      <c r="R106" s="167"/>
      <c r="S106" s="168"/>
      <c r="T106" s="169"/>
      <c r="U106" s="170"/>
      <c r="V106" s="173"/>
      <c r="W106" s="166">
        <f t="shared" si="93"/>
        <v>0</v>
      </c>
      <c r="X106" s="171">
        <f t="shared" si="94"/>
        <v>0</v>
      </c>
      <c r="Y106" s="172" t="e">
        <f t="shared" si="95"/>
        <v>#DIV/0!</v>
      </c>
      <c r="Z106" s="192" t="e">
        <f t="shared" si="96"/>
        <v>#DIV/0!</v>
      </c>
    </row>
    <row r="107" spans="1:27" ht="14.5" customHeight="1" x14ac:dyDescent="0.35">
      <c r="A107" s="623"/>
      <c r="B107" s="165" t="s">
        <v>99</v>
      </c>
      <c r="C107" s="173"/>
      <c r="D107" s="167"/>
      <c r="E107" s="168"/>
      <c r="F107" s="169"/>
      <c r="G107" s="170"/>
      <c r="H107" s="173"/>
      <c r="I107" s="166">
        <f t="shared" si="90"/>
        <v>0</v>
      </c>
      <c r="J107" s="171">
        <f t="shared" si="91"/>
        <v>0</v>
      </c>
      <c r="K107" s="172" t="e">
        <f t="shared" si="97"/>
        <v>#DIV/0!</v>
      </c>
      <c r="L107" s="192" t="e">
        <f t="shared" si="92"/>
        <v>#DIV/0!</v>
      </c>
      <c r="O107" s="614"/>
      <c r="P107" s="165" t="s">
        <v>99</v>
      </c>
      <c r="Q107" s="173"/>
      <c r="R107" s="167"/>
      <c r="S107" s="168"/>
      <c r="T107" s="169"/>
      <c r="U107" s="170"/>
      <c r="V107" s="173"/>
      <c r="W107" s="166">
        <f t="shared" si="93"/>
        <v>0</v>
      </c>
      <c r="X107" s="171">
        <f t="shared" si="94"/>
        <v>0</v>
      </c>
      <c r="Y107" s="172" t="e">
        <f t="shared" si="95"/>
        <v>#DIV/0!</v>
      </c>
      <c r="Z107" s="192" t="e">
        <f t="shared" si="96"/>
        <v>#DIV/0!</v>
      </c>
    </row>
    <row r="108" spans="1:27" ht="14.5" customHeight="1" x14ac:dyDescent="0.35">
      <c r="A108" s="623"/>
      <c r="B108" s="165" t="s">
        <v>100</v>
      </c>
      <c r="C108" s="173"/>
      <c r="D108" s="167"/>
      <c r="E108" s="168"/>
      <c r="F108" s="169"/>
      <c r="G108" s="170"/>
      <c r="H108" s="173"/>
      <c r="I108" s="166">
        <f t="shared" si="90"/>
        <v>0</v>
      </c>
      <c r="J108" s="171">
        <f t="shared" si="91"/>
        <v>0</v>
      </c>
      <c r="K108" s="172" t="e">
        <f t="shared" si="97"/>
        <v>#DIV/0!</v>
      </c>
      <c r="L108" s="192" t="e">
        <f t="shared" si="92"/>
        <v>#DIV/0!</v>
      </c>
      <c r="O108" s="614"/>
      <c r="P108" s="165" t="s">
        <v>100</v>
      </c>
      <c r="Q108" s="173"/>
      <c r="R108" s="167"/>
      <c r="S108" s="168"/>
      <c r="T108" s="169"/>
      <c r="U108" s="170"/>
      <c r="V108" s="173"/>
      <c r="W108" s="166">
        <f t="shared" si="93"/>
        <v>0</v>
      </c>
      <c r="X108" s="171">
        <f t="shared" si="94"/>
        <v>0</v>
      </c>
      <c r="Y108" s="172" t="e">
        <f t="shared" si="95"/>
        <v>#DIV/0!</v>
      </c>
      <c r="Z108" s="192" t="e">
        <f t="shared" si="96"/>
        <v>#DIV/0!</v>
      </c>
    </row>
    <row r="109" spans="1:27" ht="14.5" customHeight="1" x14ac:dyDescent="0.35">
      <c r="A109" s="623"/>
      <c r="B109" s="165" t="s">
        <v>101</v>
      </c>
      <c r="C109" s="173"/>
      <c r="D109" s="167"/>
      <c r="E109" s="168"/>
      <c r="F109" s="169"/>
      <c r="G109" s="170"/>
      <c r="H109" s="173"/>
      <c r="I109" s="166">
        <f t="shared" si="90"/>
        <v>0</v>
      </c>
      <c r="J109" s="171">
        <f t="shared" si="91"/>
        <v>0</v>
      </c>
      <c r="K109" s="172" t="e">
        <f t="shared" si="97"/>
        <v>#DIV/0!</v>
      </c>
      <c r="L109" s="192" t="e">
        <f t="shared" si="92"/>
        <v>#DIV/0!</v>
      </c>
      <c r="O109" s="614"/>
      <c r="P109" s="165" t="s">
        <v>101</v>
      </c>
      <c r="Q109" s="173"/>
      <c r="R109" s="167"/>
      <c r="S109" s="168"/>
      <c r="T109" s="169"/>
      <c r="U109" s="170"/>
      <c r="V109" s="173"/>
      <c r="W109" s="166">
        <f t="shared" si="93"/>
        <v>0</v>
      </c>
      <c r="X109" s="171">
        <f t="shared" si="94"/>
        <v>0</v>
      </c>
      <c r="Y109" s="172" t="e">
        <f t="shared" si="95"/>
        <v>#DIV/0!</v>
      </c>
      <c r="Z109" s="192" t="e">
        <f t="shared" si="96"/>
        <v>#DIV/0!</v>
      </c>
    </row>
    <row r="110" spans="1:27" ht="14.5" customHeight="1" thickBot="1" x14ac:dyDescent="0.4">
      <c r="A110" s="623"/>
      <c r="B110" s="175" t="s">
        <v>77</v>
      </c>
      <c r="C110" s="176">
        <f t="shared" ref="C110:H110" si="98">SUM(C104:C109)</f>
        <v>0</v>
      </c>
      <c r="D110" s="177">
        <f t="shared" si="98"/>
        <v>0</v>
      </c>
      <c r="E110" s="178">
        <f t="shared" si="98"/>
        <v>0</v>
      </c>
      <c r="F110" s="176">
        <f t="shared" si="98"/>
        <v>0</v>
      </c>
      <c r="G110" s="179">
        <f t="shared" si="98"/>
        <v>0</v>
      </c>
      <c r="H110" s="176">
        <f t="shared" si="98"/>
        <v>0</v>
      </c>
      <c r="I110" s="176">
        <f t="shared" si="90"/>
        <v>0</v>
      </c>
      <c r="J110" s="176">
        <f t="shared" si="91"/>
        <v>0</v>
      </c>
      <c r="K110" s="180" t="e">
        <f>I110/C110</f>
        <v>#DIV/0!</v>
      </c>
      <c r="L110" s="197" t="e">
        <f>SUM(L104:L109)</f>
        <v>#DIV/0!</v>
      </c>
      <c r="O110" s="615"/>
      <c r="P110" s="204" t="s">
        <v>77</v>
      </c>
      <c r="Q110" s="205">
        <f t="shared" ref="Q110:V110" si="99">SUM(Q104:Q109)</f>
        <v>0</v>
      </c>
      <c r="R110" s="206">
        <f t="shared" si="99"/>
        <v>0</v>
      </c>
      <c r="S110" s="207">
        <f t="shared" si="99"/>
        <v>0</v>
      </c>
      <c r="T110" s="205">
        <f t="shared" si="99"/>
        <v>0</v>
      </c>
      <c r="U110" s="208">
        <f t="shared" si="99"/>
        <v>0</v>
      </c>
      <c r="V110" s="205">
        <f t="shared" si="99"/>
        <v>0</v>
      </c>
      <c r="W110" s="205">
        <f t="shared" si="93"/>
        <v>0</v>
      </c>
      <c r="X110" s="205">
        <f>W110-Q110</f>
        <v>0</v>
      </c>
      <c r="Y110" s="209" t="e">
        <f t="shared" si="95"/>
        <v>#DIV/0!</v>
      </c>
      <c r="Z110" s="197" t="e">
        <f>SUM(Z104:Z109)</f>
        <v>#DIV/0!</v>
      </c>
    </row>
    <row r="111" spans="1:27" ht="14.5" customHeight="1" x14ac:dyDescent="0.35">
      <c r="B111" s="181" t="str">
        <f>$B$12</f>
        <v>TARGET Q4</v>
      </c>
      <c r="C111" s="182"/>
      <c r="D111" s="676"/>
      <c r="E111" s="677"/>
      <c r="F111" s="677"/>
      <c r="G111" s="677"/>
      <c r="H111" s="678"/>
      <c r="I111" s="182">
        <f>I110</f>
        <v>0</v>
      </c>
      <c r="J111" s="182">
        <f>I111-C111</f>
        <v>0</v>
      </c>
      <c r="K111" s="183" t="e">
        <f>I111/C111</f>
        <v>#DIV/0!</v>
      </c>
      <c r="L111" s="192" t="e">
        <f>IF(K111&gt;=1,3500000,IF(K111&gt;=0.9,2500000,0))</f>
        <v>#DIV/0!</v>
      </c>
      <c r="P111" s="181" t="str">
        <f>$B$12</f>
        <v>TARGET Q4</v>
      </c>
      <c r="Q111" s="182"/>
      <c r="R111" s="676"/>
      <c r="S111" s="677"/>
      <c r="T111" s="677"/>
      <c r="U111" s="677"/>
      <c r="V111" s="678"/>
      <c r="W111" s="182">
        <f>W110</f>
        <v>0</v>
      </c>
      <c r="X111" s="182">
        <f>W111-Q111</f>
        <v>0</v>
      </c>
      <c r="Y111" s="183" t="e">
        <f t="shared" si="95"/>
        <v>#DIV/0!</v>
      </c>
      <c r="Z111" s="192" t="e">
        <f>IF(Y111&gt;=1,3500000,IF(Y111&gt;=0.9,2500000,0))</f>
        <v>#DIV/0!</v>
      </c>
    </row>
    <row r="112" spans="1:27" ht="14.5" customHeight="1" x14ac:dyDescent="0.35">
      <c r="C112" s="210" t="e">
        <f>C111/C110</f>
        <v>#DIV/0!</v>
      </c>
      <c r="Q112" s="210" t="e">
        <f>Q111/Q110</f>
        <v>#DIV/0!</v>
      </c>
    </row>
    <row r="113" spans="2:28" x14ac:dyDescent="0.35">
      <c r="C113" s="210"/>
    </row>
    <row r="114" spans="2:28" s="290" customFormat="1" ht="14.5" customHeight="1" x14ac:dyDescent="0.35">
      <c r="C114" s="291"/>
      <c r="D114" s="292"/>
      <c r="E114" s="293"/>
      <c r="F114" s="294"/>
      <c r="G114" s="295"/>
      <c r="H114" s="291"/>
      <c r="I114" s="291"/>
      <c r="J114" s="296"/>
      <c r="K114" s="292"/>
      <c r="L114" s="297"/>
      <c r="M114" s="298"/>
      <c r="Q114" s="292"/>
      <c r="R114" s="299"/>
      <c r="S114" s="292"/>
      <c r="T114" s="294"/>
      <c r="U114" s="295"/>
      <c r="V114" s="291"/>
      <c r="W114" s="291"/>
      <c r="X114" s="291"/>
      <c r="Y114" s="292"/>
      <c r="Z114" s="291"/>
      <c r="AA114" s="300"/>
    </row>
    <row r="115" spans="2:28" ht="14.5" customHeight="1" x14ac:dyDescent="0.35"/>
    <row r="116" spans="2:28" ht="15" customHeight="1" x14ac:dyDescent="0.35">
      <c r="B116" s="580" t="s">
        <v>123</v>
      </c>
      <c r="C116" s="581"/>
      <c r="D116" s="581"/>
      <c r="E116" s="581"/>
      <c r="F116" s="581"/>
      <c r="G116" s="581"/>
      <c r="H116" s="581"/>
      <c r="I116" s="581"/>
      <c r="J116" s="581"/>
      <c r="K116" s="581"/>
      <c r="L116" s="581"/>
      <c r="M116" s="582"/>
      <c r="P116" s="600" t="s">
        <v>124</v>
      </c>
      <c r="Q116" s="600"/>
      <c r="R116" s="600"/>
      <c r="S116" s="600"/>
      <c r="T116" s="600"/>
      <c r="U116" s="600"/>
      <c r="V116" s="600"/>
      <c r="W116" s="600"/>
      <c r="X116" s="600"/>
      <c r="Y116" s="600"/>
      <c r="Z116" s="600"/>
      <c r="AA116" s="600"/>
    </row>
    <row r="117" spans="2:28" ht="15" customHeight="1" x14ac:dyDescent="0.35">
      <c r="B117" s="583"/>
      <c r="C117" s="584"/>
      <c r="D117" s="584"/>
      <c r="E117" s="584"/>
      <c r="F117" s="584"/>
      <c r="G117" s="584"/>
      <c r="H117" s="584"/>
      <c r="I117" s="584"/>
      <c r="J117" s="584"/>
      <c r="K117" s="584"/>
      <c r="L117" s="584"/>
      <c r="M117" s="585"/>
      <c r="P117" s="600"/>
      <c r="Q117" s="600"/>
      <c r="R117" s="600"/>
      <c r="S117" s="600"/>
      <c r="T117" s="600"/>
      <c r="U117" s="600"/>
      <c r="V117" s="600"/>
      <c r="W117" s="600"/>
      <c r="X117" s="600"/>
      <c r="Y117" s="600"/>
      <c r="Z117" s="600"/>
      <c r="AA117" s="600"/>
    </row>
    <row r="118" spans="2:28" ht="15" customHeight="1" x14ac:dyDescent="0.35">
      <c r="B118" s="586" t="s">
        <v>125</v>
      </c>
      <c r="C118" s="587" t="s">
        <v>94</v>
      </c>
      <c r="D118" s="586" t="s">
        <v>91</v>
      </c>
      <c r="E118" s="586" t="s">
        <v>62</v>
      </c>
      <c r="F118" s="588" t="str">
        <f>F48</f>
        <v>OMSET OCT
 (1-1)</v>
      </c>
      <c r="G118" s="588" t="s">
        <v>95</v>
      </c>
      <c r="H118" s="587" t="s">
        <v>63</v>
      </c>
      <c r="I118" s="587" t="s">
        <v>64</v>
      </c>
      <c r="J118" s="587" t="s">
        <v>126</v>
      </c>
      <c r="K118" s="589" t="s">
        <v>66</v>
      </c>
      <c r="L118" s="590" t="s">
        <v>127</v>
      </c>
      <c r="M118" s="301" t="s">
        <v>128</v>
      </c>
      <c r="P118" s="660" t="s">
        <v>125</v>
      </c>
      <c r="Q118" s="660" t="s">
        <v>94</v>
      </c>
      <c r="R118" s="661" t="s">
        <v>91</v>
      </c>
      <c r="S118" s="660" t="s">
        <v>62</v>
      </c>
      <c r="T118" s="664" t="str">
        <f>T26</f>
        <v>OMSET OCT
 (1-1)</v>
      </c>
      <c r="U118" s="664" t="str">
        <f>G4</f>
        <v>OMSET PRODUK</v>
      </c>
      <c r="V118" s="663" t="s">
        <v>63</v>
      </c>
      <c r="W118" s="663" t="s">
        <v>64</v>
      </c>
      <c r="X118" s="663" t="s">
        <v>126</v>
      </c>
      <c r="Y118" s="675" t="s">
        <v>66</v>
      </c>
      <c r="Z118" s="664" t="s">
        <v>127</v>
      </c>
      <c r="AA118" s="220" t="s">
        <v>128</v>
      </c>
    </row>
    <row r="119" spans="2:28" ht="30" customHeight="1" x14ac:dyDescent="0.35">
      <c r="B119" s="586"/>
      <c r="C119" s="587"/>
      <c r="D119" s="586"/>
      <c r="E119" s="586"/>
      <c r="F119" s="588"/>
      <c r="G119" s="588"/>
      <c r="H119" s="587"/>
      <c r="I119" s="587"/>
      <c r="J119" s="587"/>
      <c r="K119" s="589"/>
      <c r="L119" s="590"/>
      <c r="M119" s="302">
        <f>100/DAY(EOMONTH($B$1,0))*DAY($B$1)/100</f>
        <v>3.2258064516129031E-2</v>
      </c>
      <c r="P119" s="660"/>
      <c r="Q119" s="660"/>
      <c r="R119" s="661"/>
      <c r="S119" s="660"/>
      <c r="T119" s="664"/>
      <c r="U119" s="664"/>
      <c r="V119" s="663"/>
      <c r="W119" s="663"/>
      <c r="X119" s="663"/>
      <c r="Y119" s="675"/>
      <c r="Z119" s="664"/>
      <c r="AA119" s="221">
        <f>K4</f>
        <v>3.2258064516129031E-2</v>
      </c>
    </row>
    <row r="120" spans="2:28" x14ac:dyDescent="0.35">
      <c r="B120" s="171" t="str">
        <f>C3</f>
        <v>CHRISTOPER</v>
      </c>
      <c r="C120" s="166">
        <f t="shared" ref="C120:H120" si="100">C11</f>
        <v>1541592000</v>
      </c>
      <c r="D120" s="167">
        <f t="shared" si="100"/>
        <v>0</v>
      </c>
      <c r="E120" s="222">
        <f t="shared" si="100"/>
        <v>0</v>
      </c>
      <c r="F120" s="223">
        <f t="shared" si="100"/>
        <v>0</v>
      </c>
      <c r="G120" s="224">
        <f t="shared" si="100"/>
        <v>0</v>
      </c>
      <c r="H120" s="166">
        <f t="shared" si="100"/>
        <v>0</v>
      </c>
      <c r="I120" s="166">
        <f>F120-G120</f>
        <v>0</v>
      </c>
      <c r="J120" s="166">
        <f t="shared" ref="J120:J126" si="101">I120-C120</f>
        <v>-1541592000</v>
      </c>
      <c r="K120" s="225">
        <f t="shared" ref="K120:K125" si="102">I120/C120</f>
        <v>0</v>
      </c>
      <c r="L120" s="226">
        <f t="shared" ref="L120:L125" si="103">H120+I120</f>
        <v>0</v>
      </c>
      <c r="M120" s="227">
        <f t="shared" ref="M120:M125" si="104">L120/C120</f>
        <v>0</v>
      </c>
      <c r="N120" s="228">
        <f>F120+H120</f>
        <v>0</v>
      </c>
      <c r="P120" s="229" t="str">
        <f>Q3</f>
        <v>RIFKY</v>
      </c>
      <c r="Q120" s="166">
        <f t="shared" ref="Q120:V120" si="105">Q11</f>
        <v>0</v>
      </c>
      <c r="R120" s="230">
        <f t="shared" si="105"/>
        <v>0</v>
      </c>
      <c r="S120" s="167">
        <f t="shared" si="105"/>
        <v>0</v>
      </c>
      <c r="T120" s="166">
        <f t="shared" si="105"/>
        <v>0</v>
      </c>
      <c r="U120" s="231">
        <f t="shared" si="105"/>
        <v>0</v>
      </c>
      <c r="V120" s="166">
        <f t="shared" si="105"/>
        <v>0</v>
      </c>
      <c r="W120" s="166">
        <f>T120-U120</f>
        <v>0</v>
      </c>
      <c r="X120" s="166">
        <f t="shared" ref="X120:X126" si="106">W120-Q120</f>
        <v>0</v>
      </c>
      <c r="Y120" s="225" t="e">
        <f t="shared" ref="Y120:Y125" si="107">W120/Q120</f>
        <v>#DIV/0!</v>
      </c>
      <c r="Z120" s="171">
        <f t="shared" ref="Z120:Z125" si="108">V120+W120</f>
        <v>0</v>
      </c>
      <c r="AA120" s="227" t="e">
        <f t="shared" ref="AA120:AA125" si="109">Z120/Q120</f>
        <v>#DIV/0!</v>
      </c>
      <c r="AB120" s="228">
        <f>T120+V120</f>
        <v>0</v>
      </c>
    </row>
    <row r="121" spans="2:28" x14ac:dyDescent="0.35">
      <c r="B121" s="171" t="str">
        <f>C14</f>
        <v>ANNAUFAL</v>
      </c>
      <c r="C121" s="166">
        <f t="shared" ref="C121:H121" si="110">C22</f>
        <v>0</v>
      </c>
      <c r="D121" s="167">
        <f t="shared" si="110"/>
        <v>0</v>
      </c>
      <c r="E121" s="222">
        <f t="shared" si="110"/>
        <v>0</v>
      </c>
      <c r="F121" s="223">
        <f t="shared" si="110"/>
        <v>0</v>
      </c>
      <c r="G121" s="224">
        <f t="shared" si="110"/>
        <v>0</v>
      </c>
      <c r="H121" s="166">
        <f t="shared" si="110"/>
        <v>0</v>
      </c>
      <c r="I121" s="166">
        <f>F121-G121</f>
        <v>0</v>
      </c>
      <c r="J121" s="166">
        <f t="shared" si="101"/>
        <v>0</v>
      </c>
      <c r="K121" s="225" t="e">
        <f t="shared" si="102"/>
        <v>#DIV/0!</v>
      </c>
      <c r="L121" s="226">
        <f t="shared" si="103"/>
        <v>0</v>
      </c>
      <c r="M121" s="227" t="e">
        <f t="shared" si="104"/>
        <v>#DIV/0!</v>
      </c>
      <c r="N121" s="228">
        <f>F121+H121</f>
        <v>0</v>
      </c>
      <c r="P121" s="229">
        <f>Q14</f>
        <v>0</v>
      </c>
      <c r="Q121" s="166">
        <f t="shared" ref="Q121:V121" si="111">Q22</f>
        <v>0</v>
      </c>
      <c r="R121" s="230">
        <f t="shared" si="111"/>
        <v>0</v>
      </c>
      <c r="S121" s="167">
        <f t="shared" si="111"/>
        <v>0</v>
      </c>
      <c r="T121" s="166">
        <f t="shared" si="111"/>
        <v>0</v>
      </c>
      <c r="U121" s="231">
        <f t="shared" si="111"/>
        <v>0</v>
      </c>
      <c r="V121" s="166">
        <f t="shared" si="111"/>
        <v>0</v>
      </c>
      <c r="W121" s="166">
        <f>T121-U121</f>
        <v>0</v>
      </c>
      <c r="X121" s="166">
        <f t="shared" si="106"/>
        <v>0</v>
      </c>
      <c r="Y121" s="225" t="e">
        <f t="shared" si="107"/>
        <v>#DIV/0!</v>
      </c>
      <c r="Z121" s="171">
        <f>V121+W121</f>
        <v>0</v>
      </c>
      <c r="AA121" s="227" t="e">
        <f t="shared" si="109"/>
        <v>#DIV/0!</v>
      </c>
      <c r="AB121" s="228">
        <f>T121+V121</f>
        <v>0</v>
      </c>
    </row>
    <row r="122" spans="2:28" x14ac:dyDescent="0.35">
      <c r="B122" s="171" t="str">
        <f>C25</f>
        <v>DIKI HERMAWAN</v>
      </c>
      <c r="C122" s="166">
        <f t="shared" ref="C122:H122" si="112">C33</f>
        <v>0</v>
      </c>
      <c r="D122" s="167">
        <f t="shared" si="112"/>
        <v>0</v>
      </c>
      <c r="E122" s="222">
        <f t="shared" si="112"/>
        <v>0</v>
      </c>
      <c r="F122" s="223">
        <f t="shared" si="112"/>
        <v>0</v>
      </c>
      <c r="G122" s="224">
        <f t="shared" si="112"/>
        <v>0</v>
      </c>
      <c r="H122" s="166">
        <f t="shared" si="112"/>
        <v>0</v>
      </c>
      <c r="I122" s="166">
        <f>F122-G122</f>
        <v>0</v>
      </c>
      <c r="J122" s="166">
        <f t="shared" si="101"/>
        <v>0</v>
      </c>
      <c r="K122" s="225" t="e">
        <f t="shared" si="102"/>
        <v>#DIV/0!</v>
      </c>
      <c r="L122" s="226">
        <f t="shared" si="103"/>
        <v>0</v>
      </c>
      <c r="M122" s="227" t="e">
        <f t="shared" si="104"/>
        <v>#DIV/0!</v>
      </c>
      <c r="N122" s="228">
        <f>F122+H122</f>
        <v>0</v>
      </c>
      <c r="P122" s="229">
        <f>Q25</f>
        <v>0</v>
      </c>
      <c r="Q122" s="166">
        <f t="shared" ref="Q122:V122" si="113">Q33</f>
        <v>0</v>
      </c>
      <c r="R122" s="230">
        <f t="shared" si="113"/>
        <v>0</v>
      </c>
      <c r="S122" s="167">
        <f t="shared" si="113"/>
        <v>0</v>
      </c>
      <c r="T122" s="166">
        <f t="shared" si="113"/>
        <v>0</v>
      </c>
      <c r="U122" s="231">
        <f t="shared" si="113"/>
        <v>0</v>
      </c>
      <c r="V122" s="166">
        <f t="shared" si="113"/>
        <v>0</v>
      </c>
      <c r="W122" s="166">
        <f>T122-U122</f>
        <v>0</v>
      </c>
      <c r="X122" s="166">
        <f t="shared" si="106"/>
        <v>0</v>
      </c>
      <c r="Y122" s="225" t="e">
        <f t="shared" si="107"/>
        <v>#DIV/0!</v>
      </c>
      <c r="Z122" s="171">
        <f t="shared" si="108"/>
        <v>0</v>
      </c>
      <c r="AA122" s="227" t="e">
        <f t="shared" si="109"/>
        <v>#DIV/0!</v>
      </c>
      <c r="AB122" s="228">
        <f>T122+V122</f>
        <v>0</v>
      </c>
    </row>
    <row r="123" spans="2:28" ht="14.5" customHeight="1" x14ac:dyDescent="0.35">
      <c r="B123" s="171" t="str">
        <f>C36</f>
        <v>AGPC:TKAB-KRW</v>
      </c>
      <c r="C123" s="166">
        <f t="shared" ref="C123:H123" si="114">C44</f>
        <v>0</v>
      </c>
      <c r="D123" s="167">
        <f t="shared" si="114"/>
        <v>0</v>
      </c>
      <c r="E123" s="222">
        <f t="shared" si="114"/>
        <v>0</v>
      </c>
      <c r="F123" s="223">
        <f t="shared" si="114"/>
        <v>0</v>
      </c>
      <c r="G123" s="224">
        <f t="shared" si="114"/>
        <v>0</v>
      </c>
      <c r="H123" s="166">
        <f t="shared" si="114"/>
        <v>0</v>
      </c>
      <c r="I123" s="166">
        <f>F123-G123</f>
        <v>0</v>
      </c>
      <c r="J123" s="166">
        <f t="shared" si="101"/>
        <v>0</v>
      </c>
      <c r="K123" s="225" t="e">
        <f t="shared" si="102"/>
        <v>#DIV/0!</v>
      </c>
      <c r="L123" s="226">
        <f t="shared" si="103"/>
        <v>0</v>
      </c>
      <c r="M123" s="227" t="e">
        <f t="shared" si="104"/>
        <v>#DIV/0!</v>
      </c>
      <c r="N123" s="228">
        <f>F123+H123</f>
        <v>0</v>
      </c>
      <c r="P123" s="229" t="str">
        <f>Q36</f>
        <v>GILBERT</v>
      </c>
      <c r="Q123" s="166">
        <f t="shared" ref="Q123:V123" si="115">Q44</f>
        <v>0</v>
      </c>
      <c r="R123" s="230">
        <f t="shared" si="115"/>
        <v>0</v>
      </c>
      <c r="S123" s="167">
        <f t="shared" si="115"/>
        <v>0</v>
      </c>
      <c r="T123" s="166">
        <f t="shared" si="115"/>
        <v>0</v>
      </c>
      <c r="U123" s="231">
        <f t="shared" si="115"/>
        <v>0</v>
      </c>
      <c r="V123" s="166">
        <f t="shared" si="115"/>
        <v>0</v>
      </c>
      <c r="W123" s="166">
        <f>T123-U123</f>
        <v>0</v>
      </c>
      <c r="X123" s="166">
        <f t="shared" si="106"/>
        <v>0</v>
      </c>
      <c r="Y123" s="225" t="e">
        <f t="shared" si="107"/>
        <v>#DIV/0!</v>
      </c>
      <c r="Z123" s="171">
        <f t="shared" si="108"/>
        <v>0</v>
      </c>
      <c r="AA123" s="227" t="e">
        <f t="shared" si="109"/>
        <v>#DIV/0!</v>
      </c>
      <c r="AB123" s="228">
        <f>T123+V123</f>
        <v>0</v>
      </c>
    </row>
    <row r="124" spans="2:28" ht="14.5" customHeight="1" x14ac:dyDescent="0.35">
      <c r="B124" s="171" t="str">
        <f>C47</f>
        <v>RIDWAN</v>
      </c>
      <c r="C124" s="166">
        <f t="shared" ref="C124:H124" si="116">C55</f>
        <v>0</v>
      </c>
      <c r="D124" s="167">
        <f t="shared" si="116"/>
        <v>0</v>
      </c>
      <c r="E124" s="222">
        <f t="shared" si="116"/>
        <v>0</v>
      </c>
      <c r="F124" s="223">
        <f t="shared" si="116"/>
        <v>0</v>
      </c>
      <c r="G124" s="224">
        <f t="shared" si="116"/>
        <v>0</v>
      </c>
      <c r="H124" s="166">
        <f t="shared" si="116"/>
        <v>0</v>
      </c>
      <c r="I124" s="166">
        <f>F124-G124</f>
        <v>0</v>
      </c>
      <c r="J124" s="166">
        <f t="shared" si="101"/>
        <v>0</v>
      </c>
      <c r="K124" s="225" t="e">
        <f t="shared" si="102"/>
        <v>#DIV/0!</v>
      </c>
      <c r="L124" s="226">
        <f t="shared" si="103"/>
        <v>0</v>
      </c>
      <c r="M124" s="227" t="e">
        <f t="shared" si="104"/>
        <v>#DIV/0!</v>
      </c>
      <c r="N124" s="228">
        <f>F124+H124</f>
        <v>0</v>
      </c>
      <c r="P124" s="229">
        <f>Q47</f>
        <v>0</v>
      </c>
      <c r="Q124" s="166">
        <f t="shared" ref="Q124:V124" si="117">Q55</f>
        <v>0</v>
      </c>
      <c r="R124" s="230">
        <f t="shared" si="117"/>
        <v>0</v>
      </c>
      <c r="S124" s="167">
        <f t="shared" si="117"/>
        <v>0</v>
      </c>
      <c r="T124" s="166">
        <f t="shared" si="117"/>
        <v>0</v>
      </c>
      <c r="U124" s="231">
        <f t="shared" si="117"/>
        <v>0</v>
      </c>
      <c r="V124" s="166">
        <f t="shared" si="117"/>
        <v>0</v>
      </c>
      <c r="W124" s="166">
        <f>T124-U124</f>
        <v>0</v>
      </c>
      <c r="X124" s="166">
        <f t="shared" si="106"/>
        <v>0</v>
      </c>
      <c r="Y124" s="225" t="e">
        <f t="shared" si="107"/>
        <v>#DIV/0!</v>
      </c>
      <c r="Z124" s="171">
        <f t="shared" si="108"/>
        <v>0</v>
      </c>
      <c r="AA124" s="227" t="e">
        <f t="shared" si="109"/>
        <v>#DIV/0!</v>
      </c>
      <c r="AB124" s="228">
        <f>T124+V124</f>
        <v>0</v>
      </c>
    </row>
    <row r="125" spans="2:28" x14ac:dyDescent="0.35">
      <c r="B125" s="175" t="s">
        <v>77</v>
      </c>
      <c r="C125" s="176">
        <f t="shared" ref="C125:H125" si="118">SUM(C120:C124)</f>
        <v>1541592000</v>
      </c>
      <c r="D125" s="177">
        <f t="shared" si="118"/>
        <v>0</v>
      </c>
      <c r="E125" s="178">
        <f t="shared" si="118"/>
        <v>0</v>
      </c>
      <c r="F125" s="303">
        <f t="shared" si="118"/>
        <v>0</v>
      </c>
      <c r="G125" s="304">
        <f t="shared" si="118"/>
        <v>0</v>
      </c>
      <c r="H125" s="176">
        <f t="shared" si="118"/>
        <v>0</v>
      </c>
      <c r="I125" s="176">
        <f>SUM(I120:I124)</f>
        <v>0</v>
      </c>
      <c r="J125" s="176">
        <f t="shared" si="101"/>
        <v>-1541592000</v>
      </c>
      <c r="K125" s="305">
        <f t="shared" si="102"/>
        <v>0</v>
      </c>
      <c r="L125" s="353">
        <f t="shared" si="103"/>
        <v>0</v>
      </c>
      <c r="M125" s="180">
        <f t="shared" si="104"/>
        <v>0</v>
      </c>
      <c r="P125" s="232" t="s">
        <v>77</v>
      </c>
      <c r="Q125" s="233">
        <f>SUM(Q120:Q124)</f>
        <v>0</v>
      </c>
      <c r="R125" s="234">
        <f>SUM(R120:R124)</f>
        <v>0</v>
      </c>
      <c r="S125" s="235">
        <f t="shared" ref="S125:W125" si="119">SUM(S120:S124)</f>
        <v>0</v>
      </c>
      <c r="T125" s="233">
        <f>SUM(T120:T124)</f>
        <v>0</v>
      </c>
      <c r="U125" s="236">
        <f t="shared" si="119"/>
        <v>0</v>
      </c>
      <c r="V125" s="233">
        <f t="shared" si="119"/>
        <v>0</v>
      </c>
      <c r="W125" s="233">
        <f t="shared" si="119"/>
        <v>0</v>
      </c>
      <c r="X125" s="233">
        <f t="shared" si="106"/>
        <v>0</v>
      </c>
      <c r="Y125" s="237" t="e">
        <f t="shared" si="107"/>
        <v>#DIV/0!</v>
      </c>
      <c r="Z125" s="238">
        <f t="shared" si="108"/>
        <v>0</v>
      </c>
      <c r="AA125" s="239" t="e">
        <f t="shared" si="109"/>
        <v>#DIV/0!</v>
      </c>
    </row>
    <row r="126" spans="2:28" x14ac:dyDescent="0.35">
      <c r="B126" s="181" t="str">
        <f>$B$12</f>
        <v>TARGET Q4</v>
      </c>
      <c r="C126" s="182">
        <f>SUM(C56,C45,C34,C23,C12)</f>
        <v>1233273600</v>
      </c>
      <c r="D126" s="240"/>
      <c r="E126" s="241"/>
      <c r="F126" s="241"/>
      <c r="G126" s="241"/>
      <c r="H126" s="241"/>
      <c r="I126" s="182">
        <f>I125</f>
        <v>0</v>
      </c>
      <c r="J126" s="182">
        <f t="shared" si="101"/>
        <v>-1233273600</v>
      </c>
      <c r="K126" s="242"/>
      <c r="L126" s="243"/>
      <c r="M126" s="244">
        <f>I126/C126</f>
        <v>0</v>
      </c>
      <c r="P126" s="181" t="str">
        <f>$B$12</f>
        <v>TARGET Q4</v>
      </c>
      <c r="Q126" s="182">
        <f>SUM(Q56,Q45,Q34,Q23,Q12)</f>
        <v>0</v>
      </c>
      <c r="R126" s="240"/>
      <c r="S126" s="241"/>
      <c r="T126" s="241"/>
      <c r="U126" s="241"/>
      <c r="V126" s="241"/>
      <c r="W126" s="182">
        <f>W125</f>
        <v>0</v>
      </c>
      <c r="X126" s="182">
        <f t="shared" si="106"/>
        <v>0</v>
      </c>
      <c r="Y126" s="242"/>
      <c r="Z126" s="243"/>
      <c r="AA126" s="244" t="e">
        <f>W126/Q126</f>
        <v>#DIV/0!</v>
      </c>
    </row>
    <row r="127" spans="2:28" x14ac:dyDescent="0.35">
      <c r="C127" s="202"/>
      <c r="D127" s="245"/>
      <c r="E127" s="245"/>
      <c r="F127" s="245"/>
      <c r="G127" s="245"/>
      <c r="H127" s="245"/>
      <c r="I127" s="245"/>
      <c r="J127" s="245"/>
      <c r="K127" s="245"/>
      <c r="L127" s="197"/>
      <c r="M127" s="246"/>
      <c r="Q127" s="202"/>
      <c r="R127" s="245"/>
      <c r="S127" s="245"/>
      <c r="T127" s="245"/>
      <c r="U127" s="245"/>
      <c r="V127" s="245"/>
      <c r="W127" s="202"/>
      <c r="X127" s="247"/>
      <c r="Y127" s="248"/>
      <c r="Z127" s="197"/>
      <c r="AA127" s="246"/>
    </row>
    <row r="128" spans="2:28" x14ac:dyDescent="0.35">
      <c r="K128" s="249"/>
    </row>
    <row r="129" spans="2:28" ht="15" customHeight="1" x14ac:dyDescent="0.35">
      <c r="B129" s="580" t="s">
        <v>129</v>
      </c>
      <c r="C129" s="581"/>
      <c r="D129" s="581"/>
      <c r="E129" s="581"/>
      <c r="F129" s="581"/>
      <c r="G129" s="581"/>
      <c r="H129" s="581"/>
      <c r="I129" s="581"/>
      <c r="J129" s="581"/>
      <c r="K129" s="581"/>
      <c r="L129" s="581"/>
      <c r="M129" s="582"/>
      <c r="P129" s="580" t="s">
        <v>130</v>
      </c>
      <c r="Q129" s="581"/>
      <c r="R129" s="581"/>
      <c r="S129" s="581"/>
      <c r="T129" s="581"/>
      <c r="U129" s="581"/>
      <c r="V129" s="581"/>
      <c r="W129" s="581"/>
      <c r="X129" s="581"/>
      <c r="Y129" s="581"/>
      <c r="Z129" s="581"/>
      <c r="AA129" s="582"/>
    </row>
    <row r="130" spans="2:28" ht="15" customHeight="1" x14ac:dyDescent="0.35">
      <c r="B130" s="583"/>
      <c r="C130" s="584"/>
      <c r="D130" s="584"/>
      <c r="E130" s="584"/>
      <c r="F130" s="584"/>
      <c r="G130" s="584"/>
      <c r="H130" s="584"/>
      <c r="I130" s="584"/>
      <c r="J130" s="584"/>
      <c r="K130" s="584"/>
      <c r="L130" s="584"/>
      <c r="M130" s="585"/>
      <c r="P130" s="583"/>
      <c r="Q130" s="584"/>
      <c r="R130" s="584"/>
      <c r="S130" s="584"/>
      <c r="T130" s="584"/>
      <c r="U130" s="584"/>
      <c r="V130" s="584"/>
      <c r="W130" s="584"/>
      <c r="X130" s="584"/>
      <c r="Y130" s="584"/>
      <c r="Z130" s="584"/>
      <c r="AA130" s="585"/>
    </row>
    <row r="131" spans="2:28" ht="15" customHeight="1" x14ac:dyDescent="0.35">
      <c r="B131" s="586" t="s">
        <v>125</v>
      </c>
      <c r="C131" s="587" t="s">
        <v>94</v>
      </c>
      <c r="D131" s="586" t="s">
        <v>91</v>
      </c>
      <c r="E131" s="586" t="s">
        <v>62</v>
      </c>
      <c r="F131" s="588" t="str">
        <f>F48</f>
        <v>OMSET OCT
 (1-1)</v>
      </c>
      <c r="G131" s="588" t="str">
        <f>G48</f>
        <v>OMSET PRODUK</v>
      </c>
      <c r="H131" s="587" t="s">
        <v>63</v>
      </c>
      <c r="I131" s="587" t="s">
        <v>64</v>
      </c>
      <c r="J131" s="587" t="s">
        <v>126</v>
      </c>
      <c r="K131" s="589" t="s">
        <v>66</v>
      </c>
      <c r="L131" s="590" t="s">
        <v>127</v>
      </c>
      <c r="M131" s="301" t="s">
        <v>128</v>
      </c>
      <c r="P131" s="665" t="s">
        <v>125</v>
      </c>
      <c r="Q131" s="665" t="s">
        <v>94</v>
      </c>
      <c r="R131" s="667" t="s">
        <v>91</v>
      </c>
      <c r="S131" s="665" t="s">
        <v>62</v>
      </c>
      <c r="T131" s="669" t="str">
        <f>T26</f>
        <v>OMSET OCT
 (1-1)</v>
      </c>
      <c r="U131" s="669" t="str">
        <f>G4</f>
        <v>OMSET PRODUK</v>
      </c>
      <c r="V131" s="671" t="s">
        <v>63</v>
      </c>
      <c r="W131" s="671" t="s">
        <v>64</v>
      </c>
      <c r="X131" s="671" t="s">
        <v>126</v>
      </c>
      <c r="Y131" s="673" t="s">
        <v>66</v>
      </c>
      <c r="Z131" s="669" t="s">
        <v>127</v>
      </c>
      <c r="AA131" s="220" t="s">
        <v>128</v>
      </c>
    </row>
    <row r="132" spans="2:28" ht="27.75" customHeight="1" x14ac:dyDescent="0.35">
      <c r="B132" s="586"/>
      <c r="C132" s="587"/>
      <c r="D132" s="586"/>
      <c r="E132" s="586"/>
      <c r="F132" s="588"/>
      <c r="G132" s="588"/>
      <c r="H132" s="587"/>
      <c r="I132" s="587"/>
      <c r="J132" s="587"/>
      <c r="K132" s="589"/>
      <c r="L132" s="590"/>
      <c r="M132" s="302">
        <f>100/DAY(EOMONTH($B$1,0))*DAY($B$1)/100</f>
        <v>3.2258064516129031E-2</v>
      </c>
      <c r="P132" s="666"/>
      <c r="Q132" s="666"/>
      <c r="R132" s="668"/>
      <c r="S132" s="666"/>
      <c r="T132" s="670"/>
      <c r="U132" s="670"/>
      <c r="V132" s="672"/>
      <c r="W132" s="672"/>
      <c r="X132" s="672"/>
      <c r="Y132" s="674"/>
      <c r="Z132" s="670"/>
      <c r="AA132" s="221">
        <f>K4</f>
        <v>3.2258064516129031E-2</v>
      </c>
    </row>
    <row r="133" spans="2:28" ht="15" customHeight="1" x14ac:dyDescent="0.35">
      <c r="B133" s="171" t="str">
        <f>C58</f>
        <v>AHMAD</v>
      </c>
      <c r="C133" s="166">
        <f t="shared" ref="C133:H133" si="120">C66</f>
        <v>0</v>
      </c>
      <c r="D133" s="167">
        <f t="shared" si="120"/>
        <v>0</v>
      </c>
      <c r="E133" s="222">
        <f t="shared" si="120"/>
        <v>0</v>
      </c>
      <c r="F133" s="223">
        <f t="shared" si="120"/>
        <v>0</v>
      </c>
      <c r="G133" s="224">
        <f t="shared" si="120"/>
        <v>0</v>
      </c>
      <c r="H133" s="166">
        <f t="shared" si="120"/>
        <v>0</v>
      </c>
      <c r="I133" s="166">
        <f>F133-G133</f>
        <v>0</v>
      </c>
      <c r="J133" s="166">
        <f t="shared" ref="J133:J139" si="121">I133-C133</f>
        <v>0</v>
      </c>
      <c r="K133" s="225" t="e">
        <f t="shared" ref="K133:K138" si="122">I133/C133</f>
        <v>#DIV/0!</v>
      </c>
      <c r="L133" s="226">
        <f t="shared" ref="L133:L138" si="123">H133+I133</f>
        <v>0</v>
      </c>
      <c r="M133" s="227" t="e">
        <f t="shared" ref="M133:M138" si="124">L133/C133</f>
        <v>#DIV/0!</v>
      </c>
      <c r="N133" s="228">
        <f>F133+H133</f>
        <v>0</v>
      </c>
      <c r="P133" s="250" t="str">
        <f>Q58</f>
        <v>AGUSTIAN</v>
      </c>
      <c r="Q133" s="226">
        <f t="shared" ref="Q133:V133" si="125">Q66</f>
        <v>0</v>
      </c>
      <c r="R133" s="251">
        <f t="shared" si="125"/>
        <v>0</v>
      </c>
      <c r="S133" s="165">
        <f t="shared" si="125"/>
        <v>0</v>
      </c>
      <c r="T133" s="226">
        <f t="shared" si="125"/>
        <v>0</v>
      </c>
      <c r="U133" s="252">
        <f t="shared" si="125"/>
        <v>0</v>
      </c>
      <c r="V133" s="226">
        <f t="shared" si="125"/>
        <v>0</v>
      </c>
      <c r="W133" s="226">
        <f>T133-U133</f>
        <v>0</v>
      </c>
      <c r="X133" s="226">
        <f t="shared" ref="X133:X139" si="126">W133-Q133</f>
        <v>0</v>
      </c>
      <c r="Y133" s="172" t="e">
        <f t="shared" ref="Y133:Y138" si="127">W133/Q133</f>
        <v>#DIV/0!</v>
      </c>
      <c r="Z133" s="171">
        <f t="shared" ref="Z133:Z138" si="128">V133+W133</f>
        <v>0</v>
      </c>
      <c r="AA133" s="227" t="e">
        <f t="shared" ref="AA133:AA138" si="129">Z133/Q133</f>
        <v>#DIV/0!</v>
      </c>
      <c r="AB133" s="228">
        <f>T133+V133</f>
        <v>0</v>
      </c>
    </row>
    <row r="134" spans="2:28" x14ac:dyDescent="0.35">
      <c r="B134" s="171" t="str">
        <f>C69</f>
        <v>RAHMAN</v>
      </c>
      <c r="C134" s="166">
        <f t="shared" ref="C134:H134" si="130">C77</f>
        <v>0</v>
      </c>
      <c r="D134" s="167">
        <f t="shared" si="130"/>
        <v>0</v>
      </c>
      <c r="E134" s="222">
        <f t="shared" si="130"/>
        <v>0</v>
      </c>
      <c r="F134" s="223">
        <f t="shared" si="130"/>
        <v>0</v>
      </c>
      <c r="G134" s="224">
        <f t="shared" si="130"/>
        <v>0</v>
      </c>
      <c r="H134" s="166">
        <f t="shared" si="130"/>
        <v>0</v>
      </c>
      <c r="I134" s="166">
        <f>F134-G134</f>
        <v>0</v>
      </c>
      <c r="J134" s="166">
        <f t="shared" si="121"/>
        <v>0</v>
      </c>
      <c r="K134" s="225" t="e">
        <f t="shared" si="122"/>
        <v>#DIV/0!</v>
      </c>
      <c r="L134" s="226">
        <f t="shared" si="123"/>
        <v>0</v>
      </c>
      <c r="M134" s="227" t="e">
        <f t="shared" si="124"/>
        <v>#DIV/0!</v>
      </c>
      <c r="N134" s="228">
        <f>F134+H134</f>
        <v>0</v>
      </c>
      <c r="P134" s="250" t="str">
        <f>Q69</f>
        <v>RAYFAHMI</v>
      </c>
      <c r="Q134" s="226">
        <f t="shared" ref="Q134:V134" si="131">Q77</f>
        <v>0</v>
      </c>
      <c r="R134" s="251">
        <f t="shared" si="131"/>
        <v>0</v>
      </c>
      <c r="S134" s="165">
        <f t="shared" si="131"/>
        <v>0</v>
      </c>
      <c r="T134" s="226">
        <f t="shared" si="131"/>
        <v>0</v>
      </c>
      <c r="U134" s="252">
        <f t="shared" si="131"/>
        <v>0</v>
      </c>
      <c r="V134" s="226">
        <f t="shared" si="131"/>
        <v>0</v>
      </c>
      <c r="W134" s="226">
        <f>T134-U134</f>
        <v>0</v>
      </c>
      <c r="X134" s="226">
        <f t="shared" si="126"/>
        <v>0</v>
      </c>
      <c r="Y134" s="172" t="e">
        <f t="shared" si="127"/>
        <v>#DIV/0!</v>
      </c>
      <c r="Z134" s="171">
        <f>V134+W134</f>
        <v>0</v>
      </c>
      <c r="AA134" s="227" t="e">
        <f t="shared" si="129"/>
        <v>#DIV/0!</v>
      </c>
      <c r="AB134" s="228">
        <f>T134+V134</f>
        <v>0</v>
      </c>
    </row>
    <row r="135" spans="2:28" x14ac:dyDescent="0.35">
      <c r="B135" s="171" t="str">
        <f>C80</f>
        <v>SYAEPULLOH</v>
      </c>
      <c r="C135" s="166">
        <f t="shared" ref="C135:H135" si="132">C88</f>
        <v>0</v>
      </c>
      <c r="D135" s="167">
        <f t="shared" si="132"/>
        <v>0</v>
      </c>
      <c r="E135" s="222">
        <f t="shared" si="132"/>
        <v>0</v>
      </c>
      <c r="F135" s="223">
        <f t="shared" si="132"/>
        <v>0</v>
      </c>
      <c r="G135" s="224">
        <f t="shared" si="132"/>
        <v>0</v>
      </c>
      <c r="H135" s="166">
        <f t="shared" si="132"/>
        <v>0</v>
      </c>
      <c r="I135" s="166">
        <f>F135-G135</f>
        <v>0</v>
      </c>
      <c r="J135" s="166">
        <f t="shared" si="121"/>
        <v>0</v>
      </c>
      <c r="K135" s="225" t="e">
        <f t="shared" si="122"/>
        <v>#DIV/0!</v>
      </c>
      <c r="L135" s="226">
        <f t="shared" si="123"/>
        <v>0</v>
      </c>
      <c r="M135" s="227" t="e">
        <f t="shared" si="124"/>
        <v>#DIV/0!</v>
      </c>
      <c r="N135" s="228">
        <f>F135+H135</f>
        <v>0</v>
      </c>
      <c r="P135" s="250" t="str">
        <f>Q80</f>
        <v>FAHMI</v>
      </c>
      <c r="Q135" s="166">
        <f t="shared" ref="Q135:V135" si="133">Q88</f>
        <v>0</v>
      </c>
      <c r="R135" s="230">
        <f t="shared" si="133"/>
        <v>0</v>
      </c>
      <c r="S135" s="167">
        <f t="shared" si="133"/>
        <v>0</v>
      </c>
      <c r="T135" s="166">
        <f t="shared" si="133"/>
        <v>0</v>
      </c>
      <c r="U135" s="231">
        <f t="shared" si="133"/>
        <v>0</v>
      </c>
      <c r="V135" s="166">
        <f t="shared" si="133"/>
        <v>0</v>
      </c>
      <c r="W135" s="226">
        <f>T135-U135</f>
        <v>0</v>
      </c>
      <c r="X135" s="226">
        <f t="shared" si="126"/>
        <v>0</v>
      </c>
      <c r="Y135" s="172" t="e">
        <f t="shared" si="127"/>
        <v>#DIV/0!</v>
      </c>
      <c r="Z135" s="171">
        <f t="shared" si="128"/>
        <v>0</v>
      </c>
      <c r="AA135" s="227" t="e">
        <f t="shared" si="129"/>
        <v>#DIV/0!</v>
      </c>
      <c r="AB135" s="228">
        <f>T135+V135</f>
        <v>0</v>
      </c>
    </row>
    <row r="136" spans="2:28" x14ac:dyDescent="0.35">
      <c r="B136" s="171" t="str">
        <f>C91</f>
        <v>IPNU</v>
      </c>
      <c r="C136" s="166">
        <f t="shared" ref="C136:H136" si="134">C99</f>
        <v>0</v>
      </c>
      <c r="D136" s="167">
        <f t="shared" si="134"/>
        <v>0</v>
      </c>
      <c r="E136" s="222">
        <f t="shared" si="134"/>
        <v>0</v>
      </c>
      <c r="F136" s="223">
        <f t="shared" si="134"/>
        <v>0</v>
      </c>
      <c r="G136" s="224">
        <f t="shared" si="134"/>
        <v>0</v>
      </c>
      <c r="H136" s="166">
        <f t="shared" si="134"/>
        <v>0</v>
      </c>
      <c r="I136" s="166">
        <f>F136-G136</f>
        <v>0</v>
      </c>
      <c r="J136" s="166">
        <f t="shared" si="121"/>
        <v>0</v>
      </c>
      <c r="K136" s="225" t="e">
        <f t="shared" si="122"/>
        <v>#DIV/0!</v>
      </c>
      <c r="L136" s="226">
        <f t="shared" si="123"/>
        <v>0</v>
      </c>
      <c r="M136" s="227" t="e">
        <f t="shared" si="124"/>
        <v>#DIV/0!</v>
      </c>
      <c r="N136" s="228">
        <f>F136+H136</f>
        <v>0</v>
      </c>
      <c r="P136" s="250">
        <f>Q91</f>
        <v>0</v>
      </c>
      <c r="Q136" s="166">
        <f t="shared" ref="Q136:V136" si="135">Q99</f>
        <v>0</v>
      </c>
      <c r="R136" s="230">
        <f t="shared" si="135"/>
        <v>0</v>
      </c>
      <c r="S136" s="167">
        <f t="shared" si="135"/>
        <v>0</v>
      </c>
      <c r="T136" s="166">
        <f t="shared" si="135"/>
        <v>0</v>
      </c>
      <c r="U136" s="231">
        <f t="shared" si="135"/>
        <v>0</v>
      </c>
      <c r="V136" s="166">
        <f t="shared" si="135"/>
        <v>0</v>
      </c>
      <c r="W136" s="226">
        <f>T136-U136</f>
        <v>0</v>
      </c>
      <c r="X136" s="226">
        <f t="shared" si="126"/>
        <v>0</v>
      </c>
      <c r="Y136" s="172" t="e">
        <f t="shared" si="127"/>
        <v>#DIV/0!</v>
      </c>
      <c r="Z136" s="171">
        <f t="shared" si="128"/>
        <v>0</v>
      </c>
      <c r="AA136" s="227" t="e">
        <f t="shared" si="129"/>
        <v>#DIV/0!</v>
      </c>
      <c r="AB136" s="228">
        <f>T136+V136</f>
        <v>0</v>
      </c>
    </row>
    <row r="137" spans="2:28" x14ac:dyDescent="0.35">
      <c r="B137" s="171">
        <f>C102</f>
        <v>0</v>
      </c>
      <c r="C137" s="166">
        <f t="shared" ref="C137:H137" si="136">C110</f>
        <v>0</v>
      </c>
      <c r="D137" s="167">
        <f t="shared" si="136"/>
        <v>0</v>
      </c>
      <c r="E137" s="222">
        <f t="shared" si="136"/>
        <v>0</v>
      </c>
      <c r="F137" s="223">
        <f t="shared" si="136"/>
        <v>0</v>
      </c>
      <c r="G137" s="224">
        <f t="shared" si="136"/>
        <v>0</v>
      </c>
      <c r="H137" s="166">
        <f t="shared" si="136"/>
        <v>0</v>
      </c>
      <c r="I137" s="166">
        <f>F137-G137</f>
        <v>0</v>
      </c>
      <c r="J137" s="166">
        <f t="shared" si="121"/>
        <v>0</v>
      </c>
      <c r="K137" s="225" t="e">
        <f t="shared" si="122"/>
        <v>#DIV/0!</v>
      </c>
      <c r="L137" s="226">
        <f t="shared" si="123"/>
        <v>0</v>
      </c>
      <c r="M137" s="227" t="e">
        <f t="shared" si="124"/>
        <v>#DIV/0!</v>
      </c>
      <c r="N137" s="228">
        <f>F137+H137</f>
        <v>0</v>
      </c>
      <c r="P137" s="253">
        <f>Q102</f>
        <v>0</v>
      </c>
      <c r="Q137" s="254">
        <f t="shared" ref="Q137:V137" si="137">Q110</f>
        <v>0</v>
      </c>
      <c r="R137" s="255">
        <f t="shared" si="137"/>
        <v>0</v>
      </c>
      <c r="S137" s="256">
        <f t="shared" si="137"/>
        <v>0</v>
      </c>
      <c r="T137" s="254">
        <f t="shared" si="137"/>
        <v>0</v>
      </c>
      <c r="U137" s="231">
        <f t="shared" si="137"/>
        <v>0</v>
      </c>
      <c r="V137" s="166">
        <f t="shared" si="137"/>
        <v>0</v>
      </c>
      <c r="W137" s="226">
        <f>T137-U137</f>
        <v>0</v>
      </c>
      <c r="X137" s="226">
        <f t="shared" si="126"/>
        <v>0</v>
      </c>
      <c r="Y137" s="172" t="e">
        <f t="shared" si="127"/>
        <v>#DIV/0!</v>
      </c>
      <c r="Z137" s="171">
        <f t="shared" si="128"/>
        <v>0</v>
      </c>
      <c r="AA137" s="227" t="e">
        <f t="shared" si="129"/>
        <v>#DIV/0!</v>
      </c>
      <c r="AB137" s="228">
        <f>T137+V137</f>
        <v>0</v>
      </c>
    </row>
    <row r="138" spans="2:28" x14ac:dyDescent="0.35">
      <c r="B138" s="175" t="s">
        <v>77</v>
      </c>
      <c r="C138" s="176">
        <f t="shared" ref="C138:H138" si="138">SUM(C133:C137)</f>
        <v>0</v>
      </c>
      <c r="D138" s="177">
        <f>SUM(D133:D137)</f>
        <v>0</v>
      </c>
      <c r="E138" s="178">
        <f t="shared" si="138"/>
        <v>0</v>
      </c>
      <c r="F138" s="303">
        <f>SUM(F133:F137)</f>
        <v>0</v>
      </c>
      <c r="G138" s="304">
        <f t="shared" si="138"/>
        <v>0</v>
      </c>
      <c r="H138" s="176">
        <f t="shared" si="138"/>
        <v>0</v>
      </c>
      <c r="I138" s="176">
        <f>SUM(I133:I137)</f>
        <v>0</v>
      </c>
      <c r="J138" s="176">
        <f t="shared" si="121"/>
        <v>0</v>
      </c>
      <c r="K138" s="305" t="e">
        <f t="shared" si="122"/>
        <v>#DIV/0!</v>
      </c>
      <c r="L138" s="353">
        <f t="shared" si="123"/>
        <v>0</v>
      </c>
      <c r="M138" s="180" t="e">
        <f t="shared" si="124"/>
        <v>#DIV/0!</v>
      </c>
      <c r="P138" s="232" t="s">
        <v>77</v>
      </c>
      <c r="Q138" s="233">
        <f t="shared" ref="Q138:V138" si="139">SUM(Q133:Q137)</f>
        <v>0</v>
      </c>
      <c r="R138" s="234">
        <f>SUM(R133:R137)</f>
        <v>0</v>
      </c>
      <c r="S138" s="235">
        <f t="shared" si="139"/>
        <v>0</v>
      </c>
      <c r="T138" s="233">
        <f t="shared" si="139"/>
        <v>0</v>
      </c>
      <c r="U138" s="236">
        <f t="shared" si="139"/>
        <v>0</v>
      </c>
      <c r="V138" s="233">
        <f t="shared" si="139"/>
        <v>0</v>
      </c>
      <c r="W138" s="233">
        <f>SUM(W133:W137)</f>
        <v>0</v>
      </c>
      <c r="X138" s="233">
        <f t="shared" si="126"/>
        <v>0</v>
      </c>
      <c r="Y138" s="239" t="e">
        <f t="shared" si="127"/>
        <v>#DIV/0!</v>
      </c>
      <c r="Z138" s="238">
        <f t="shared" si="128"/>
        <v>0</v>
      </c>
      <c r="AA138" s="239" t="e">
        <f t="shared" si="129"/>
        <v>#DIV/0!</v>
      </c>
    </row>
    <row r="139" spans="2:28" x14ac:dyDescent="0.35">
      <c r="B139" s="181" t="str">
        <f>$B$12</f>
        <v>TARGET Q4</v>
      </c>
      <c r="C139" s="182">
        <f>SUM(C111,C100,C89,C78,C67)</f>
        <v>0</v>
      </c>
      <c r="D139" s="240"/>
      <c r="E139" s="241"/>
      <c r="F139" s="241"/>
      <c r="G139" s="241"/>
      <c r="H139" s="241"/>
      <c r="I139" s="182">
        <f>I138</f>
        <v>0</v>
      </c>
      <c r="J139" s="182">
        <f t="shared" si="121"/>
        <v>0</v>
      </c>
      <c r="K139" s="242"/>
      <c r="L139" s="243"/>
      <c r="M139" s="244" t="e">
        <f>I139/C139</f>
        <v>#DIV/0!</v>
      </c>
      <c r="P139" s="181" t="str">
        <f>$B$12</f>
        <v>TARGET Q4</v>
      </c>
      <c r="Q139" s="182">
        <f>SUM(Q111,Q100,Q89,Q78,Q67)</f>
        <v>0</v>
      </c>
      <c r="R139" s="240"/>
      <c r="S139" s="241"/>
      <c r="T139" s="241"/>
      <c r="U139" s="241"/>
      <c r="V139" s="241"/>
      <c r="W139" s="182">
        <f>W138</f>
        <v>0</v>
      </c>
      <c r="X139" s="182">
        <f t="shared" si="126"/>
        <v>0</v>
      </c>
      <c r="Y139" s="242"/>
      <c r="Z139" s="243"/>
      <c r="AA139" s="244" t="e">
        <f>W139/Q139</f>
        <v>#DIV/0!</v>
      </c>
    </row>
    <row r="140" spans="2:28" x14ac:dyDescent="0.35">
      <c r="C140" s="202"/>
      <c r="D140" s="245"/>
      <c r="E140" s="245"/>
      <c r="F140" s="245"/>
      <c r="G140" s="245"/>
      <c r="H140" s="245"/>
      <c r="I140" s="245"/>
      <c r="J140" s="245"/>
      <c r="K140" s="245"/>
      <c r="L140" s="197"/>
      <c r="M140" s="246"/>
      <c r="Q140" s="202"/>
      <c r="R140" s="245"/>
      <c r="S140" s="245"/>
      <c r="T140" s="245"/>
      <c r="U140" s="245"/>
      <c r="V140" s="245"/>
      <c r="W140" s="202"/>
      <c r="X140" s="247"/>
      <c r="Y140" s="248"/>
      <c r="Z140" s="197"/>
      <c r="AA140" s="246"/>
    </row>
    <row r="141" spans="2:28" ht="15" customHeight="1" x14ac:dyDescent="0.35"/>
    <row r="142" spans="2:28" ht="15" customHeight="1" x14ac:dyDescent="0.35">
      <c r="B142" s="580" t="s">
        <v>131</v>
      </c>
      <c r="C142" s="581"/>
      <c r="D142" s="581"/>
      <c r="E142" s="581"/>
      <c r="F142" s="581"/>
      <c r="G142" s="581"/>
      <c r="H142" s="581"/>
      <c r="I142" s="581"/>
      <c r="J142" s="581"/>
      <c r="K142" s="581"/>
      <c r="L142" s="581"/>
      <c r="M142" s="582"/>
      <c r="P142" s="580" t="s">
        <v>132</v>
      </c>
      <c r="Q142" s="581"/>
      <c r="R142" s="581"/>
      <c r="S142" s="581"/>
      <c r="T142" s="581"/>
      <c r="U142" s="581"/>
      <c r="V142" s="581"/>
      <c r="W142" s="581"/>
      <c r="X142" s="581"/>
      <c r="Y142" s="581"/>
      <c r="Z142" s="581"/>
      <c r="AA142" s="582"/>
    </row>
    <row r="143" spans="2:28" ht="15" customHeight="1" x14ac:dyDescent="0.35">
      <c r="B143" s="583"/>
      <c r="C143" s="584"/>
      <c r="D143" s="584"/>
      <c r="E143" s="584"/>
      <c r="F143" s="584"/>
      <c r="G143" s="584"/>
      <c r="H143" s="584"/>
      <c r="I143" s="584"/>
      <c r="J143" s="584"/>
      <c r="K143" s="584"/>
      <c r="L143" s="584"/>
      <c r="M143" s="585"/>
      <c r="P143" s="583"/>
      <c r="Q143" s="584"/>
      <c r="R143" s="584"/>
      <c r="S143" s="584"/>
      <c r="T143" s="584"/>
      <c r="U143" s="584"/>
      <c r="V143" s="584"/>
      <c r="W143" s="584"/>
      <c r="X143" s="584"/>
      <c r="Y143" s="584"/>
      <c r="Z143" s="584"/>
      <c r="AA143" s="585"/>
    </row>
    <row r="144" spans="2:28" ht="15" customHeight="1" x14ac:dyDescent="0.35">
      <c r="B144" s="586" t="s">
        <v>133</v>
      </c>
      <c r="C144" s="587" t="s">
        <v>94</v>
      </c>
      <c r="D144" s="586" t="s">
        <v>91</v>
      </c>
      <c r="E144" s="586" t="s">
        <v>62</v>
      </c>
      <c r="F144" s="588" t="str">
        <f>F131</f>
        <v>OMSET OCT
 (1-1)</v>
      </c>
      <c r="G144" s="588" t="s">
        <v>95</v>
      </c>
      <c r="H144" s="587" t="s">
        <v>63</v>
      </c>
      <c r="I144" s="587" t="s">
        <v>64</v>
      </c>
      <c r="J144" s="587" t="s">
        <v>126</v>
      </c>
      <c r="K144" s="586" t="s">
        <v>66</v>
      </c>
      <c r="L144" s="590" t="s">
        <v>127</v>
      </c>
      <c r="M144" s="301" t="s">
        <v>128</v>
      </c>
      <c r="P144" s="660" t="s">
        <v>133</v>
      </c>
      <c r="Q144" s="660" t="s">
        <v>94</v>
      </c>
      <c r="R144" s="661" t="s">
        <v>91</v>
      </c>
      <c r="S144" s="660" t="s">
        <v>62</v>
      </c>
      <c r="T144" s="662" t="str">
        <f>T131</f>
        <v>OMSET OCT
 (1-1)</v>
      </c>
      <c r="U144" s="662" t="s">
        <v>95</v>
      </c>
      <c r="V144" s="663" t="s">
        <v>63</v>
      </c>
      <c r="W144" s="663" t="s">
        <v>64</v>
      </c>
      <c r="X144" s="663" t="s">
        <v>126</v>
      </c>
      <c r="Y144" s="660" t="str">
        <f>Y131</f>
        <v>PERCENTAGE</v>
      </c>
      <c r="Z144" s="664" t="s">
        <v>127</v>
      </c>
      <c r="AA144" s="220" t="s">
        <v>128</v>
      </c>
    </row>
    <row r="145" spans="2:27" x14ac:dyDescent="0.35">
      <c r="B145" s="586"/>
      <c r="C145" s="587"/>
      <c r="D145" s="586"/>
      <c r="E145" s="586"/>
      <c r="F145" s="588"/>
      <c r="G145" s="588"/>
      <c r="H145" s="587"/>
      <c r="I145" s="587"/>
      <c r="J145" s="587"/>
      <c r="K145" s="586"/>
      <c r="L145" s="590"/>
      <c r="M145" s="302">
        <f>100/DAY(EOMONTH($B$1,0))*DAY($B$1)/100</f>
        <v>3.2258064516129031E-2</v>
      </c>
      <c r="P145" s="660"/>
      <c r="Q145" s="660"/>
      <c r="R145" s="661"/>
      <c r="S145" s="660"/>
      <c r="T145" s="662"/>
      <c r="U145" s="662"/>
      <c r="V145" s="663"/>
      <c r="W145" s="663"/>
      <c r="X145" s="663"/>
      <c r="Y145" s="660"/>
      <c r="Z145" s="664"/>
      <c r="AA145" s="221">
        <f>K4</f>
        <v>3.2258064516129031E-2</v>
      </c>
    </row>
    <row r="146" spans="2:27" x14ac:dyDescent="0.35">
      <c r="B146" s="257" t="s">
        <v>134</v>
      </c>
      <c r="C146" s="166">
        <f>C125</f>
        <v>1541592000</v>
      </c>
      <c r="D146" s="167">
        <f t="shared" ref="D146:H146" si="140">D125</f>
        <v>0</v>
      </c>
      <c r="E146" s="222">
        <f t="shared" si="140"/>
        <v>0</v>
      </c>
      <c r="F146" s="223">
        <f t="shared" si="140"/>
        <v>0</v>
      </c>
      <c r="G146" s="224">
        <f t="shared" si="140"/>
        <v>0</v>
      </c>
      <c r="H146" s="166">
        <f t="shared" si="140"/>
        <v>0</v>
      </c>
      <c r="I146" s="166">
        <f>F146-G146</f>
        <v>0</v>
      </c>
      <c r="J146" s="166">
        <f>I146-C146</f>
        <v>-1541592000</v>
      </c>
      <c r="K146" s="172">
        <f>I146/C146</f>
        <v>0</v>
      </c>
      <c r="L146" s="226">
        <f>H146+I146</f>
        <v>0</v>
      </c>
      <c r="M146" s="227">
        <f>L146/C146</f>
        <v>0</v>
      </c>
      <c r="P146" s="257" t="s">
        <v>135</v>
      </c>
      <c r="Q146" s="166">
        <f t="shared" ref="Q146:V146" si="141">Q125</f>
        <v>0</v>
      </c>
      <c r="R146" s="230">
        <f t="shared" si="141"/>
        <v>0</v>
      </c>
      <c r="S146" s="167">
        <f t="shared" si="141"/>
        <v>0</v>
      </c>
      <c r="T146" s="223">
        <f t="shared" si="141"/>
        <v>0</v>
      </c>
      <c r="U146" s="224">
        <f t="shared" si="141"/>
        <v>0</v>
      </c>
      <c r="V146" s="166">
        <f t="shared" si="141"/>
        <v>0</v>
      </c>
      <c r="W146" s="166">
        <f>T146-U146</f>
        <v>0</v>
      </c>
      <c r="X146" s="166">
        <f>W146-Q146</f>
        <v>0</v>
      </c>
      <c r="Y146" s="172" t="e">
        <f>Y125</f>
        <v>#DIV/0!</v>
      </c>
      <c r="Z146" s="171">
        <f>V146+W146</f>
        <v>0</v>
      </c>
      <c r="AA146" s="227" t="e">
        <f>Z146/Q146</f>
        <v>#DIV/0!</v>
      </c>
    </row>
    <row r="147" spans="2:27" x14ac:dyDescent="0.35">
      <c r="B147" s="257" t="s">
        <v>136</v>
      </c>
      <c r="C147" s="166">
        <f t="shared" ref="C147:H147" si="142">C138</f>
        <v>0</v>
      </c>
      <c r="D147" s="167">
        <f t="shared" si="142"/>
        <v>0</v>
      </c>
      <c r="E147" s="222">
        <f t="shared" si="142"/>
        <v>0</v>
      </c>
      <c r="F147" s="223">
        <f t="shared" si="142"/>
        <v>0</v>
      </c>
      <c r="G147" s="224">
        <f t="shared" si="142"/>
        <v>0</v>
      </c>
      <c r="H147" s="166">
        <f t="shared" si="142"/>
        <v>0</v>
      </c>
      <c r="I147" s="166">
        <f>F147-G147</f>
        <v>0</v>
      </c>
      <c r="J147" s="166">
        <f>I147-C147</f>
        <v>0</v>
      </c>
      <c r="K147" s="172" t="e">
        <f>I147/C147</f>
        <v>#DIV/0!</v>
      </c>
      <c r="L147" s="226">
        <f>H147+I147</f>
        <v>0</v>
      </c>
      <c r="M147" s="227" t="e">
        <f>L147/C147</f>
        <v>#DIV/0!</v>
      </c>
      <c r="P147" s="257" t="s">
        <v>137</v>
      </c>
      <c r="Q147" s="166">
        <f t="shared" ref="Q147:V147" si="143">Q138</f>
        <v>0</v>
      </c>
      <c r="R147" s="230">
        <f t="shared" si="143"/>
        <v>0</v>
      </c>
      <c r="S147" s="167">
        <f t="shared" si="143"/>
        <v>0</v>
      </c>
      <c r="T147" s="223">
        <f t="shared" si="143"/>
        <v>0</v>
      </c>
      <c r="U147" s="224">
        <f>U138</f>
        <v>0</v>
      </c>
      <c r="V147" s="166">
        <f t="shared" si="143"/>
        <v>0</v>
      </c>
      <c r="W147" s="166">
        <f>T147-U147</f>
        <v>0</v>
      </c>
      <c r="X147" s="166">
        <f>W147-Q147</f>
        <v>0</v>
      </c>
      <c r="Y147" s="172" t="e">
        <f>Y138</f>
        <v>#DIV/0!</v>
      </c>
      <c r="Z147" s="171">
        <f>V147+W147</f>
        <v>0</v>
      </c>
      <c r="AA147" s="227" t="e">
        <f>Z147/Q147</f>
        <v>#DIV/0!</v>
      </c>
    </row>
    <row r="148" spans="2:27" x14ac:dyDescent="0.35">
      <c r="B148" s="175" t="s">
        <v>77</v>
      </c>
      <c r="C148" s="176">
        <f>SUM(C146:C147)</f>
        <v>1541592000</v>
      </c>
      <c r="D148" s="177">
        <f t="shared" ref="D148:I148" si="144">SUM(D146:D147)</f>
        <v>0</v>
      </c>
      <c r="E148" s="178">
        <f t="shared" si="144"/>
        <v>0</v>
      </c>
      <c r="F148" s="303">
        <f t="shared" si="144"/>
        <v>0</v>
      </c>
      <c r="G148" s="304">
        <f t="shared" si="144"/>
        <v>0</v>
      </c>
      <c r="H148" s="176">
        <f t="shared" si="144"/>
        <v>0</v>
      </c>
      <c r="I148" s="176">
        <f t="shared" si="144"/>
        <v>0</v>
      </c>
      <c r="J148" s="176">
        <f>I148-C148</f>
        <v>-1541592000</v>
      </c>
      <c r="K148" s="306">
        <f>I148/C148</f>
        <v>0</v>
      </c>
      <c r="L148" s="353">
        <f>H148+I148</f>
        <v>0</v>
      </c>
      <c r="M148" s="180">
        <f>L148/C148</f>
        <v>0</v>
      </c>
      <c r="P148" s="232" t="s">
        <v>77</v>
      </c>
      <c r="Q148" s="233">
        <f t="shared" ref="Q148:W148" si="145">SUM(Q146:Q147)</f>
        <v>0</v>
      </c>
      <c r="R148" s="234">
        <f t="shared" si="145"/>
        <v>0</v>
      </c>
      <c r="S148" s="235">
        <f t="shared" si="145"/>
        <v>0</v>
      </c>
      <c r="T148" s="258">
        <f t="shared" si="145"/>
        <v>0</v>
      </c>
      <c r="U148" s="259">
        <f t="shared" si="145"/>
        <v>0</v>
      </c>
      <c r="V148" s="233">
        <f t="shared" si="145"/>
        <v>0</v>
      </c>
      <c r="W148" s="233">
        <f t="shared" si="145"/>
        <v>0</v>
      </c>
      <c r="X148" s="233">
        <f>W148-Q148</f>
        <v>0</v>
      </c>
      <c r="Y148" s="260" t="e">
        <f>W148/Q148</f>
        <v>#DIV/0!</v>
      </c>
      <c r="Z148" s="238">
        <f>V148+W148</f>
        <v>0</v>
      </c>
      <c r="AA148" s="239" t="e">
        <f>Z148/Q148</f>
        <v>#DIV/0!</v>
      </c>
    </row>
  </sheetData>
  <mergeCells count="192">
    <mergeCell ref="D111:H111"/>
    <mergeCell ref="R111:V111"/>
    <mergeCell ref="O80:O88"/>
    <mergeCell ref="R80:R81"/>
    <mergeCell ref="S80:S81"/>
    <mergeCell ref="T80:W80"/>
    <mergeCell ref="F91:I91"/>
    <mergeCell ref="J91:J92"/>
    <mergeCell ref="O91:O99"/>
    <mergeCell ref="R91:R92"/>
    <mergeCell ref="S91:S92"/>
    <mergeCell ref="T91:W91"/>
    <mergeCell ref="A3:A11"/>
    <mergeCell ref="D3:D4"/>
    <mergeCell ref="E3:E4"/>
    <mergeCell ref="F3:I3"/>
    <mergeCell ref="J3:J4"/>
    <mergeCell ref="O3:O11"/>
    <mergeCell ref="R3:R4"/>
    <mergeCell ref="A25:A33"/>
    <mergeCell ref="D25:D26"/>
    <mergeCell ref="E25:E26"/>
    <mergeCell ref="F25:I25"/>
    <mergeCell ref="J25:J26"/>
    <mergeCell ref="O25:O33"/>
    <mergeCell ref="R25:R26"/>
    <mergeCell ref="A14:A22"/>
    <mergeCell ref="D14:D15"/>
    <mergeCell ref="E14:E15"/>
    <mergeCell ref="D12:H12"/>
    <mergeCell ref="R12:V12"/>
    <mergeCell ref="D23:H23"/>
    <mergeCell ref="R23:V23"/>
    <mergeCell ref="S25:S26"/>
    <mergeCell ref="T25:W25"/>
    <mergeCell ref="A36:A44"/>
    <mergeCell ref="D36:D37"/>
    <mergeCell ref="E36:E37"/>
    <mergeCell ref="D58:D59"/>
    <mergeCell ref="E58:E59"/>
    <mergeCell ref="F47:I47"/>
    <mergeCell ref="J47:J48"/>
    <mergeCell ref="O47:O55"/>
    <mergeCell ref="R47:R48"/>
    <mergeCell ref="A58:A66"/>
    <mergeCell ref="A47:A55"/>
    <mergeCell ref="D47:D48"/>
    <mergeCell ref="E47:E48"/>
    <mergeCell ref="R58:R59"/>
    <mergeCell ref="A69:A77"/>
    <mergeCell ref="D69:D70"/>
    <mergeCell ref="E69:E70"/>
    <mergeCell ref="F69:I69"/>
    <mergeCell ref="J69:J70"/>
    <mergeCell ref="O69:O77"/>
    <mergeCell ref="R69:R70"/>
    <mergeCell ref="S69:S70"/>
    <mergeCell ref="T69:W69"/>
    <mergeCell ref="A102:A110"/>
    <mergeCell ref="A91:A99"/>
    <mergeCell ref="D91:D92"/>
    <mergeCell ref="E91:E92"/>
    <mergeCell ref="D80:D81"/>
    <mergeCell ref="E80:E81"/>
    <mergeCell ref="A80:A88"/>
    <mergeCell ref="D102:D103"/>
    <mergeCell ref="E102:E103"/>
    <mergeCell ref="D89:H89"/>
    <mergeCell ref="D100:H100"/>
    <mergeCell ref="X91:X92"/>
    <mergeCell ref="F102:I102"/>
    <mergeCell ref="J102:J103"/>
    <mergeCell ref="O102:O110"/>
    <mergeCell ref="R102:R103"/>
    <mergeCell ref="S102:S103"/>
    <mergeCell ref="T102:W102"/>
    <mergeCell ref="X102:X103"/>
    <mergeCell ref="X69:X70"/>
    <mergeCell ref="X80:X81"/>
    <mergeCell ref="F80:I80"/>
    <mergeCell ref="J80:J81"/>
    <mergeCell ref="D78:H78"/>
    <mergeCell ref="R78:V78"/>
    <mergeCell ref="R89:V89"/>
    <mergeCell ref="R100:V100"/>
    <mergeCell ref="X25:X26"/>
    <mergeCell ref="F36:I36"/>
    <mergeCell ref="J36:J37"/>
    <mergeCell ref="O36:O44"/>
    <mergeCell ref="R36:R37"/>
    <mergeCell ref="S36:S37"/>
    <mergeCell ref="T36:W36"/>
    <mergeCell ref="S3:S4"/>
    <mergeCell ref="T3:W3"/>
    <mergeCell ref="X3:X4"/>
    <mergeCell ref="F14:I14"/>
    <mergeCell ref="J14:J15"/>
    <mergeCell ref="O14:O22"/>
    <mergeCell ref="R14:R15"/>
    <mergeCell ref="S14:S15"/>
    <mergeCell ref="T14:W14"/>
    <mergeCell ref="X14:X15"/>
    <mergeCell ref="D67:H67"/>
    <mergeCell ref="R67:V67"/>
    <mergeCell ref="X36:X37"/>
    <mergeCell ref="S47:S48"/>
    <mergeCell ref="T47:W47"/>
    <mergeCell ref="D34:H34"/>
    <mergeCell ref="R34:V34"/>
    <mergeCell ref="D45:H45"/>
    <mergeCell ref="R45:V45"/>
    <mergeCell ref="D56:H56"/>
    <mergeCell ref="R56:V56"/>
    <mergeCell ref="X47:X48"/>
    <mergeCell ref="F58:I58"/>
    <mergeCell ref="J58:J59"/>
    <mergeCell ref="O58:O66"/>
    <mergeCell ref="X58:X59"/>
    <mergeCell ref="S58:S59"/>
    <mergeCell ref="T58:W58"/>
    <mergeCell ref="B116:M117"/>
    <mergeCell ref="P116:AA117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J119"/>
    <mergeCell ref="K118:K119"/>
    <mergeCell ref="L118:L119"/>
    <mergeCell ref="P118:P119"/>
    <mergeCell ref="Q118:Q119"/>
    <mergeCell ref="R118:R119"/>
    <mergeCell ref="S118:S119"/>
    <mergeCell ref="T118:T119"/>
    <mergeCell ref="U118:U119"/>
    <mergeCell ref="V118:V119"/>
    <mergeCell ref="W118:W119"/>
    <mergeCell ref="X118:X119"/>
    <mergeCell ref="Y118:Y119"/>
    <mergeCell ref="Z118:Z119"/>
    <mergeCell ref="P129:AA130"/>
    <mergeCell ref="B131:B132"/>
    <mergeCell ref="C131:C132"/>
    <mergeCell ref="D131:D132"/>
    <mergeCell ref="E131:E132"/>
    <mergeCell ref="F131:F132"/>
    <mergeCell ref="G131:G132"/>
    <mergeCell ref="H131:H132"/>
    <mergeCell ref="I131:I132"/>
    <mergeCell ref="J131:J132"/>
    <mergeCell ref="K131:K132"/>
    <mergeCell ref="L131:L132"/>
    <mergeCell ref="P131:P132"/>
    <mergeCell ref="Q131:Q132"/>
    <mergeCell ref="R131:R132"/>
    <mergeCell ref="S131:S132"/>
    <mergeCell ref="T131:T132"/>
    <mergeCell ref="U131:U132"/>
    <mergeCell ref="V131:V132"/>
    <mergeCell ref="W131:W132"/>
    <mergeCell ref="X131:X132"/>
    <mergeCell ref="Y131:Y132"/>
    <mergeCell ref="Z131:Z132"/>
    <mergeCell ref="B129:M130"/>
    <mergeCell ref="B142:M143"/>
    <mergeCell ref="P142:AA143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4:J145"/>
    <mergeCell ref="K144:K145"/>
    <mergeCell ref="L144:L145"/>
    <mergeCell ref="P144:P145"/>
    <mergeCell ref="Q144:Q145"/>
    <mergeCell ref="R144:R145"/>
    <mergeCell ref="S144:S145"/>
    <mergeCell ref="T144:T145"/>
    <mergeCell ref="U144:U145"/>
    <mergeCell ref="V144:V145"/>
    <mergeCell ref="W144:W145"/>
    <mergeCell ref="X144:X145"/>
    <mergeCell ref="Y144:Y145"/>
    <mergeCell ref="Z144:Z145"/>
  </mergeCells>
  <phoneticPr fontId="9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31BE5-8320-40E2-83E5-4DCA7E1FE697}">
  <sheetPr>
    <tabColor rgb="FFFFFF00"/>
  </sheetPr>
  <dimension ref="A1:AI148"/>
  <sheetViews>
    <sheetView showGridLines="0" topLeftCell="C1" zoomScale="59" zoomScaleNormal="85" workbookViewId="0">
      <selection activeCell="B2" sqref="B2"/>
    </sheetView>
  </sheetViews>
  <sheetFormatPr defaultColWidth="8.7265625" defaultRowHeight="14.5" x14ac:dyDescent="0.35"/>
  <cols>
    <col min="1" max="1" width="8.7265625" style="194"/>
    <col min="2" max="2" width="17" style="194" customWidth="1"/>
    <col min="3" max="3" width="19.453125" style="186" customWidth="1"/>
    <col min="4" max="4" width="8.1796875" style="187" customWidth="1"/>
    <col min="5" max="5" width="8" style="188" customWidth="1"/>
    <col min="6" max="6" width="16.1796875" style="189" customWidth="1"/>
    <col min="7" max="7" width="16.1796875" style="190" customWidth="1"/>
    <col min="8" max="9" width="16.1796875" style="186" customWidth="1"/>
    <col min="10" max="10" width="16.1796875" style="191" customWidth="1"/>
    <col min="11" max="11" width="16.1796875" style="187" customWidth="1"/>
    <col min="12" max="12" width="16.453125" style="192" customWidth="1"/>
    <col min="13" max="13" width="18.7265625" style="193" bestFit="1" customWidth="1"/>
    <col min="14" max="14" width="18.54296875" style="194" customWidth="1"/>
    <col min="15" max="15" width="11.81640625" style="194" bestFit="1" customWidth="1"/>
    <col min="16" max="16" width="17.1796875" style="194" customWidth="1"/>
    <col min="17" max="17" width="19.453125" style="187" customWidth="1"/>
    <col min="18" max="18" width="8.1796875" style="195" customWidth="1"/>
    <col min="19" max="19" width="8.1796875" style="187" customWidth="1"/>
    <col min="20" max="20" width="16.1796875" style="189" customWidth="1"/>
    <col min="21" max="21" width="16.1796875" style="190" customWidth="1"/>
    <col min="22" max="24" width="16.1796875" style="186" customWidth="1"/>
    <col min="25" max="25" width="16.1796875" style="187" customWidth="1"/>
    <col min="26" max="26" width="15.7265625" style="186" customWidth="1"/>
    <col min="27" max="27" width="18.54296875" style="196" customWidth="1"/>
    <col min="28" max="28" width="14" style="194" bestFit="1" customWidth="1"/>
    <col min="29" max="29" width="12.54296875" style="194" customWidth="1"/>
    <col min="30" max="30" width="13" style="194" bestFit="1" customWidth="1"/>
    <col min="31" max="33" width="9.1796875" style="194" hidden="1" customWidth="1"/>
    <col min="34" max="34" width="7.7265625" style="194" hidden="1" customWidth="1"/>
    <col min="35" max="35" width="22.1796875" style="194" hidden="1" customWidth="1"/>
    <col min="36" max="36" width="24.1796875" style="194" customWidth="1"/>
    <col min="37" max="37" width="16" style="194" customWidth="1"/>
    <col min="38" max="38" width="12.54296875" style="194" bestFit="1" customWidth="1"/>
    <col min="39" max="40" width="18.26953125" style="194" customWidth="1"/>
    <col min="41" max="41" width="12.54296875" style="194" bestFit="1" customWidth="1"/>
    <col min="42" max="42" width="13.81640625" style="194" bestFit="1" customWidth="1"/>
    <col min="43" max="43" width="14.54296875" style="194" customWidth="1"/>
    <col min="44" max="16384" width="8.7265625" style="194"/>
  </cols>
  <sheetData>
    <row r="1" spans="1:28" ht="15" thickBot="1" x14ac:dyDescent="0.4">
      <c r="A1" s="184" t="s">
        <v>88</v>
      </c>
      <c r="B1" s="185">
        <v>46327</v>
      </c>
    </row>
    <row r="2" spans="1:28" ht="15" thickBot="1" x14ac:dyDescent="0.4">
      <c r="G2" s="190" t="s">
        <v>89</v>
      </c>
      <c r="W2" s="194"/>
    </row>
    <row r="3" spans="1:28" ht="19.5" customHeight="1" x14ac:dyDescent="0.35">
      <c r="A3" s="627">
        <v>1</v>
      </c>
      <c r="B3" s="352" t="s">
        <v>57</v>
      </c>
      <c r="C3" s="353" t="s">
        <v>90</v>
      </c>
      <c r="D3" s="681" t="s">
        <v>91</v>
      </c>
      <c r="E3" s="616" t="s">
        <v>62</v>
      </c>
      <c r="F3" s="604" t="s">
        <v>92</v>
      </c>
      <c r="G3" s="605"/>
      <c r="H3" s="605"/>
      <c r="I3" s="606"/>
      <c r="J3" s="587" t="s">
        <v>65</v>
      </c>
      <c r="K3" s="352" t="s">
        <v>66</v>
      </c>
      <c r="O3" s="613">
        <v>1</v>
      </c>
      <c r="P3" s="354" t="s">
        <v>57</v>
      </c>
      <c r="Q3" s="355" t="s">
        <v>49</v>
      </c>
      <c r="R3" s="679" t="s">
        <v>91</v>
      </c>
      <c r="S3" s="591" t="s">
        <v>62</v>
      </c>
      <c r="T3" s="610" t="s">
        <v>92</v>
      </c>
      <c r="U3" s="611"/>
      <c r="V3" s="611"/>
      <c r="W3" s="612"/>
      <c r="X3" s="595" t="s">
        <v>65</v>
      </c>
      <c r="Y3" s="354" t="s">
        <v>66</v>
      </c>
    </row>
    <row r="4" spans="1:28" s="199" customFormat="1" ht="36" customHeight="1" x14ac:dyDescent="0.35">
      <c r="A4" s="628"/>
      <c r="B4" s="352" t="s">
        <v>93</v>
      </c>
      <c r="C4" s="353" t="s">
        <v>94</v>
      </c>
      <c r="D4" s="682"/>
      <c r="E4" s="617"/>
      <c r="F4" s="163" t="str">
        <f>"OMSET "&amp;UPPER(TEXT($B$1,"MMM"))&amp;CHAR(10)&amp;" (1-"&amp;DAY($B$1)&amp;")"</f>
        <v>OMSET NOV
 (1-1)</v>
      </c>
      <c r="G4" s="163" t="s">
        <v>95</v>
      </c>
      <c r="H4" s="353" t="s">
        <v>63</v>
      </c>
      <c r="I4" s="353" t="s">
        <v>64</v>
      </c>
      <c r="J4" s="587"/>
      <c r="K4" s="164">
        <f>100/DAY(EOMONTH($B$1,0))*DAY($B$1)/100</f>
        <v>3.3333333333333333E-2</v>
      </c>
      <c r="L4" s="197"/>
      <c r="M4" s="198"/>
      <c r="O4" s="614"/>
      <c r="P4" s="354" t="s">
        <v>93</v>
      </c>
      <c r="Q4" s="355" t="s">
        <v>94</v>
      </c>
      <c r="R4" s="680"/>
      <c r="S4" s="592"/>
      <c r="T4" s="200" t="str">
        <f>F4</f>
        <v>OMSET NOV
 (1-1)</v>
      </c>
      <c r="U4" s="200" t="str">
        <f>G4</f>
        <v>OMSET PRODUK</v>
      </c>
      <c r="V4" s="355" t="s">
        <v>63</v>
      </c>
      <c r="W4" s="355" t="s">
        <v>64</v>
      </c>
      <c r="X4" s="596"/>
      <c r="Y4" s="201">
        <f>K4</f>
        <v>3.3333333333333333E-2</v>
      </c>
      <c r="Z4" s="202"/>
      <c r="AA4" s="203"/>
    </row>
    <row r="5" spans="1:28" x14ac:dyDescent="0.35">
      <c r="A5" s="628"/>
      <c r="B5" s="165" t="s">
        <v>96</v>
      </c>
      <c r="C5" s="166">
        <v>184991040</v>
      </c>
      <c r="D5" s="167"/>
      <c r="E5" s="168"/>
      <c r="F5" s="169"/>
      <c r="G5" s="170"/>
      <c r="H5" s="166"/>
      <c r="I5" s="166">
        <f t="shared" ref="I5:I11" si="0">F5-G5</f>
        <v>0</v>
      </c>
      <c r="J5" s="171">
        <f t="shared" ref="J5:J10" si="1">I5-C5</f>
        <v>-184991040</v>
      </c>
      <c r="K5" s="172">
        <f t="shared" ref="K5:K12" si="2">I5/C5</f>
        <v>0</v>
      </c>
      <c r="L5" s="192">
        <f t="shared" ref="L5:L10" si="3">IF(K5&gt;120%, I5*0.55%, IF(K5&gt;100%, I5*0.45%, IF(K5&gt;80%, I5*0.35%, IF(K5&gt;60%, I5*0.2%, 0))))</f>
        <v>0</v>
      </c>
      <c r="O5" s="614"/>
      <c r="P5" s="165" t="s">
        <v>96</v>
      </c>
      <c r="Q5" s="166"/>
      <c r="R5" s="167"/>
      <c r="S5" s="168"/>
      <c r="T5" s="169"/>
      <c r="U5" s="170"/>
      <c r="V5" s="166"/>
      <c r="W5" s="166">
        <f t="shared" ref="W5:W11" si="4">T5-U5</f>
        <v>0</v>
      </c>
      <c r="X5" s="171">
        <f>W5-Q5</f>
        <v>0</v>
      </c>
      <c r="Y5" s="172" t="e">
        <f>W5/Q5</f>
        <v>#DIV/0!</v>
      </c>
      <c r="Z5" s="192" t="e">
        <f t="shared" ref="Z5:Z10" si="5">IF(Y5&gt;120%, W5*0.55%, IF(Y5&gt;100%, W5*0.45%, IF(Y5&gt;80%, W5*0.35%, IF(Y5&gt;60%, W5*0.2%, 0))))</f>
        <v>#DIV/0!</v>
      </c>
    </row>
    <row r="6" spans="1:28" x14ac:dyDescent="0.35">
      <c r="A6" s="628"/>
      <c r="B6" s="165" t="s">
        <v>97</v>
      </c>
      <c r="C6" s="173">
        <v>308318400</v>
      </c>
      <c r="D6" s="167"/>
      <c r="E6" s="168"/>
      <c r="F6" s="169"/>
      <c r="G6" s="174"/>
      <c r="H6" s="173"/>
      <c r="I6" s="166">
        <f t="shared" si="0"/>
        <v>0</v>
      </c>
      <c r="J6" s="171">
        <f t="shared" si="1"/>
        <v>-308318400</v>
      </c>
      <c r="K6" s="172">
        <f t="shared" si="2"/>
        <v>0</v>
      </c>
      <c r="L6" s="192">
        <f t="shared" si="3"/>
        <v>0</v>
      </c>
      <c r="O6" s="614"/>
      <c r="P6" s="165" t="s">
        <v>97</v>
      </c>
      <c r="Q6" s="173"/>
      <c r="R6" s="167"/>
      <c r="S6" s="168"/>
      <c r="T6" s="169"/>
      <c r="U6" s="174"/>
      <c r="V6" s="173"/>
      <c r="W6" s="166">
        <f t="shared" si="4"/>
        <v>0</v>
      </c>
      <c r="X6" s="171">
        <f>W6-Q6</f>
        <v>0</v>
      </c>
      <c r="Y6" s="172" t="e">
        <f>W6/Q6</f>
        <v>#DIV/0!</v>
      </c>
      <c r="Z6" s="192" t="e">
        <f t="shared" si="5"/>
        <v>#DIV/0!</v>
      </c>
    </row>
    <row r="7" spans="1:28" x14ac:dyDescent="0.35">
      <c r="A7" s="628"/>
      <c r="B7" s="165" t="s">
        <v>98</v>
      </c>
      <c r="C7" s="173">
        <v>123327360</v>
      </c>
      <c r="D7" s="167"/>
      <c r="E7" s="168"/>
      <c r="F7" s="169"/>
      <c r="G7" s="170"/>
      <c r="H7" s="173"/>
      <c r="I7" s="166">
        <f t="shared" si="0"/>
        <v>0</v>
      </c>
      <c r="J7" s="171">
        <f t="shared" si="1"/>
        <v>-123327360</v>
      </c>
      <c r="K7" s="172">
        <f t="shared" si="2"/>
        <v>0</v>
      </c>
      <c r="L7" s="192">
        <f t="shared" si="3"/>
        <v>0</v>
      </c>
      <c r="O7" s="614"/>
      <c r="P7" s="165" t="s">
        <v>98</v>
      </c>
      <c r="Q7" s="173"/>
      <c r="R7" s="167"/>
      <c r="S7" s="168"/>
      <c r="T7" s="169"/>
      <c r="U7" s="170"/>
      <c r="V7" s="173"/>
      <c r="W7" s="166">
        <f t="shared" si="4"/>
        <v>0</v>
      </c>
      <c r="X7" s="171">
        <f t="shared" ref="X7:X11" si="6">W7-Q7</f>
        <v>0</v>
      </c>
      <c r="Y7" s="172" t="e">
        <f t="shared" ref="Y7:Y11" si="7">W7/Q7</f>
        <v>#DIV/0!</v>
      </c>
      <c r="Z7" s="192" t="e">
        <f t="shared" si="5"/>
        <v>#DIV/0!</v>
      </c>
    </row>
    <row r="8" spans="1:28" x14ac:dyDescent="0.35">
      <c r="A8" s="628"/>
      <c r="B8" s="165" t="s">
        <v>99</v>
      </c>
      <c r="C8" s="173">
        <v>169575120</v>
      </c>
      <c r="D8" s="167"/>
      <c r="E8" s="168"/>
      <c r="F8" s="169"/>
      <c r="G8" s="170"/>
      <c r="H8" s="173"/>
      <c r="I8" s="166">
        <f t="shared" si="0"/>
        <v>0</v>
      </c>
      <c r="J8" s="171">
        <f t="shared" si="1"/>
        <v>-169575120</v>
      </c>
      <c r="K8" s="172">
        <f t="shared" si="2"/>
        <v>0</v>
      </c>
      <c r="L8" s="192">
        <f t="shared" si="3"/>
        <v>0</v>
      </c>
      <c r="O8" s="614"/>
      <c r="P8" s="165" t="s">
        <v>99</v>
      </c>
      <c r="Q8" s="173"/>
      <c r="R8" s="167"/>
      <c r="S8" s="168"/>
      <c r="T8" s="169"/>
      <c r="U8" s="170"/>
      <c r="V8" s="173"/>
      <c r="W8" s="166">
        <f t="shared" si="4"/>
        <v>0</v>
      </c>
      <c r="X8" s="171">
        <f t="shared" si="6"/>
        <v>0</v>
      </c>
      <c r="Y8" s="172" t="e">
        <f t="shared" si="7"/>
        <v>#DIV/0!</v>
      </c>
      <c r="Z8" s="192" t="e">
        <f t="shared" si="5"/>
        <v>#DIV/0!</v>
      </c>
    </row>
    <row r="9" spans="1:28" x14ac:dyDescent="0.35">
      <c r="A9" s="628"/>
      <c r="B9" s="165" t="s">
        <v>100</v>
      </c>
      <c r="C9" s="173">
        <v>231238800</v>
      </c>
      <c r="D9" s="167"/>
      <c r="E9" s="168"/>
      <c r="F9" s="169"/>
      <c r="G9" s="170"/>
      <c r="H9" s="173"/>
      <c r="I9" s="166">
        <f t="shared" si="0"/>
        <v>0</v>
      </c>
      <c r="J9" s="171">
        <f t="shared" si="1"/>
        <v>-231238800</v>
      </c>
      <c r="K9" s="172">
        <f t="shared" si="2"/>
        <v>0</v>
      </c>
      <c r="L9" s="192">
        <f t="shared" si="3"/>
        <v>0</v>
      </c>
      <c r="O9" s="614"/>
      <c r="P9" s="165" t="s">
        <v>100</v>
      </c>
      <c r="Q9" s="173"/>
      <c r="R9" s="167"/>
      <c r="S9" s="168"/>
      <c r="T9" s="169"/>
      <c r="U9" s="170"/>
      <c r="V9" s="173"/>
      <c r="W9" s="166">
        <f t="shared" si="4"/>
        <v>0</v>
      </c>
      <c r="X9" s="171">
        <f t="shared" si="6"/>
        <v>0</v>
      </c>
      <c r="Y9" s="172" t="e">
        <f t="shared" si="7"/>
        <v>#DIV/0!</v>
      </c>
      <c r="Z9" s="192" t="e">
        <f t="shared" si="5"/>
        <v>#DIV/0!</v>
      </c>
    </row>
    <row r="10" spans="1:28" x14ac:dyDescent="0.35">
      <c r="A10" s="628"/>
      <c r="B10" s="165" t="s">
        <v>101</v>
      </c>
      <c r="C10" s="173">
        <v>524141280.00000006</v>
      </c>
      <c r="D10" s="167"/>
      <c r="E10" s="168"/>
      <c r="F10" s="169"/>
      <c r="G10" s="170"/>
      <c r="H10" s="173"/>
      <c r="I10" s="166">
        <f t="shared" si="0"/>
        <v>0</v>
      </c>
      <c r="J10" s="171">
        <f t="shared" si="1"/>
        <v>-524141280.00000006</v>
      </c>
      <c r="K10" s="172">
        <f t="shared" si="2"/>
        <v>0</v>
      </c>
      <c r="L10" s="192">
        <f t="shared" si="3"/>
        <v>0</v>
      </c>
      <c r="O10" s="614"/>
      <c r="P10" s="165" t="s">
        <v>101</v>
      </c>
      <c r="Q10" s="173"/>
      <c r="R10" s="167"/>
      <c r="S10" s="168"/>
      <c r="T10" s="169"/>
      <c r="U10" s="170"/>
      <c r="V10" s="173"/>
      <c r="W10" s="166">
        <f t="shared" si="4"/>
        <v>0</v>
      </c>
      <c r="X10" s="171">
        <f t="shared" si="6"/>
        <v>0</v>
      </c>
      <c r="Y10" s="172" t="e">
        <f t="shared" si="7"/>
        <v>#DIV/0!</v>
      </c>
      <c r="Z10" s="192" t="e">
        <f t="shared" si="5"/>
        <v>#DIV/0!</v>
      </c>
    </row>
    <row r="11" spans="1:28" s="199" customFormat="1" ht="14.5" customHeight="1" thickBot="1" x14ac:dyDescent="0.4">
      <c r="A11" s="628"/>
      <c r="B11" s="175" t="s">
        <v>77</v>
      </c>
      <c r="C11" s="176">
        <f t="shared" ref="C11:H11" si="8">SUM(C5:C10)</f>
        <v>1541592000</v>
      </c>
      <c r="D11" s="177">
        <f>SUM(D5:D10)</f>
        <v>0</v>
      </c>
      <c r="E11" s="178">
        <f t="shared" si="8"/>
        <v>0</v>
      </c>
      <c r="F11" s="176">
        <f>SUM(F5:F10)</f>
        <v>0</v>
      </c>
      <c r="G11" s="179">
        <f t="shared" si="8"/>
        <v>0</v>
      </c>
      <c r="H11" s="176">
        <f t="shared" si="8"/>
        <v>0</v>
      </c>
      <c r="I11" s="176">
        <f t="shared" si="0"/>
        <v>0</v>
      </c>
      <c r="J11" s="176">
        <f>I11-C11</f>
        <v>-1541592000</v>
      </c>
      <c r="K11" s="180">
        <f>I11/C11</f>
        <v>0</v>
      </c>
      <c r="L11" s="197">
        <f>SUM(L5:L10)</f>
        <v>0</v>
      </c>
      <c r="M11" s="198"/>
      <c r="O11" s="615"/>
      <c r="P11" s="204" t="s">
        <v>77</v>
      </c>
      <c r="Q11" s="205">
        <f>SUM(Q5:Q10)</f>
        <v>0</v>
      </c>
      <c r="R11" s="206">
        <f t="shared" ref="R11:V11" si="9">SUM(R5:R10)</f>
        <v>0</v>
      </c>
      <c r="S11" s="207">
        <f t="shared" si="9"/>
        <v>0</v>
      </c>
      <c r="T11" s="205">
        <f t="shared" si="9"/>
        <v>0</v>
      </c>
      <c r="U11" s="208">
        <f t="shared" si="9"/>
        <v>0</v>
      </c>
      <c r="V11" s="205">
        <f t="shared" si="9"/>
        <v>0</v>
      </c>
      <c r="W11" s="205">
        <f t="shared" si="4"/>
        <v>0</v>
      </c>
      <c r="X11" s="205">
        <f t="shared" si="6"/>
        <v>0</v>
      </c>
      <c r="Y11" s="209" t="e">
        <f t="shared" si="7"/>
        <v>#DIV/0!</v>
      </c>
      <c r="Z11" s="197" t="e">
        <f>SUM(Z5:Z10)</f>
        <v>#DIV/0!</v>
      </c>
      <c r="AA11" s="203"/>
      <c r="AB11" s="194"/>
    </row>
    <row r="12" spans="1:28" x14ac:dyDescent="0.35">
      <c r="B12" s="181" t="s">
        <v>87</v>
      </c>
      <c r="C12" s="182">
        <f>C11*B13</f>
        <v>1233273600</v>
      </c>
      <c r="D12" s="676"/>
      <c r="E12" s="677"/>
      <c r="F12" s="677"/>
      <c r="G12" s="677"/>
      <c r="H12" s="678"/>
      <c r="I12" s="182">
        <f>I11</f>
        <v>0</v>
      </c>
      <c r="J12" s="182">
        <f>I12-C12</f>
        <v>-1233273600</v>
      </c>
      <c r="K12" s="183">
        <f t="shared" si="2"/>
        <v>0</v>
      </c>
      <c r="L12" s="192">
        <f>IF(K12&gt;=1,3500000,IF(K12&gt;=0.9,2500000,0))</f>
        <v>0</v>
      </c>
      <c r="P12" s="181" t="str">
        <f>$B$12</f>
        <v>TARGET Q4</v>
      </c>
      <c r="Q12" s="182">
        <f>P13*Q11</f>
        <v>0</v>
      </c>
      <c r="R12" s="676"/>
      <c r="S12" s="677"/>
      <c r="T12" s="677"/>
      <c r="U12" s="677"/>
      <c r="V12" s="678"/>
      <c r="W12" s="182">
        <f>W11</f>
        <v>0</v>
      </c>
      <c r="X12" s="182">
        <f>W12-Q12</f>
        <v>0</v>
      </c>
      <c r="Y12" s="183" t="e">
        <f>W12/Q12</f>
        <v>#DIV/0!</v>
      </c>
      <c r="Z12" s="192" t="e">
        <f>IF(Y12&gt;=1,3500000,IF(Y12&gt;=0.9,2500000,0))</f>
        <v>#DIV/0!</v>
      </c>
    </row>
    <row r="13" spans="1:28" ht="15" thickBot="1" x14ac:dyDescent="0.4">
      <c r="B13" s="194">
        <f>80%</f>
        <v>0.8</v>
      </c>
      <c r="C13" s="210">
        <f>C12/C11</f>
        <v>0.8</v>
      </c>
      <c r="P13" s="194">
        <f>80%</f>
        <v>0.8</v>
      </c>
      <c r="Q13" s="210" t="e">
        <f>Q12/Q11</f>
        <v>#DIV/0!</v>
      </c>
    </row>
    <row r="14" spans="1:28" ht="19.5" customHeight="1" x14ac:dyDescent="0.35">
      <c r="A14" s="623">
        <v>2</v>
      </c>
      <c r="B14" s="352" t="s">
        <v>57</v>
      </c>
      <c r="C14" s="353" t="s">
        <v>102</v>
      </c>
      <c r="D14" s="681" t="s">
        <v>91</v>
      </c>
      <c r="E14" s="616" t="s">
        <v>62</v>
      </c>
      <c r="F14" s="604" t="s">
        <v>103</v>
      </c>
      <c r="G14" s="605"/>
      <c r="H14" s="605"/>
      <c r="I14" s="606"/>
      <c r="J14" s="587" t="s">
        <v>65</v>
      </c>
      <c r="K14" s="352" t="s">
        <v>66</v>
      </c>
      <c r="O14" s="607">
        <v>2</v>
      </c>
      <c r="P14" s="354" t="s">
        <v>57</v>
      </c>
      <c r="Q14" s="355"/>
      <c r="R14" s="679" t="s">
        <v>91</v>
      </c>
      <c r="S14" s="591" t="s">
        <v>62</v>
      </c>
      <c r="T14" s="610" t="s">
        <v>103</v>
      </c>
      <c r="U14" s="611"/>
      <c r="V14" s="611"/>
      <c r="W14" s="612"/>
      <c r="X14" s="603" t="s">
        <v>65</v>
      </c>
      <c r="Y14" s="354" t="s">
        <v>66</v>
      </c>
    </row>
    <row r="15" spans="1:28" ht="36" customHeight="1" x14ac:dyDescent="0.35">
      <c r="A15" s="623"/>
      <c r="B15" s="352" t="s">
        <v>93</v>
      </c>
      <c r="C15" s="353" t="str">
        <f>C4</f>
        <v>TARGET 100%</v>
      </c>
      <c r="D15" s="682"/>
      <c r="E15" s="617"/>
      <c r="F15" s="163" t="str">
        <f>F4</f>
        <v>OMSET NOV
 (1-1)</v>
      </c>
      <c r="G15" s="163" t="str">
        <f>G4</f>
        <v>OMSET PRODUK</v>
      </c>
      <c r="H15" s="353" t="s">
        <v>63</v>
      </c>
      <c r="I15" s="353" t="s">
        <v>64</v>
      </c>
      <c r="J15" s="587"/>
      <c r="K15" s="164">
        <f>K4</f>
        <v>3.3333333333333333E-2</v>
      </c>
      <c r="L15" s="211"/>
      <c r="M15" s="212"/>
      <c r="O15" s="608"/>
      <c r="P15" s="354" t="s">
        <v>93</v>
      </c>
      <c r="Q15" s="355" t="str">
        <f>Q4</f>
        <v>TARGET 100%</v>
      </c>
      <c r="R15" s="680"/>
      <c r="S15" s="592"/>
      <c r="T15" s="200" t="str">
        <f>T4</f>
        <v>OMSET NOV
 (1-1)</v>
      </c>
      <c r="U15" s="200" t="str">
        <f>G4</f>
        <v>OMSET PRODUK</v>
      </c>
      <c r="V15" s="355" t="s">
        <v>63</v>
      </c>
      <c r="W15" s="355" t="s">
        <v>64</v>
      </c>
      <c r="X15" s="603"/>
      <c r="Y15" s="201">
        <f>K15</f>
        <v>3.3333333333333333E-2</v>
      </c>
    </row>
    <row r="16" spans="1:28" ht="14.5" customHeight="1" x14ac:dyDescent="0.35">
      <c r="A16" s="623"/>
      <c r="B16" s="165" t="s">
        <v>96</v>
      </c>
      <c r="C16" s="166"/>
      <c r="D16" s="167"/>
      <c r="E16" s="168"/>
      <c r="F16" s="169"/>
      <c r="G16" s="170"/>
      <c r="H16" s="166"/>
      <c r="I16" s="166">
        <f t="shared" ref="I16:I22" si="10">F16-G16</f>
        <v>0</v>
      </c>
      <c r="J16" s="171">
        <f t="shared" ref="J16:J22" si="11">I16-C16</f>
        <v>0</v>
      </c>
      <c r="K16" s="172" t="e">
        <f t="shared" ref="K16:K23" si="12">I16/C16</f>
        <v>#DIV/0!</v>
      </c>
      <c r="L16" s="192" t="e">
        <f t="shared" ref="L16:L21" si="13">IF(K16&gt;120%, I16*0.55%, IF(K16&gt;100%, I16*0.45%, IF(K16&gt;80%, I16*0.35%, IF(K16&gt;60%, I16*0.2%, 0))))</f>
        <v>#DIV/0!</v>
      </c>
      <c r="O16" s="608"/>
      <c r="P16" s="165" t="s">
        <v>96</v>
      </c>
      <c r="Q16" s="166"/>
      <c r="R16" s="167"/>
      <c r="S16" s="168"/>
      <c r="T16" s="169"/>
      <c r="U16" s="170"/>
      <c r="V16" s="166"/>
      <c r="W16" s="166">
        <f t="shared" ref="W16:W22" si="14">T16-U16</f>
        <v>0</v>
      </c>
      <c r="X16" s="171">
        <f t="shared" ref="X16:X22" si="15">W16-Q16</f>
        <v>0</v>
      </c>
      <c r="Y16" s="172" t="e">
        <f t="shared" ref="Y16:Y21" si="16">W16/Q16</f>
        <v>#DIV/0!</v>
      </c>
      <c r="Z16" s="192" t="e">
        <f t="shared" ref="Z16:Z21" si="17">IF(Y16&gt;120%, W16*0.55%, IF(Y16&gt;100%, W16*0.45%, IF(Y16&gt;80%, W16*0.35%, IF(Y16&gt;60%, W16*0.2%, 0))))</f>
        <v>#DIV/0!</v>
      </c>
    </row>
    <row r="17" spans="1:26" ht="14.5" customHeight="1" x14ac:dyDescent="0.35">
      <c r="A17" s="623"/>
      <c r="B17" s="165" t="s">
        <v>97</v>
      </c>
      <c r="C17" s="173"/>
      <c r="D17" s="167"/>
      <c r="E17" s="168"/>
      <c r="F17" s="169"/>
      <c r="G17" s="174"/>
      <c r="H17" s="173"/>
      <c r="I17" s="166">
        <f t="shared" si="10"/>
        <v>0</v>
      </c>
      <c r="J17" s="171">
        <f t="shared" si="11"/>
        <v>0</v>
      </c>
      <c r="K17" s="172" t="e">
        <f t="shared" si="12"/>
        <v>#DIV/0!</v>
      </c>
      <c r="L17" s="192" t="e">
        <f t="shared" si="13"/>
        <v>#DIV/0!</v>
      </c>
      <c r="O17" s="608"/>
      <c r="P17" s="165" t="s">
        <v>97</v>
      </c>
      <c r="Q17" s="173"/>
      <c r="R17" s="167"/>
      <c r="S17" s="168"/>
      <c r="T17" s="169"/>
      <c r="U17" s="174"/>
      <c r="V17" s="173"/>
      <c r="W17" s="166">
        <f t="shared" si="14"/>
        <v>0</v>
      </c>
      <c r="X17" s="171">
        <f t="shared" si="15"/>
        <v>0</v>
      </c>
      <c r="Y17" s="172" t="e">
        <f t="shared" si="16"/>
        <v>#DIV/0!</v>
      </c>
      <c r="Z17" s="192" t="e">
        <f t="shared" si="17"/>
        <v>#DIV/0!</v>
      </c>
    </row>
    <row r="18" spans="1:26" ht="14.5" customHeight="1" x14ac:dyDescent="0.35">
      <c r="A18" s="623"/>
      <c r="B18" s="165" t="s">
        <v>98</v>
      </c>
      <c r="C18" s="173"/>
      <c r="D18" s="167"/>
      <c r="E18" s="168"/>
      <c r="F18" s="169"/>
      <c r="G18" s="170"/>
      <c r="H18" s="173"/>
      <c r="I18" s="166">
        <f t="shared" si="10"/>
        <v>0</v>
      </c>
      <c r="J18" s="171">
        <f t="shared" si="11"/>
        <v>0</v>
      </c>
      <c r="K18" s="172" t="e">
        <f t="shared" si="12"/>
        <v>#DIV/0!</v>
      </c>
      <c r="L18" s="192" t="e">
        <f t="shared" si="13"/>
        <v>#DIV/0!</v>
      </c>
      <c r="M18" s="213"/>
      <c r="O18" s="608"/>
      <c r="P18" s="165" t="s">
        <v>98</v>
      </c>
      <c r="Q18" s="173"/>
      <c r="R18" s="167"/>
      <c r="S18" s="168"/>
      <c r="T18" s="169"/>
      <c r="U18" s="170"/>
      <c r="V18" s="173"/>
      <c r="W18" s="166">
        <f t="shared" si="14"/>
        <v>0</v>
      </c>
      <c r="X18" s="171">
        <f t="shared" si="15"/>
        <v>0</v>
      </c>
      <c r="Y18" s="172" t="e">
        <f t="shared" si="16"/>
        <v>#DIV/0!</v>
      </c>
      <c r="Z18" s="192" t="e">
        <f t="shared" si="17"/>
        <v>#DIV/0!</v>
      </c>
    </row>
    <row r="19" spans="1:26" ht="14.5" customHeight="1" x14ac:dyDescent="0.35">
      <c r="A19" s="623"/>
      <c r="B19" s="165" t="s">
        <v>99</v>
      </c>
      <c r="C19" s="173"/>
      <c r="D19" s="167"/>
      <c r="E19" s="168"/>
      <c r="F19" s="169"/>
      <c r="G19" s="170"/>
      <c r="H19" s="173"/>
      <c r="I19" s="166">
        <f t="shared" si="10"/>
        <v>0</v>
      </c>
      <c r="J19" s="171">
        <f t="shared" si="11"/>
        <v>0</v>
      </c>
      <c r="K19" s="172" t="e">
        <f t="shared" si="12"/>
        <v>#DIV/0!</v>
      </c>
      <c r="L19" s="192" t="e">
        <f t="shared" si="13"/>
        <v>#DIV/0!</v>
      </c>
      <c r="O19" s="608"/>
      <c r="P19" s="165" t="s">
        <v>99</v>
      </c>
      <c r="Q19" s="173"/>
      <c r="R19" s="167"/>
      <c r="S19" s="168"/>
      <c r="T19" s="169"/>
      <c r="U19" s="170"/>
      <c r="V19" s="173"/>
      <c r="W19" s="166">
        <f t="shared" si="14"/>
        <v>0</v>
      </c>
      <c r="X19" s="171">
        <f t="shared" si="15"/>
        <v>0</v>
      </c>
      <c r="Y19" s="172" t="e">
        <f t="shared" si="16"/>
        <v>#DIV/0!</v>
      </c>
      <c r="Z19" s="192" t="e">
        <f t="shared" si="17"/>
        <v>#DIV/0!</v>
      </c>
    </row>
    <row r="20" spans="1:26" ht="14.5" customHeight="1" x14ac:dyDescent="0.35">
      <c r="A20" s="623"/>
      <c r="B20" s="165" t="s">
        <v>100</v>
      </c>
      <c r="C20" s="173"/>
      <c r="D20" s="167"/>
      <c r="E20" s="168"/>
      <c r="F20" s="169"/>
      <c r="G20" s="170"/>
      <c r="H20" s="173"/>
      <c r="I20" s="166">
        <f t="shared" si="10"/>
        <v>0</v>
      </c>
      <c r="J20" s="171">
        <f t="shared" si="11"/>
        <v>0</v>
      </c>
      <c r="K20" s="172" t="e">
        <f t="shared" si="12"/>
        <v>#DIV/0!</v>
      </c>
      <c r="L20" s="192" t="e">
        <f t="shared" si="13"/>
        <v>#DIV/0!</v>
      </c>
      <c r="O20" s="608"/>
      <c r="P20" s="165" t="s">
        <v>100</v>
      </c>
      <c r="Q20" s="173"/>
      <c r="R20" s="167"/>
      <c r="S20" s="168"/>
      <c r="T20" s="169"/>
      <c r="U20" s="170"/>
      <c r="V20" s="173"/>
      <c r="W20" s="166">
        <f>T20-U20</f>
        <v>0</v>
      </c>
      <c r="X20" s="171">
        <f t="shared" si="15"/>
        <v>0</v>
      </c>
      <c r="Y20" s="172" t="e">
        <f t="shared" si="16"/>
        <v>#DIV/0!</v>
      </c>
      <c r="Z20" s="192" t="e">
        <f t="shared" si="17"/>
        <v>#DIV/0!</v>
      </c>
    </row>
    <row r="21" spans="1:26" ht="14.5" customHeight="1" x14ac:dyDescent="0.35">
      <c r="A21" s="623"/>
      <c r="B21" s="165" t="s">
        <v>101</v>
      </c>
      <c r="C21" s="173"/>
      <c r="D21" s="167"/>
      <c r="E21" s="168"/>
      <c r="F21" s="169"/>
      <c r="G21" s="170"/>
      <c r="H21" s="173"/>
      <c r="I21" s="166">
        <f t="shared" si="10"/>
        <v>0</v>
      </c>
      <c r="J21" s="171">
        <f t="shared" si="11"/>
        <v>0</v>
      </c>
      <c r="K21" s="172" t="e">
        <f t="shared" si="12"/>
        <v>#DIV/0!</v>
      </c>
      <c r="L21" s="192" t="e">
        <f t="shared" si="13"/>
        <v>#DIV/0!</v>
      </c>
      <c r="O21" s="608"/>
      <c r="P21" s="165" t="s">
        <v>101</v>
      </c>
      <c r="Q21" s="173"/>
      <c r="R21" s="167"/>
      <c r="S21" s="168"/>
      <c r="T21" s="169"/>
      <c r="U21" s="170"/>
      <c r="V21" s="173"/>
      <c r="W21" s="166">
        <f t="shared" si="14"/>
        <v>0</v>
      </c>
      <c r="X21" s="171">
        <f t="shared" si="15"/>
        <v>0</v>
      </c>
      <c r="Y21" s="172" t="e">
        <f t="shared" si="16"/>
        <v>#DIV/0!</v>
      </c>
      <c r="Z21" s="192" t="e">
        <f t="shared" si="17"/>
        <v>#DIV/0!</v>
      </c>
    </row>
    <row r="22" spans="1:26" ht="14.5" customHeight="1" thickBot="1" x14ac:dyDescent="0.4">
      <c r="A22" s="623"/>
      <c r="B22" s="175" t="s">
        <v>77</v>
      </c>
      <c r="C22" s="176">
        <f t="shared" ref="C22:H22" si="18">SUM(C16:C21)</f>
        <v>0</v>
      </c>
      <c r="D22" s="177">
        <f>SUM(D16:D21)</f>
        <v>0</v>
      </c>
      <c r="E22" s="178">
        <f t="shared" si="18"/>
        <v>0</v>
      </c>
      <c r="F22" s="176">
        <f>SUM(F16:F21)</f>
        <v>0</v>
      </c>
      <c r="G22" s="179">
        <f t="shared" si="18"/>
        <v>0</v>
      </c>
      <c r="H22" s="176">
        <f t="shared" si="18"/>
        <v>0</v>
      </c>
      <c r="I22" s="176">
        <f t="shared" si="10"/>
        <v>0</v>
      </c>
      <c r="J22" s="176">
        <f t="shared" si="11"/>
        <v>0</v>
      </c>
      <c r="K22" s="180" t="e">
        <f t="shared" si="12"/>
        <v>#DIV/0!</v>
      </c>
      <c r="L22" s="197" t="e">
        <f>SUM(L16:L21)</f>
        <v>#DIV/0!</v>
      </c>
      <c r="O22" s="609"/>
      <c r="P22" s="204" t="s">
        <v>77</v>
      </c>
      <c r="Q22" s="205">
        <f t="shared" ref="Q22:V22" si="19">SUM(Q16:Q21)</f>
        <v>0</v>
      </c>
      <c r="R22" s="206">
        <f>SUM(R16:R21)</f>
        <v>0</v>
      </c>
      <c r="S22" s="207">
        <f t="shared" si="19"/>
        <v>0</v>
      </c>
      <c r="T22" s="205">
        <f t="shared" si="19"/>
        <v>0</v>
      </c>
      <c r="U22" s="208">
        <f t="shared" si="19"/>
        <v>0</v>
      </c>
      <c r="V22" s="205">
        <f t="shared" si="19"/>
        <v>0</v>
      </c>
      <c r="W22" s="205">
        <f t="shared" si="14"/>
        <v>0</v>
      </c>
      <c r="X22" s="205">
        <f t="shared" si="15"/>
        <v>0</v>
      </c>
      <c r="Y22" s="209" t="e">
        <f>W22/Q22</f>
        <v>#DIV/0!</v>
      </c>
      <c r="Z22" s="197" t="e">
        <f>SUM(Z16:Z21)</f>
        <v>#DIV/0!</v>
      </c>
    </row>
    <row r="23" spans="1:26" x14ac:dyDescent="0.35">
      <c r="B23" s="181" t="str">
        <f>$B$12</f>
        <v>TARGET Q4</v>
      </c>
      <c r="C23" s="182"/>
      <c r="D23" s="676"/>
      <c r="E23" s="677"/>
      <c r="F23" s="677"/>
      <c r="G23" s="677"/>
      <c r="H23" s="678"/>
      <c r="I23" s="182">
        <f>I22</f>
        <v>0</v>
      </c>
      <c r="J23" s="182">
        <f>I23-C23</f>
        <v>0</v>
      </c>
      <c r="K23" s="183" t="e">
        <f t="shared" si="12"/>
        <v>#DIV/0!</v>
      </c>
      <c r="L23" s="192" t="e">
        <f>IF(K23&gt;=1,3500000,IF(K23&gt;=0.9,2500000,0))</f>
        <v>#DIV/0!</v>
      </c>
      <c r="P23" s="181" t="str">
        <f>$B$12</f>
        <v>TARGET Q4</v>
      </c>
      <c r="Q23" s="182">
        <f>Q22*P24</f>
        <v>0</v>
      </c>
      <c r="R23" s="676"/>
      <c r="S23" s="677"/>
      <c r="T23" s="677"/>
      <c r="U23" s="677"/>
      <c r="V23" s="678"/>
      <c r="W23" s="182">
        <f>W22</f>
        <v>0</v>
      </c>
      <c r="X23" s="182">
        <f>W23-Q23</f>
        <v>0</v>
      </c>
      <c r="Y23" s="183" t="e">
        <f>W23/Q23</f>
        <v>#DIV/0!</v>
      </c>
      <c r="Z23" s="192" t="e">
        <f>IF(Y23&gt;=1,3500000,IF(Y23&gt;=0.9,2500000,0))</f>
        <v>#DIV/0!</v>
      </c>
    </row>
    <row r="24" spans="1:26" ht="15" thickBot="1" x14ac:dyDescent="0.4">
      <c r="C24" s="210" t="e">
        <f>C23/C22</f>
        <v>#DIV/0!</v>
      </c>
      <c r="P24" s="194">
        <f>80%</f>
        <v>0.8</v>
      </c>
      <c r="Q24" s="210" t="e">
        <f>Q23/Q22</f>
        <v>#DIV/0!</v>
      </c>
    </row>
    <row r="25" spans="1:26" ht="19.5" customHeight="1" x14ac:dyDescent="0.35">
      <c r="A25" s="623">
        <v>3</v>
      </c>
      <c r="B25" s="352" t="s">
        <v>57</v>
      </c>
      <c r="C25" s="353" t="s">
        <v>105</v>
      </c>
      <c r="D25" s="681" t="s">
        <v>91</v>
      </c>
      <c r="E25" s="616" t="s">
        <v>62</v>
      </c>
      <c r="F25" s="604" t="s">
        <v>138</v>
      </c>
      <c r="G25" s="605"/>
      <c r="H25" s="605"/>
      <c r="I25" s="606"/>
      <c r="J25" s="587" t="s">
        <v>65</v>
      </c>
      <c r="K25" s="352" t="s">
        <v>66</v>
      </c>
      <c r="O25" s="613">
        <v>3</v>
      </c>
      <c r="P25" s="354" t="s">
        <v>57</v>
      </c>
      <c r="Q25" s="355"/>
      <c r="R25" s="679" t="s">
        <v>91</v>
      </c>
      <c r="S25" s="591" t="s">
        <v>62</v>
      </c>
      <c r="T25" s="610" t="s">
        <v>139</v>
      </c>
      <c r="U25" s="611"/>
      <c r="V25" s="611"/>
      <c r="W25" s="612"/>
      <c r="X25" s="603" t="s">
        <v>65</v>
      </c>
      <c r="Y25" s="354" t="s">
        <v>66</v>
      </c>
    </row>
    <row r="26" spans="1:26" ht="36" customHeight="1" x14ac:dyDescent="0.35">
      <c r="A26" s="623"/>
      <c r="B26" s="352" t="s">
        <v>93</v>
      </c>
      <c r="C26" s="353" t="str">
        <f>C15</f>
        <v>TARGET 100%</v>
      </c>
      <c r="D26" s="682"/>
      <c r="E26" s="617"/>
      <c r="F26" s="163" t="str">
        <f>F4</f>
        <v>OMSET NOV
 (1-1)</v>
      </c>
      <c r="G26" s="163" t="str">
        <f>G4</f>
        <v>OMSET PRODUK</v>
      </c>
      <c r="H26" s="353" t="s">
        <v>63</v>
      </c>
      <c r="I26" s="353" t="s">
        <v>64</v>
      </c>
      <c r="J26" s="587"/>
      <c r="K26" s="164">
        <f>K15</f>
        <v>3.3333333333333333E-2</v>
      </c>
      <c r="O26" s="614"/>
      <c r="P26" s="354" t="s">
        <v>93</v>
      </c>
      <c r="Q26" s="355" t="str">
        <f>Q15</f>
        <v>TARGET 100%</v>
      </c>
      <c r="R26" s="680"/>
      <c r="S26" s="592"/>
      <c r="T26" s="200" t="str">
        <f>T4</f>
        <v>OMSET NOV
 (1-1)</v>
      </c>
      <c r="U26" s="200" t="str">
        <f>G4</f>
        <v>OMSET PRODUK</v>
      </c>
      <c r="V26" s="355" t="s">
        <v>63</v>
      </c>
      <c r="W26" s="355" t="s">
        <v>64</v>
      </c>
      <c r="X26" s="603"/>
      <c r="Y26" s="201">
        <f>K26</f>
        <v>3.3333333333333333E-2</v>
      </c>
    </row>
    <row r="27" spans="1:26" ht="14.5" customHeight="1" x14ac:dyDescent="0.35">
      <c r="A27" s="623"/>
      <c r="B27" s="165" t="s">
        <v>96</v>
      </c>
      <c r="C27" s="166"/>
      <c r="D27" s="167"/>
      <c r="E27" s="168"/>
      <c r="F27" s="169"/>
      <c r="G27" s="170"/>
      <c r="H27" s="166"/>
      <c r="I27" s="166">
        <f t="shared" ref="I27:I33" si="20">F27-G27</f>
        <v>0</v>
      </c>
      <c r="J27" s="171">
        <f t="shared" ref="J27:J33" si="21">I27-C27</f>
        <v>0</v>
      </c>
      <c r="K27" s="172" t="e">
        <f t="shared" ref="K27:K34" si="22">I27/C27</f>
        <v>#DIV/0!</v>
      </c>
      <c r="L27" s="192" t="e">
        <f t="shared" ref="L27:L32" si="23">IF(K27&gt;120%, I27*0.55%, IF(K27&gt;100%, I27*0.45%, IF(K27&gt;80%, I27*0.35%, IF(K27&gt;60%, I27*0.2%, 0))))</f>
        <v>#DIV/0!</v>
      </c>
      <c r="O27" s="614"/>
      <c r="P27" s="165" t="s">
        <v>96</v>
      </c>
      <c r="Q27" s="166"/>
      <c r="R27" s="167"/>
      <c r="S27" s="168"/>
      <c r="T27" s="169"/>
      <c r="U27" s="170"/>
      <c r="V27" s="166"/>
      <c r="W27" s="166">
        <f t="shared" ref="W27:W33" si="24">T27-U27</f>
        <v>0</v>
      </c>
      <c r="X27" s="171">
        <f t="shared" ref="X27:X33" si="25">W27-Q27</f>
        <v>0</v>
      </c>
      <c r="Y27" s="172" t="e">
        <f t="shared" ref="Y27:Y33" si="26">W27/Q27</f>
        <v>#DIV/0!</v>
      </c>
      <c r="Z27" s="192" t="e">
        <f t="shared" ref="Z27:Z32" si="27">IF(Y27&gt;120%, W27*0.55%, IF(Y27&gt;100%, W27*0.45%, IF(Y27&gt;80%, W27*0.35%, IF(Y27&gt;60%, W27*0.2%, 0))))</f>
        <v>#DIV/0!</v>
      </c>
    </row>
    <row r="28" spans="1:26" ht="14.5" customHeight="1" x14ac:dyDescent="0.35">
      <c r="A28" s="623"/>
      <c r="B28" s="165" t="s">
        <v>97</v>
      </c>
      <c r="C28" s="173"/>
      <c r="D28" s="167"/>
      <c r="E28" s="168"/>
      <c r="F28" s="169"/>
      <c r="G28" s="174"/>
      <c r="H28" s="173"/>
      <c r="I28" s="166">
        <f t="shared" si="20"/>
        <v>0</v>
      </c>
      <c r="J28" s="171">
        <f t="shared" si="21"/>
        <v>0</v>
      </c>
      <c r="K28" s="172" t="e">
        <f t="shared" si="22"/>
        <v>#DIV/0!</v>
      </c>
      <c r="L28" s="192" t="e">
        <f t="shared" si="23"/>
        <v>#DIV/0!</v>
      </c>
      <c r="O28" s="614"/>
      <c r="P28" s="165" t="s">
        <v>97</v>
      </c>
      <c r="Q28" s="173"/>
      <c r="R28" s="167"/>
      <c r="S28" s="168"/>
      <c r="T28" s="169"/>
      <c r="U28" s="174"/>
      <c r="V28" s="173"/>
      <c r="W28" s="166">
        <f t="shared" si="24"/>
        <v>0</v>
      </c>
      <c r="X28" s="171">
        <f t="shared" si="25"/>
        <v>0</v>
      </c>
      <c r="Y28" s="172" t="e">
        <f t="shared" si="26"/>
        <v>#DIV/0!</v>
      </c>
      <c r="Z28" s="192" t="e">
        <f t="shared" si="27"/>
        <v>#DIV/0!</v>
      </c>
    </row>
    <row r="29" spans="1:26" ht="14.5" customHeight="1" x14ac:dyDescent="0.35">
      <c r="A29" s="623"/>
      <c r="B29" s="165" t="s">
        <v>98</v>
      </c>
      <c r="C29" s="173"/>
      <c r="D29" s="167"/>
      <c r="E29" s="168"/>
      <c r="F29" s="169"/>
      <c r="G29" s="170"/>
      <c r="H29" s="173"/>
      <c r="I29" s="166">
        <f t="shared" si="20"/>
        <v>0</v>
      </c>
      <c r="J29" s="171">
        <f t="shared" si="21"/>
        <v>0</v>
      </c>
      <c r="K29" s="172" t="e">
        <f t="shared" si="22"/>
        <v>#DIV/0!</v>
      </c>
      <c r="L29" s="192" t="e">
        <f t="shared" si="23"/>
        <v>#DIV/0!</v>
      </c>
      <c r="O29" s="614"/>
      <c r="P29" s="165" t="s">
        <v>98</v>
      </c>
      <c r="Q29" s="173"/>
      <c r="R29" s="167"/>
      <c r="S29" s="168"/>
      <c r="T29" s="169"/>
      <c r="U29" s="170"/>
      <c r="V29" s="173"/>
      <c r="W29" s="166">
        <f t="shared" si="24"/>
        <v>0</v>
      </c>
      <c r="X29" s="171">
        <f t="shared" si="25"/>
        <v>0</v>
      </c>
      <c r="Y29" s="172" t="e">
        <f t="shared" si="26"/>
        <v>#DIV/0!</v>
      </c>
      <c r="Z29" s="192" t="e">
        <f t="shared" si="27"/>
        <v>#DIV/0!</v>
      </c>
    </row>
    <row r="30" spans="1:26" ht="14.5" customHeight="1" x14ac:dyDescent="0.35">
      <c r="A30" s="623"/>
      <c r="B30" s="165" t="s">
        <v>99</v>
      </c>
      <c r="C30" s="173"/>
      <c r="D30" s="167"/>
      <c r="E30" s="168"/>
      <c r="F30" s="169"/>
      <c r="G30" s="170"/>
      <c r="H30" s="173"/>
      <c r="I30" s="166">
        <f t="shared" si="20"/>
        <v>0</v>
      </c>
      <c r="J30" s="171">
        <f t="shared" si="21"/>
        <v>0</v>
      </c>
      <c r="K30" s="172" t="e">
        <f t="shared" si="22"/>
        <v>#DIV/0!</v>
      </c>
      <c r="L30" s="192" t="e">
        <f t="shared" si="23"/>
        <v>#DIV/0!</v>
      </c>
      <c r="O30" s="614"/>
      <c r="P30" s="165" t="s">
        <v>99</v>
      </c>
      <c r="Q30" s="173"/>
      <c r="R30" s="167"/>
      <c r="S30" s="168"/>
      <c r="T30" s="169"/>
      <c r="U30" s="170"/>
      <c r="V30" s="173"/>
      <c r="W30" s="166">
        <f t="shared" si="24"/>
        <v>0</v>
      </c>
      <c r="X30" s="171">
        <f t="shared" si="25"/>
        <v>0</v>
      </c>
      <c r="Y30" s="172" t="e">
        <f t="shared" si="26"/>
        <v>#DIV/0!</v>
      </c>
      <c r="Z30" s="192" t="e">
        <f t="shared" si="27"/>
        <v>#DIV/0!</v>
      </c>
    </row>
    <row r="31" spans="1:26" ht="14.5" customHeight="1" x14ac:dyDescent="0.35">
      <c r="A31" s="623"/>
      <c r="B31" s="165" t="s">
        <v>100</v>
      </c>
      <c r="C31" s="173"/>
      <c r="D31" s="167"/>
      <c r="E31" s="168"/>
      <c r="F31" s="169"/>
      <c r="G31" s="170"/>
      <c r="H31" s="173"/>
      <c r="I31" s="166">
        <f t="shared" si="20"/>
        <v>0</v>
      </c>
      <c r="J31" s="171">
        <f t="shared" si="21"/>
        <v>0</v>
      </c>
      <c r="K31" s="172" t="e">
        <f t="shared" si="22"/>
        <v>#DIV/0!</v>
      </c>
      <c r="L31" s="192" t="e">
        <f t="shared" si="23"/>
        <v>#DIV/0!</v>
      </c>
      <c r="O31" s="614"/>
      <c r="P31" s="165" t="s">
        <v>100</v>
      </c>
      <c r="Q31" s="173"/>
      <c r="R31" s="167"/>
      <c r="S31" s="168"/>
      <c r="T31" s="169"/>
      <c r="U31" s="170"/>
      <c r="V31" s="173"/>
      <c r="W31" s="166">
        <f t="shared" si="24"/>
        <v>0</v>
      </c>
      <c r="X31" s="171">
        <f t="shared" si="25"/>
        <v>0</v>
      </c>
      <c r="Y31" s="172" t="e">
        <f>W31/Q31</f>
        <v>#DIV/0!</v>
      </c>
      <c r="Z31" s="192" t="e">
        <f t="shared" si="27"/>
        <v>#DIV/0!</v>
      </c>
    </row>
    <row r="32" spans="1:26" ht="14.5" customHeight="1" x14ac:dyDescent="0.35">
      <c r="A32" s="623"/>
      <c r="B32" s="165" t="s">
        <v>101</v>
      </c>
      <c r="C32" s="173"/>
      <c r="D32" s="167"/>
      <c r="E32" s="168"/>
      <c r="F32" s="169"/>
      <c r="G32" s="170"/>
      <c r="H32" s="173"/>
      <c r="I32" s="166">
        <f t="shared" si="20"/>
        <v>0</v>
      </c>
      <c r="J32" s="171">
        <f t="shared" si="21"/>
        <v>0</v>
      </c>
      <c r="K32" s="172" t="e">
        <f t="shared" si="22"/>
        <v>#DIV/0!</v>
      </c>
      <c r="L32" s="192" t="e">
        <f t="shared" si="23"/>
        <v>#DIV/0!</v>
      </c>
      <c r="O32" s="614"/>
      <c r="P32" s="165" t="s">
        <v>101</v>
      </c>
      <c r="Q32" s="173"/>
      <c r="R32" s="167"/>
      <c r="S32" s="168"/>
      <c r="T32" s="169"/>
      <c r="U32" s="170"/>
      <c r="V32" s="173"/>
      <c r="W32" s="166">
        <f t="shared" si="24"/>
        <v>0</v>
      </c>
      <c r="X32" s="171">
        <f t="shared" si="25"/>
        <v>0</v>
      </c>
      <c r="Y32" s="172" t="e">
        <f t="shared" si="26"/>
        <v>#DIV/0!</v>
      </c>
      <c r="Z32" s="192" t="e">
        <f t="shared" si="27"/>
        <v>#DIV/0!</v>
      </c>
    </row>
    <row r="33" spans="1:26" ht="14.5" customHeight="1" thickBot="1" x14ac:dyDescent="0.4">
      <c r="A33" s="623"/>
      <c r="B33" s="175" t="s">
        <v>77</v>
      </c>
      <c r="C33" s="176">
        <f t="shared" ref="C33:H33" si="28">SUM(C27:C32)</f>
        <v>0</v>
      </c>
      <c r="D33" s="177">
        <f>SUM(D27:D32)</f>
        <v>0</v>
      </c>
      <c r="E33" s="178">
        <f>SUM(E27:E32)</f>
        <v>0</v>
      </c>
      <c r="F33" s="176">
        <f t="shared" si="28"/>
        <v>0</v>
      </c>
      <c r="G33" s="179">
        <f t="shared" si="28"/>
        <v>0</v>
      </c>
      <c r="H33" s="176">
        <f t="shared" si="28"/>
        <v>0</v>
      </c>
      <c r="I33" s="176">
        <f t="shared" si="20"/>
        <v>0</v>
      </c>
      <c r="J33" s="176">
        <f t="shared" si="21"/>
        <v>0</v>
      </c>
      <c r="K33" s="180" t="e">
        <f t="shared" si="22"/>
        <v>#DIV/0!</v>
      </c>
      <c r="L33" s="197" t="e">
        <f>SUM(L27:L32)</f>
        <v>#DIV/0!</v>
      </c>
      <c r="O33" s="615"/>
      <c r="P33" s="204" t="s">
        <v>77</v>
      </c>
      <c r="Q33" s="205">
        <f t="shared" ref="Q33:V33" si="29">SUM(Q27:Q32)</f>
        <v>0</v>
      </c>
      <c r="R33" s="206">
        <f>SUM(R27:R32)</f>
        <v>0</v>
      </c>
      <c r="S33" s="207">
        <f t="shared" si="29"/>
        <v>0</v>
      </c>
      <c r="T33" s="205">
        <f>SUM(T27:T32)</f>
        <v>0</v>
      </c>
      <c r="U33" s="208">
        <f t="shared" si="29"/>
        <v>0</v>
      </c>
      <c r="V33" s="205">
        <f t="shared" si="29"/>
        <v>0</v>
      </c>
      <c r="W33" s="205">
        <f t="shared" si="24"/>
        <v>0</v>
      </c>
      <c r="X33" s="205">
        <f t="shared" si="25"/>
        <v>0</v>
      </c>
      <c r="Y33" s="209" t="e">
        <f t="shared" si="26"/>
        <v>#DIV/0!</v>
      </c>
      <c r="Z33" s="197" t="e">
        <f>SUM(Z27:Z32)</f>
        <v>#DIV/0!</v>
      </c>
    </row>
    <row r="34" spans="1:26" x14ac:dyDescent="0.35">
      <c r="B34" s="181" t="str">
        <f>$B$12</f>
        <v>TARGET Q4</v>
      </c>
      <c r="C34" s="182">
        <f>B35*C33</f>
        <v>0</v>
      </c>
      <c r="D34" s="676"/>
      <c r="E34" s="677"/>
      <c r="F34" s="677"/>
      <c r="G34" s="677"/>
      <c r="H34" s="678"/>
      <c r="I34" s="182">
        <f>I33</f>
        <v>0</v>
      </c>
      <c r="J34" s="182">
        <f>I34-C34</f>
        <v>0</v>
      </c>
      <c r="K34" s="183" t="e">
        <f t="shared" si="22"/>
        <v>#DIV/0!</v>
      </c>
      <c r="L34" s="192" t="e">
        <f>IF(K34&gt;=1,3500000,IF(K34&gt;=0.9,2500000,0))</f>
        <v>#DIV/0!</v>
      </c>
      <c r="P34" s="181" t="str">
        <f>$B$12</f>
        <v>TARGET Q4</v>
      </c>
      <c r="Q34" s="182"/>
      <c r="R34" s="676"/>
      <c r="S34" s="677"/>
      <c r="T34" s="677"/>
      <c r="U34" s="677"/>
      <c r="V34" s="678"/>
      <c r="W34" s="182">
        <f>W33</f>
        <v>0</v>
      </c>
      <c r="X34" s="182">
        <f>W34-Q34</f>
        <v>0</v>
      </c>
      <c r="Y34" s="183" t="e">
        <f>W34/Q34</f>
        <v>#DIV/0!</v>
      </c>
      <c r="Z34" s="192" t="e">
        <f>IF(Y34&gt;=1,3500000,IF(Y34&gt;=0.9,2500000,0))</f>
        <v>#DIV/0!</v>
      </c>
    </row>
    <row r="35" spans="1:26" ht="15" thickBot="1" x14ac:dyDescent="0.4">
      <c r="B35" s="194">
        <f>80%</f>
        <v>0.8</v>
      </c>
      <c r="C35" s="210" t="e">
        <f>C34/C33</f>
        <v>#DIV/0!</v>
      </c>
      <c r="Q35" s="210" t="e">
        <f>Q34/Q33</f>
        <v>#DIV/0!</v>
      </c>
    </row>
    <row r="36" spans="1:26" ht="19.5" customHeight="1" x14ac:dyDescent="0.35">
      <c r="A36" s="623">
        <v>4</v>
      </c>
      <c r="B36" s="352" t="s">
        <v>57</v>
      </c>
      <c r="C36" s="353" t="s">
        <v>108</v>
      </c>
      <c r="D36" s="681" t="s">
        <v>91</v>
      </c>
      <c r="E36" s="616" t="s">
        <v>62</v>
      </c>
      <c r="F36" s="604" t="s">
        <v>109</v>
      </c>
      <c r="G36" s="605"/>
      <c r="H36" s="605"/>
      <c r="I36" s="606"/>
      <c r="J36" s="587" t="s">
        <v>65</v>
      </c>
      <c r="K36" s="352" t="s">
        <v>66</v>
      </c>
      <c r="O36" s="607">
        <v>4</v>
      </c>
      <c r="P36" s="354" t="s">
        <v>57</v>
      </c>
      <c r="Q36" s="355" t="s">
        <v>53</v>
      </c>
      <c r="R36" s="679" t="s">
        <v>91</v>
      </c>
      <c r="S36" s="591" t="s">
        <v>62</v>
      </c>
      <c r="T36" s="610" t="s">
        <v>109</v>
      </c>
      <c r="U36" s="611"/>
      <c r="V36" s="611"/>
      <c r="W36" s="612"/>
      <c r="X36" s="603" t="s">
        <v>65</v>
      </c>
      <c r="Y36" s="354" t="s">
        <v>66</v>
      </c>
    </row>
    <row r="37" spans="1:26" ht="36" customHeight="1" x14ac:dyDescent="0.35">
      <c r="A37" s="623"/>
      <c r="B37" s="352" t="s">
        <v>93</v>
      </c>
      <c r="C37" s="353" t="str">
        <f>C26</f>
        <v>TARGET 100%</v>
      </c>
      <c r="D37" s="682"/>
      <c r="E37" s="617"/>
      <c r="F37" s="163" t="str">
        <f>F4</f>
        <v>OMSET NOV
 (1-1)</v>
      </c>
      <c r="G37" s="163" t="str">
        <f>G4</f>
        <v>OMSET PRODUK</v>
      </c>
      <c r="H37" s="353" t="s">
        <v>63</v>
      </c>
      <c r="I37" s="353" t="s">
        <v>64</v>
      </c>
      <c r="J37" s="587"/>
      <c r="K37" s="164">
        <f>K26</f>
        <v>3.3333333333333333E-2</v>
      </c>
      <c r="L37" s="214"/>
      <c r="M37" s="212"/>
      <c r="O37" s="608"/>
      <c r="P37" s="354" t="s">
        <v>93</v>
      </c>
      <c r="Q37" s="355" t="str">
        <f>Q26</f>
        <v>TARGET 100%</v>
      </c>
      <c r="R37" s="680"/>
      <c r="S37" s="592"/>
      <c r="T37" s="200" t="str">
        <f>T4</f>
        <v>OMSET NOV
 (1-1)</v>
      </c>
      <c r="U37" s="200" t="str">
        <f>G4</f>
        <v>OMSET PRODUK</v>
      </c>
      <c r="V37" s="355" t="s">
        <v>63</v>
      </c>
      <c r="W37" s="355" t="s">
        <v>64</v>
      </c>
      <c r="X37" s="603"/>
      <c r="Y37" s="201">
        <f>K37</f>
        <v>3.3333333333333333E-2</v>
      </c>
    </row>
    <row r="38" spans="1:26" ht="14.5" customHeight="1" x14ac:dyDescent="0.35">
      <c r="A38" s="623"/>
      <c r="B38" s="165" t="s">
        <v>96</v>
      </c>
      <c r="C38" s="166"/>
      <c r="D38" s="167"/>
      <c r="E38" s="168"/>
      <c r="F38" s="169"/>
      <c r="G38" s="170"/>
      <c r="H38" s="166"/>
      <c r="I38" s="166">
        <f t="shared" ref="I38:I44" si="30">F38-G38</f>
        <v>0</v>
      </c>
      <c r="J38" s="171">
        <f t="shared" ref="J38:J44" si="31">I38-C38</f>
        <v>0</v>
      </c>
      <c r="K38" s="172" t="e">
        <f t="shared" ref="K38:K45" si="32">I38/C38</f>
        <v>#DIV/0!</v>
      </c>
      <c r="L38" s="192" t="e">
        <f t="shared" ref="L38:L43" si="33">IF(K38&gt;120%, I38*0.55%, IF(K38&gt;100%, I38*0.45%, IF(K38&gt;80%, I38*0.35%, IF(K38&gt;60%, I38*0.2%, 0))))</f>
        <v>#DIV/0!</v>
      </c>
      <c r="M38" s="215"/>
      <c r="N38" s="216"/>
      <c r="O38" s="608"/>
      <c r="P38" s="165" t="s">
        <v>96</v>
      </c>
      <c r="Q38" s="166"/>
      <c r="R38" s="167"/>
      <c r="S38" s="168"/>
      <c r="T38" s="169"/>
      <c r="U38" s="170"/>
      <c r="V38" s="166"/>
      <c r="W38" s="166">
        <f>T38-U38</f>
        <v>0</v>
      </c>
      <c r="X38" s="171">
        <f t="shared" ref="X38:X44" si="34">W38-Q38</f>
        <v>0</v>
      </c>
      <c r="Y38" s="172" t="e">
        <f t="shared" ref="Y38:Y44" si="35">W38/Q38</f>
        <v>#DIV/0!</v>
      </c>
      <c r="Z38" s="192" t="e">
        <f t="shared" ref="Z38:Z43" si="36">IF(Y38&gt;120%, W38*0.55%, IF(Y38&gt;100%, W38*0.45%, IF(Y38&gt;80%, W38*0.35%, IF(Y38&gt;60%, W38*0.2%, 0))))</f>
        <v>#DIV/0!</v>
      </c>
    </row>
    <row r="39" spans="1:26" ht="14.5" customHeight="1" x14ac:dyDescent="0.35">
      <c r="A39" s="623"/>
      <c r="B39" s="165" t="s">
        <v>97</v>
      </c>
      <c r="C39" s="173"/>
      <c r="D39" s="167"/>
      <c r="E39" s="168"/>
      <c r="F39" s="169"/>
      <c r="G39" s="174"/>
      <c r="H39" s="173"/>
      <c r="I39" s="166">
        <f t="shared" si="30"/>
        <v>0</v>
      </c>
      <c r="J39" s="171">
        <f t="shared" si="31"/>
        <v>0</v>
      </c>
      <c r="K39" s="172" t="e">
        <f t="shared" si="32"/>
        <v>#DIV/0!</v>
      </c>
      <c r="L39" s="192" t="e">
        <f t="shared" si="33"/>
        <v>#DIV/0!</v>
      </c>
      <c r="M39" s="215"/>
      <c r="N39" s="216"/>
      <c r="O39" s="608"/>
      <c r="P39" s="165" t="s">
        <v>97</v>
      </c>
      <c r="Q39" s="173"/>
      <c r="R39" s="167"/>
      <c r="S39" s="168"/>
      <c r="T39" s="169"/>
      <c r="U39" s="174"/>
      <c r="V39" s="173"/>
      <c r="W39" s="166">
        <f>T39-U39</f>
        <v>0</v>
      </c>
      <c r="X39" s="171">
        <f t="shared" si="34"/>
        <v>0</v>
      </c>
      <c r="Y39" s="172" t="e">
        <f t="shared" si="35"/>
        <v>#DIV/0!</v>
      </c>
      <c r="Z39" s="192" t="e">
        <f t="shared" si="36"/>
        <v>#DIV/0!</v>
      </c>
    </row>
    <row r="40" spans="1:26" ht="14.5" customHeight="1" x14ac:dyDescent="0.35">
      <c r="A40" s="623"/>
      <c r="B40" s="165" t="s">
        <v>98</v>
      </c>
      <c r="C40" s="173"/>
      <c r="D40" s="167"/>
      <c r="E40" s="168"/>
      <c r="F40" s="169"/>
      <c r="G40" s="170"/>
      <c r="H40" s="173"/>
      <c r="I40" s="166">
        <f t="shared" si="30"/>
        <v>0</v>
      </c>
      <c r="J40" s="171">
        <f t="shared" si="31"/>
        <v>0</v>
      </c>
      <c r="K40" s="172" t="e">
        <f t="shared" si="32"/>
        <v>#DIV/0!</v>
      </c>
      <c r="L40" s="192" t="e">
        <f t="shared" si="33"/>
        <v>#DIV/0!</v>
      </c>
      <c r="M40" s="215"/>
      <c r="N40" s="216"/>
      <c r="O40" s="608"/>
      <c r="P40" s="165" t="s">
        <v>98</v>
      </c>
      <c r="Q40" s="173"/>
      <c r="R40" s="167"/>
      <c r="S40" s="168"/>
      <c r="T40" s="169"/>
      <c r="U40" s="170"/>
      <c r="V40" s="173"/>
      <c r="W40" s="166">
        <f t="shared" ref="W40:W44" si="37">T40-U40</f>
        <v>0</v>
      </c>
      <c r="X40" s="171">
        <f t="shared" si="34"/>
        <v>0</v>
      </c>
      <c r="Y40" s="172" t="e">
        <f t="shared" si="35"/>
        <v>#DIV/0!</v>
      </c>
      <c r="Z40" s="192" t="e">
        <f t="shared" si="36"/>
        <v>#DIV/0!</v>
      </c>
    </row>
    <row r="41" spans="1:26" ht="14.5" customHeight="1" x14ac:dyDescent="0.35">
      <c r="A41" s="623"/>
      <c r="B41" s="165" t="s">
        <v>99</v>
      </c>
      <c r="C41" s="173"/>
      <c r="D41" s="167"/>
      <c r="E41" s="168"/>
      <c r="F41" s="169"/>
      <c r="G41" s="170"/>
      <c r="H41" s="173"/>
      <c r="I41" s="166">
        <f t="shared" si="30"/>
        <v>0</v>
      </c>
      <c r="J41" s="171">
        <f t="shared" si="31"/>
        <v>0</v>
      </c>
      <c r="K41" s="172" t="e">
        <f t="shared" si="32"/>
        <v>#DIV/0!</v>
      </c>
      <c r="L41" s="192" t="e">
        <f t="shared" si="33"/>
        <v>#DIV/0!</v>
      </c>
      <c r="M41" s="215"/>
      <c r="N41" s="216"/>
      <c r="O41" s="608"/>
      <c r="P41" s="165" t="s">
        <v>99</v>
      </c>
      <c r="Q41" s="173"/>
      <c r="R41" s="167"/>
      <c r="S41" s="168"/>
      <c r="T41" s="169"/>
      <c r="U41" s="170"/>
      <c r="V41" s="173"/>
      <c r="W41" s="166">
        <f t="shared" si="37"/>
        <v>0</v>
      </c>
      <c r="X41" s="171">
        <f t="shared" si="34"/>
        <v>0</v>
      </c>
      <c r="Y41" s="172" t="e">
        <f t="shared" si="35"/>
        <v>#DIV/0!</v>
      </c>
      <c r="Z41" s="192" t="e">
        <f t="shared" si="36"/>
        <v>#DIV/0!</v>
      </c>
    </row>
    <row r="42" spans="1:26" ht="14.5" customHeight="1" x14ac:dyDescent="0.35">
      <c r="A42" s="623"/>
      <c r="B42" s="165" t="s">
        <v>100</v>
      </c>
      <c r="C42" s="173"/>
      <c r="D42" s="167"/>
      <c r="E42" s="168"/>
      <c r="F42" s="169"/>
      <c r="G42" s="170"/>
      <c r="H42" s="173"/>
      <c r="I42" s="166">
        <f t="shared" si="30"/>
        <v>0</v>
      </c>
      <c r="J42" s="171">
        <f t="shared" si="31"/>
        <v>0</v>
      </c>
      <c r="K42" s="172" t="e">
        <f t="shared" si="32"/>
        <v>#DIV/0!</v>
      </c>
      <c r="L42" s="192" t="e">
        <f t="shared" si="33"/>
        <v>#DIV/0!</v>
      </c>
      <c r="M42" s="215"/>
      <c r="N42" s="216"/>
      <c r="O42" s="608"/>
      <c r="P42" s="165" t="s">
        <v>100</v>
      </c>
      <c r="Q42" s="173"/>
      <c r="R42" s="167"/>
      <c r="S42" s="168"/>
      <c r="T42" s="169"/>
      <c r="U42" s="170"/>
      <c r="V42" s="173"/>
      <c r="W42" s="166">
        <f t="shared" si="37"/>
        <v>0</v>
      </c>
      <c r="X42" s="171">
        <f t="shared" si="34"/>
        <v>0</v>
      </c>
      <c r="Y42" s="172" t="e">
        <f t="shared" si="35"/>
        <v>#DIV/0!</v>
      </c>
      <c r="Z42" s="192" t="e">
        <f t="shared" si="36"/>
        <v>#DIV/0!</v>
      </c>
    </row>
    <row r="43" spans="1:26" ht="14.5" customHeight="1" x14ac:dyDescent="0.35">
      <c r="A43" s="623"/>
      <c r="B43" s="165" t="s">
        <v>101</v>
      </c>
      <c r="C43" s="173"/>
      <c r="D43" s="167"/>
      <c r="E43" s="168"/>
      <c r="F43" s="169"/>
      <c r="G43" s="170"/>
      <c r="H43" s="173"/>
      <c r="I43" s="166">
        <f t="shared" si="30"/>
        <v>0</v>
      </c>
      <c r="J43" s="171">
        <f t="shared" si="31"/>
        <v>0</v>
      </c>
      <c r="K43" s="172" t="e">
        <f t="shared" si="32"/>
        <v>#DIV/0!</v>
      </c>
      <c r="L43" s="192" t="e">
        <f t="shared" si="33"/>
        <v>#DIV/0!</v>
      </c>
      <c r="M43" s="215"/>
      <c r="N43" s="216"/>
      <c r="O43" s="608"/>
      <c r="P43" s="165" t="s">
        <v>101</v>
      </c>
      <c r="Q43" s="173"/>
      <c r="R43" s="167"/>
      <c r="S43" s="168"/>
      <c r="T43" s="169"/>
      <c r="U43" s="170"/>
      <c r="V43" s="173"/>
      <c r="W43" s="166">
        <f t="shared" si="37"/>
        <v>0</v>
      </c>
      <c r="X43" s="171">
        <f t="shared" si="34"/>
        <v>0</v>
      </c>
      <c r="Y43" s="172" t="e">
        <f t="shared" si="35"/>
        <v>#DIV/0!</v>
      </c>
      <c r="Z43" s="192" t="e">
        <f t="shared" si="36"/>
        <v>#DIV/0!</v>
      </c>
    </row>
    <row r="44" spans="1:26" ht="14.5" customHeight="1" thickBot="1" x14ac:dyDescent="0.4">
      <c r="A44" s="623"/>
      <c r="B44" s="175" t="s">
        <v>77</v>
      </c>
      <c r="C44" s="176">
        <f>SUM(C38:C43)</f>
        <v>0</v>
      </c>
      <c r="D44" s="177">
        <f>SUM(D38:D43)</f>
        <v>0</v>
      </c>
      <c r="E44" s="178">
        <f t="shared" ref="E44:H44" si="38">SUM(E38:E43)</f>
        <v>0</v>
      </c>
      <c r="F44" s="176">
        <f>SUM(F38:F43)</f>
        <v>0</v>
      </c>
      <c r="G44" s="179">
        <f>SUM(G38:G43)</f>
        <v>0</v>
      </c>
      <c r="H44" s="176">
        <f t="shared" si="38"/>
        <v>0</v>
      </c>
      <c r="I44" s="176">
        <f t="shared" si="30"/>
        <v>0</v>
      </c>
      <c r="J44" s="176">
        <f t="shared" si="31"/>
        <v>0</v>
      </c>
      <c r="K44" s="180" t="e">
        <f t="shared" si="32"/>
        <v>#DIV/0!</v>
      </c>
      <c r="L44" s="197" t="e">
        <f>SUM(L38:L43)</f>
        <v>#DIV/0!</v>
      </c>
      <c r="O44" s="609"/>
      <c r="P44" s="204" t="s">
        <v>77</v>
      </c>
      <c r="Q44" s="205">
        <f t="shared" ref="Q44:V44" si="39">SUM(Q38:Q43)</f>
        <v>0</v>
      </c>
      <c r="R44" s="206">
        <f>SUM(R38:R43)</f>
        <v>0</v>
      </c>
      <c r="S44" s="207">
        <f t="shared" si="39"/>
        <v>0</v>
      </c>
      <c r="T44" s="205">
        <f t="shared" si="39"/>
        <v>0</v>
      </c>
      <c r="U44" s="208">
        <f>SUM(U38:U43)</f>
        <v>0</v>
      </c>
      <c r="V44" s="205">
        <f t="shared" si="39"/>
        <v>0</v>
      </c>
      <c r="W44" s="205">
        <f t="shared" si="37"/>
        <v>0</v>
      </c>
      <c r="X44" s="205">
        <f t="shared" si="34"/>
        <v>0</v>
      </c>
      <c r="Y44" s="209" t="e">
        <f t="shared" si="35"/>
        <v>#DIV/0!</v>
      </c>
      <c r="Z44" s="197" t="e">
        <f>SUM(Z38:Z43)</f>
        <v>#DIV/0!</v>
      </c>
    </row>
    <row r="45" spans="1:26" x14ac:dyDescent="0.35">
      <c r="B45" s="181" t="str">
        <f>$B$12</f>
        <v>TARGET Q4</v>
      </c>
      <c r="C45" s="182"/>
      <c r="D45" s="676"/>
      <c r="E45" s="677"/>
      <c r="F45" s="677"/>
      <c r="G45" s="677"/>
      <c r="H45" s="678"/>
      <c r="I45" s="182">
        <f>I44</f>
        <v>0</v>
      </c>
      <c r="J45" s="182">
        <f>I45-C45</f>
        <v>0</v>
      </c>
      <c r="K45" s="183" t="e">
        <f t="shared" si="32"/>
        <v>#DIV/0!</v>
      </c>
      <c r="L45" s="192" t="e">
        <f>IF(K45&gt;=1,3500000,IF(K45&gt;=0.9,2500000,0))</f>
        <v>#DIV/0!</v>
      </c>
      <c r="P45" s="181" t="str">
        <f>$B$12</f>
        <v>TARGET Q4</v>
      </c>
      <c r="Q45" s="182"/>
      <c r="R45" s="676"/>
      <c r="S45" s="677"/>
      <c r="T45" s="677"/>
      <c r="U45" s="677"/>
      <c r="V45" s="678"/>
      <c r="W45" s="182">
        <f>W44</f>
        <v>0</v>
      </c>
      <c r="X45" s="182">
        <f>W45-Q45</f>
        <v>0</v>
      </c>
      <c r="Y45" s="183" t="e">
        <f>W45/Q45</f>
        <v>#DIV/0!</v>
      </c>
      <c r="Z45" s="192" t="e">
        <f>IF(Y45&gt;=1,3500000,IF(Y45&gt;=0.9,2500000,0))</f>
        <v>#DIV/0!</v>
      </c>
    </row>
    <row r="46" spans="1:26" ht="15" thickBot="1" x14ac:dyDescent="0.4">
      <c r="C46" s="210" t="e">
        <f>C45/C44</f>
        <v>#DIV/0!</v>
      </c>
      <c r="Q46" s="210" t="e">
        <f>Q45/Q44</f>
        <v>#DIV/0!</v>
      </c>
    </row>
    <row r="47" spans="1:26" ht="19.5" customHeight="1" x14ac:dyDescent="0.35">
      <c r="A47" s="627">
        <v>5</v>
      </c>
      <c r="B47" s="352" t="s">
        <v>57</v>
      </c>
      <c r="C47" s="353" t="s">
        <v>35</v>
      </c>
      <c r="D47" s="681" t="s">
        <v>91</v>
      </c>
      <c r="E47" s="616" t="s">
        <v>62</v>
      </c>
      <c r="F47" s="604" t="s">
        <v>110</v>
      </c>
      <c r="G47" s="605"/>
      <c r="H47" s="605"/>
      <c r="I47" s="606"/>
      <c r="J47" s="587" t="s">
        <v>65</v>
      </c>
      <c r="K47" s="352" t="s">
        <v>66</v>
      </c>
      <c r="O47" s="613">
        <v>5</v>
      </c>
      <c r="P47" s="354" t="s">
        <v>57</v>
      </c>
      <c r="Q47" s="355"/>
      <c r="R47" s="679" t="s">
        <v>91</v>
      </c>
      <c r="S47" s="591" t="s">
        <v>62</v>
      </c>
      <c r="T47" s="610" t="s">
        <v>110</v>
      </c>
      <c r="U47" s="611"/>
      <c r="V47" s="611"/>
      <c r="W47" s="612"/>
      <c r="X47" s="603" t="s">
        <v>65</v>
      </c>
      <c r="Y47" s="354" t="s">
        <v>66</v>
      </c>
    </row>
    <row r="48" spans="1:26" ht="36" customHeight="1" x14ac:dyDescent="0.35">
      <c r="A48" s="628"/>
      <c r="B48" s="352" t="s">
        <v>93</v>
      </c>
      <c r="C48" s="353" t="str">
        <f>C37</f>
        <v>TARGET 100%</v>
      </c>
      <c r="D48" s="682"/>
      <c r="E48" s="617"/>
      <c r="F48" s="163" t="str">
        <f>F4</f>
        <v>OMSET NOV
 (1-1)</v>
      </c>
      <c r="G48" s="163" t="str">
        <f>G4</f>
        <v>OMSET PRODUK</v>
      </c>
      <c r="H48" s="353" t="s">
        <v>63</v>
      </c>
      <c r="I48" s="353" t="s">
        <v>64</v>
      </c>
      <c r="J48" s="587"/>
      <c r="K48" s="164">
        <f>K37</f>
        <v>3.3333333333333333E-2</v>
      </c>
      <c r="L48" s="211"/>
      <c r="M48" s="212"/>
      <c r="O48" s="614"/>
      <c r="P48" s="354" t="s">
        <v>93</v>
      </c>
      <c r="Q48" s="355" t="str">
        <f>Q37</f>
        <v>TARGET 100%</v>
      </c>
      <c r="R48" s="680"/>
      <c r="S48" s="592"/>
      <c r="T48" s="200" t="str">
        <f>T4</f>
        <v>OMSET NOV
 (1-1)</v>
      </c>
      <c r="U48" s="200" t="str">
        <f>G4</f>
        <v>OMSET PRODUK</v>
      </c>
      <c r="V48" s="355" t="s">
        <v>63</v>
      </c>
      <c r="W48" s="355" t="s">
        <v>64</v>
      </c>
      <c r="X48" s="603"/>
      <c r="Y48" s="201">
        <f>K48</f>
        <v>3.3333333333333333E-2</v>
      </c>
    </row>
    <row r="49" spans="1:26" ht="14.5" customHeight="1" x14ac:dyDescent="0.35">
      <c r="A49" s="628"/>
      <c r="B49" s="165" t="s">
        <v>96</v>
      </c>
      <c r="C49" s="166"/>
      <c r="D49" s="167"/>
      <c r="E49" s="168"/>
      <c r="F49" s="169"/>
      <c r="G49" s="170"/>
      <c r="H49" s="166"/>
      <c r="I49" s="166">
        <f t="shared" ref="I49:I55" si="40">F49-G49</f>
        <v>0</v>
      </c>
      <c r="J49" s="171">
        <f t="shared" ref="J49:J55" si="41">I49-C49</f>
        <v>0</v>
      </c>
      <c r="K49" s="172" t="e">
        <f t="shared" ref="K49:K56" si="42">I49/C49</f>
        <v>#DIV/0!</v>
      </c>
      <c r="L49" s="192" t="e">
        <f t="shared" ref="L49:L54" si="43">IF(K49&gt;120%, I49*0.55%, IF(K49&gt;100%, I49*0.45%, IF(K49&gt;80%, I49*0.35%, IF(K49&gt;60%, I49*0.2%, 0))))</f>
        <v>#DIV/0!</v>
      </c>
      <c r="O49" s="614"/>
      <c r="P49" s="165" t="s">
        <v>96</v>
      </c>
      <c r="Q49" s="166"/>
      <c r="R49" s="167"/>
      <c r="S49" s="168"/>
      <c r="T49" s="169"/>
      <c r="U49" s="170"/>
      <c r="V49" s="166"/>
      <c r="W49" s="166">
        <f t="shared" ref="W49:W55" si="44">T49-U49</f>
        <v>0</v>
      </c>
      <c r="X49" s="171">
        <f t="shared" ref="X49:X55" si="45">W49-Q49</f>
        <v>0</v>
      </c>
      <c r="Y49" s="172" t="e">
        <f t="shared" ref="Y49:Y55" si="46">W49/Q49</f>
        <v>#DIV/0!</v>
      </c>
      <c r="Z49" s="192" t="e">
        <f t="shared" ref="Z49:Z54" si="47">IF(Y49&gt;120%, W49*0.55%, IF(Y49&gt;100%, W49*0.45%, IF(Y49&gt;80%, W49*0.35%, IF(Y49&gt;60%, W49*0.2%, 0))))</f>
        <v>#DIV/0!</v>
      </c>
    </row>
    <row r="50" spans="1:26" ht="14.5" customHeight="1" x14ac:dyDescent="0.35">
      <c r="A50" s="628"/>
      <c r="B50" s="165" t="s">
        <v>97</v>
      </c>
      <c r="C50" s="173"/>
      <c r="D50" s="167"/>
      <c r="E50" s="168"/>
      <c r="F50" s="169"/>
      <c r="G50" s="174"/>
      <c r="H50" s="173"/>
      <c r="I50" s="166">
        <f t="shared" si="40"/>
        <v>0</v>
      </c>
      <c r="J50" s="171">
        <f t="shared" si="41"/>
        <v>0</v>
      </c>
      <c r="K50" s="172" t="e">
        <f t="shared" si="42"/>
        <v>#DIV/0!</v>
      </c>
      <c r="L50" s="192" t="e">
        <f t="shared" si="43"/>
        <v>#DIV/0!</v>
      </c>
      <c r="N50" s="216"/>
      <c r="O50" s="614"/>
      <c r="P50" s="165" t="s">
        <v>97</v>
      </c>
      <c r="Q50" s="173"/>
      <c r="R50" s="167"/>
      <c r="S50" s="168"/>
      <c r="T50" s="169"/>
      <c r="U50" s="174"/>
      <c r="V50" s="173"/>
      <c r="W50" s="166">
        <f t="shared" si="44"/>
        <v>0</v>
      </c>
      <c r="X50" s="171">
        <f t="shared" si="45"/>
        <v>0</v>
      </c>
      <c r="Y50" s="172" t="e">
        <f t="shared" si="46"/>
        <v>#DIV/0!</v>
      </c>
      <c r="Z50" s="192" t="e">
        <f t="shared" si="47"/>
        <v>#DIV/0!</v>
      </c>
    </row>
    <row r="51" spans="1:26" ht="14.5" customHeight="1" x14ac:dyDescent="0.35">
      <c r="A51" s="628"/>
      <c r="B51" s="165" t="s">
        <v>98</v>
      </c>
      <c r="C51" s="173"/>
      <c r="D51" s="167"/>
      <c r="E51" s="168"/>
      <c r="F51" s="169"/>
      <c r="G51" s="170"/>
      <c r="H51" s="173"/>
      <c r="I51" s="166">
        <f t="shared" si="40"/>
        <v>0</v>
      </c>
      <c r="J51" s="171">
        <f t="shared" si="41"/>
        <v>0</v>
      </c>
      <c r="K51" s="172" t="e">
        <f t="shared" si="42"/>
        <v>#DIV/0!</v>
      </c>
      <c r="L51" s="192" t="e">
        <f t="shared" si="43"/>
        <v>#DIV/0!</v>
      </c>
      <c r="M51" s="191"/>
      <c r="N51" s="216"/>
      <c r="O51" s="614"/>
      <c r="P51" s="165" t="s">
        <v>98</v>
      </c>
      <c r="Q51" s="173"/>
      <c r="R51" s="167"/>
      <c r="S51" s="168"/>
      <c r="T51" s="169"/>
      <c r="U51" s="170"/>
      <c r="V51" s="173"/>
      <c r="W51" s="166">
        <f t="shared" si="44"/>
        <v>0</v>
      </c>
      <c r="X51" s="171">
        <f t="shared" si="45"/>
        <v>0</v>
      </c>
      <c r="Y51" s="172" t="e">
        <f t="shared" si="46"/>
        <v>#DIV/0!</v>
      </c>
      <c r="Z51" s="192" t="e">
        <f t="shared" si="47"/>
        <v>#DIV/0!</v>
      </c>
    </row>
    <row r="52" spans="1:26" ht="14.5" customHeight="1" x14ac:dyDescent="0.35">
      <c r="A52" s="628"/>
      <c r="B52" s="165" t="s">
        <v>99</v>
      </c>
      <c r="C52" s="173"/>
      <c r="D52" s="167"/>
      <c r="E52" s="168"/>
      <c r="F52" s="169"/>
      <c r="G52" s="170"/>
      <c r="H52" s="173"/>
      <c r="I52" s="166">
        <f t="shared" si="40"/>
        <v>0</v>
      </c>
      <c r="J52" s="171">
        <f t="shared" si="41"/>
        <v>0</v>
      </c>
      <c r="K52" s="172" t="e">
        <f t="shared" si="42"/>
        <v>#DIV/0!</v>
      </c>
      <c r="L52" s="192" t="e">
        <f t="shared" si="43"/>
        <v>#DIV/0!</v>
      </c>
      <c r="N52" s="216"/>
      <c r="O52" s="614"/>
      <c r="P52" s="165" t="s">
        <v>99</v>
      </c>
      <c r="Q52" s="173"/>
      <c r="R52" s="167"/>
      <c r="S52" s="168"/>
      <c r="T52" s="169"/>
      <c r="U52" s="170"/>
      <c r="V52" s="173"/>
      <c r="W52" s="166">
        <f t="shared" si="44"/>
        <v>0</v>
      </c>
      <c r="X52" s="171">
        <f t="shared" si="45"/>
        <v>0</v>
      </c>
      <c r="Y52" s="172" t="e">
        <f t="shared" si="46"/>
        <v>#DIV/0!</v>
      </c>
      <c r="Z52" s="192" t="e">
        <f t="shared" si="47"/>
        <v>#DIV/0!</v>
      </c>
    </row>
    <row r="53" spans="1:26" ht="14.5" customHeight="1" x14ac:dyDescent="0.35">
      <c r="A53" s="628"/>
      <c r="B53" s="165" t="s">
        <v>100</v>
      </c>
      <c r="C53" s="173"/>
      <c r="D53" s="167"/>
      <c r="E53" s="168"/>
      <c r="F53" s="169"/>
      <c r="G53" s="170"/>
      <c r="H53" s="173"/>
      <c r="I53" s="166">
        <f t="shared" si="40"/>
        <v>0</v>
      </c>
      <c r="J53" s="171">
        <f t="shared" si="41"/>
        <v>0</v>
      </c>
      <c r="K53" s="172" t="e">
        <f t="shared" si="42"/>
        <v>#DIV/0!</v>
      </c>
      <c r="L53" s="192" t="e">
        <f t="shared" si="43"/>
        <v>#DIV/0!</v>
      </c>
      <c r="N53" s="216"/>
      <c r="O53" s="614"/>
      <c r="P53" s="165" t="s">
        <v>100</v>
      </c>
      <c r="Q53" s="173"/>
      <c r="R53" s="167"/>
      <c r="S53" s="168"/>
      <c r="T53" s="169"/>
      <c r="U53" s="170"/>
      <c r="V53" s="173"/>
      <c r="W53" s="166">
        <f t="shared" si="44"/>
        <v>0</v>
      </c>
      <c r="X53" s="171">
        <f t="shared" si="45"/>
        <v>0</v>
      </c>
      <c r="Y53" s="172" t="e">
        <f t="shared" si="46"/>
        <v>#DIV/0!</v>
      </c>
      <c r="Z53" s="192" t="e">
        <f t="shared" si="47"/>
        <v>#DIV/0!</v>
      </c>
    </row>
    <row r="54" spans="1:26" ht="14.5" customHeight="1" x14ac:dyDescent="0.35">
      <c r="A54" s="628"/>
      <c r="B54" s="165" t="s">
        <v>101</v>
      </c>
      <c r="C54" s="173"/>
      <c r="D54" s="167"/>
      <c r="E54" s="168"/>
      <c r="F54" s="169"/>
      <c r="G54" s="170"/>
      <c r="H54" s="173"/>
      <c r="I54" s="166">
        <f t="shared" si="40"/>
        <v>0</v>
      </c>
      <c r="J54" s="171">
        <f t="shared" si="41"/>
        <v>0</v>
      </c>
      <c r="K54" s="172" t="e">
        <f t="shared" si="42"/>
        <v>#DIV/0!</v>
      </c>
      <c r="L54" s="192" t="e">
        <f t="shared" si="43"/>
        <v>#DIV/0!</v>
      </c>
      <c r="N54" s="216"/>
      <c r="O54" s="614"/>
      <c r="P54" s="165" t="s">
        <v>101</v>
      </c>
      <c r="Q54" s="173"/>
      <c r="R54" s="167"/>
      <c r="S54" s="168"/>
      <c r="T54" s="169"/>
      <c r="U54" s="170"/>
      <c r="V54" s="173"/>
      <c r="W54" s="166">
        <f t="shared" si="44"/>
        <v>0</v>
      </c>
      <c r="X54" s="171">
        <f t="shared" si="45"/>
        <v>0</v>
      </c>
      <c r="Y54" s="172" t="e">
        <f t="shared" si="46"/>
        <v>#DIV/0!</v>
      </c>
      <c r="Z54" s="192" t="e">
        <f t="shared" si="47"/>
        <v>#DIV/0!</v>
      </c>
    </row>
    <row r="55" spans="1:26" ht="14.5" customHeight="1" thickBot="1" x14ac:dyDescent="0.4">
      <c r="A55" s="628"/>
      <c r="B55" s="175" t="s">
        <v>77</v>
      </c>
      <c r="C55" s="176">
        <f t="shared" ref="C55:H55" si="48">SUM(C49:C54)</f>
        <v>0</v>
      </c>
      <c r="D55" s="177">
        <f t="shared" si="48"/>
        <v>0</v>
      </c>
      <c r="E55" s="178">
        <f t="shared" si="48"/>
        <v>0</v>
      </c>
      <c r="F55" s="176">
        <f t="shared" si="48"/>
        <v>0</v>
      </c>
      <c r="G55" s="179">
        <f t="shared" si="48"/>
        <v>0</v>
      </c>
      <c r="H55" s="176">
        <f t="shared" si="48"/>
        <v>0</v>
      </c>
      <c r="I55" s="176">
        <f t="shared" si="40"/>
        <v>0</v>
      </c>
      <c r="J55" s="176">
        <f t="shared" si="41"/>
        <v>0</v>
      </c>
      <c r="K55" s="180" t="e">
        <f t="shared" si="42"/>
        <v>#DIV/0!</v>
      </c>
      <c r="L55" s="197" t="e">
        <f>SUM(L49:L54)</f>
        <v>#DIV/0!</v>
      </c>
      <c r="O55" s="615"/>
      <c r="P55" s="204" t="s">
        <v>77</v>
      </c>
      <c r="Q55" s="205">
        <f t="shared" ref="Q55:V55" si="49">SUM(Q49:Q54)</f>
        <v>0</v>
      </c>
      <c r="R55" s="206">
        <f>SUM(R49:R54)</f>
        <v>0</v>
      </c>
      <c r="S55" s="207">
        <f t="shared" si="49"/>
        <v>0</v>
      </c>
      <c r="T55" s="205">
        <f>SUM(T49:T54)</f>
        <v>0</v>
      </c>
      <c r="U55" s="208">
        <f t="shared" si="49"/>
        <v>0</v>
      </c>
      <c r="V55" s="205">
        <f t="shared" si="49"/>
        <v>0</v>
      </c>
      <c r="W55" s="205">
        <f t="shared" si="44"/>
        <v>0</v>
      </c>
      <c r="X55" s="205">
        <f t="shared" si="45"/>
        <v>0</v>
      </c>
      <c r="Y55" s="209" t="e">
        <f t="shared" si="46"/>
        <v>#DIV/0!</v>
      </c>
      <c r="Z55" s="197" t="e">
        <f>SUM(Z49:Z54)</f>
        <v>#DIV/0!</v>
      </c>
    </row>
    <row r="56" spans="1:26" x14ac:dyDescent="0.35">
      <c r="B56" s="181" t="str">
        <f>$B$12</f>
        <v>TARGET Q4</v>
      </c>
      <c r="C56" s="182"/>
      <c r="D56" s="676"/>
      <c r="E56" s="677"/>
      <c r="F56" s="677"/>
      <c r="G56" s="677"/>
      <c r="H56" s="678"/>
      <c r="I56" s="182">
        <f>I55</f>
        <v>0</v>
      </c>
      <c r="J56" s="182">
        <f>I56-C56</f>
        <v>0</v>
      </c>
      <c r="K56" s="183" t="e">
        <f t="shared" si="42"/>
        <v>#DIV/0!</v>
      </c>
      <c r="L56" s="192" t="e">
        <f>IF(K56&gt;=1,3500000,IF(K56&gt;=0.9,2500000,0))</f>
        <v>#DIV/0!</v>
      </c>
      <c r="P56" s="181" t="str">
        <f>$B$12</f>
        <v>TARGET Q4</v>
      </c>
      <c r="Q56" s="182"/>
      <c r="R56" s="676"/>
      <c r="S56" s="677"/>
      <c r="T56" s="677"/>
      <c r="U56" s="677"/>
      <c r="V56" s="678"/>
      <c r="W56" s="182">
        <f>W55</f>
        <v>0</v>
      </c>
      <c r="X56" s="182">
        <f>W56-Q56</f>
        <v>0</v>
      </c>
      <c r="Y56" s="183" t="e">
        <f>W56/Q56</f>
        <v>#DIV/0!</v>
      </c>
      <c r="Z56" s="192" t="e">
        <f>IF(Y56&gt;=1,3500000,IF(Y56&gt;=0.9,2500000,0))</f>
        <v>#DIV/0!</v>
      </c>
    </row>
    <row r="57" spans="1:26" ht="15" thickBot="1" x14ac:dyDescent="0.4">
      <c r="C57" s="210" t="e">
        <f>C56/C55</f>
        <v>#DIV/0!</v>
      </c>
      <c r="Q57" s="210" t="e">
        <f>Q56/Q55</f>
        <v>#DIV/0!</v>
      </c>
    </row>
    <row r="58" spans="1:26" ht="19.5" customHeight="1" x14ac:dyDescent="0.35">
      <c r="A58" s="626">
        <v>6</v>
      </c>
      <c r="B58" s="352" t="s">
        <v>57</v>
      </c>
      <c r="C58" s="353" t="s">
        <v>34</v>
      </c>
      <c r="D58" s="681" t="s">
        <v>91</v>
      </c>
      <c r="E58" s="616" t="s">
        <v>62</v>
      </c>
      <c r="F58" s="604" t="s">
        <v>112</v>
      </c>
      <c r="G58" s="605"/>
      <c r="H58" s="605"/>
      <c r="I58" s="606"/>
      <c r="J58" s="587" t="s">
        <v>65</v>
      </c>
      <c r="K58" s="352" t="s">
        <v>66</v>
      </c>
      <c r="O58" s="618">
        <v>6</v>
      </c>
      <c r="P58" s="354" t="s">
        <v>57</v>
      </c>
      <c r="Q58" s="355" t="s">
        <v>51</v>
      </c>
      <c r="R58" s="679" t="s">
        <v>91</v>
      </c>
      <c r="S58" s="591" t="s">
        <v>62</v>
      </c>
      <c r="T58" s="610" t="s">
        <v>112</v>
      </c>
      <c r="U58" s="611"/>
      <c r="V58" s="611"/>
      <c r="W58" s="612"/>
      <c r="X58" s="603" t="s">
        <v>65</v>
      </c>
      <c r="Y58" s="354" t="s">
        <v>66</v>
      </c>
    </row>
    <row r="59" spans="1:26" ht="36" customHeight="1" x14ac:dyDescent="0.35">
      <c r="A59" s="626"/>
      <c r="B59" s="352" t="s">
        <v>93</v>
      </c>
      <c r="C59" s="353" t="str">
        <f>C48</f>
        <v>TARGET 100%</v>
      </c>
      <c r="D59" s="682"/>
      <c r="E59" s="617"/>
      <c r="F59" s="163" t="str">
        <f>F4</f>
        <v>OMSET NOV
 (1-1)</v>
      </c>
      <c r="G59" s="163" t="str">
        <f>G4</f>
        <v>OMSET PRODUK</v>
      </c>
      <c r="H59" s="353" t="s">
        <v>63</v>
      </c>
      <c r="I59" s="353" t="s">
        <v>64</v>
      </c>
      <c r="J59" s="587"/>
      <c r="K59" s="164">
        <f>K48</f>
        <v>3.3333333333333333E-2</v>
      </c>
      <c r="O59" s="619"/>
      <c r="P59" s="354" t="s">
        <v>93</v>
      </c>
      <c r="Q59" s="355" t="str">
        <f>Q48</f>
        <v>TARGET 100%</v>
      </c>
      <c r="R59" s="680"/>
      <c r="S59" s="592"/>
      <c r="T59" s="200" t="str">
        <f>T4</f>
        <v>OMSET NOV
 (1-1)</v>
      </c>
      <c r="U59" s="200" t="str">
        <f>G4</f>
        <v>OMSET PRODUK</v>
      </c>
      <c r="V59" s="355" t="s">
        <v>63</v>
      </c>
      <c r="W59" s="355" t="s">
        <v>64</v>
      </c>
      <c r="X59" s="603"/>
      <c r="Y59" s="201">
        <f>K59</f>
        <v>3.3333333333333333E-2</v>
      </c>
    </row>
    <row r="60" spans="1:26" ht="14.5" customHeight="1" x14ac:dyDescent="0.35">
      <c r="A60" s="626"/>
      <c r="B60" s="165" t="s">
        <v>96</v>
      </c>
      <c r="C60" s="166"/>
      <c r="D60" s="167"/>
      <c r="E60" s="168"/>
      <c r="F60" s="169"/>
      <c r="G60" s="170"/>
      <c r="H60" s="166"/>
      <c r="I60" s="166">
        <f t="shared" ref="I60:I66" si="50">F60-G60</f>
        <v>0</v>
      </c>
      <c r="J60" s="171">
        <f t="shared" ref="J60:J66" si="51">I60-C60</f>
        <v>0</v>
      </c>
      <c r="K60" s="172" t="e">
        <f t="shared" ref="K60:K67" si="52">I60/C60</f>
        <v>#DIV/0!</v>
      </c>
      <c r="L60" s="192" t="e">
        <f t="shared" ref="L60:L65" si="53">IF(K60&gt;120%, I60*0.55%, IF(K60&gt;100%, I60*0.45%, IF(K60&gt;80%, I60*0.35%, IF(K60&gt;60%, I60*0.2%, 0))))</f>
        <v>#DIV/0!</v>
      </c>
      <c r="O60" s="619"/>
      <c r="P60" s="165" t="s">
        <v>96</v>
      </c>
      <c r="Q60" s="166"/>
      <c r="R60" s="167"/>
      <c r="S60" s="168"/>
      <c r="T60" s="169"/>
      <c r="U60" s="170"/>
      <c r="V60" s="166"/>
      <c r="W60" s="166">
        <f t="shared" ref="W60:W66" si="54">T60-U60</f>
        <v>0</v>
      </c>
      <c r="X60" s="171">
        <f t="shared" ref="X60:X66" si="55">W60-Q60</f>
        <v>0</v>
      </c>
      <c r="Y60" s="172" t="e">
        <f t="shared" ref="Y60:Y66" si="56">W60/Q60</f>
        <v>#DIV/0!</v>
      </c>
      <c r="Z60" s="192" t="e">
        <f t="shared" ref="Z60:Z65" si="57">IF(Y60&gt;120%, W60*0.55%, IF(Y60&gt;100%, W60*0.45%, IF(Y60&gt;80%, W60*0.35%, IF(Y60&gt;60%, W60*0.2%, 0))))</f>
        <v>#DIV/0!</v>
      </c>
    </row>
    <row r="61" spans="1:26" ht="14.5" customHeight="1" x14ac:dyDescent="0.35">
      <c r="A61" s="626"/>
      <c r="B61" s="165" t="s">
        <v>97</v>
      </c>
      <c r="C61" s="173"/>
      <c r="D61" s="167"/>
      <c r="E61" s="168"/>
      <c r="F61" s="169"/>
      <c r="G61" s="174"/>
      <c r="H61" s="173"/>
      <c r="I61" s="166">
        <f t="shared" si="50"/>
        <v>0</v>
      </c>
      <c r="J61" s="171">
        <f t="shared" si="51"/>
        <v>0</v>
      </c>
      <c r="K61" s="172" t="e">
        <f t="shared" si="52"/>
        <v>#DIV/0!</v>
      </c>
      <c r="L61" s="192" t="e">
        <f t="shared" si="53"/>
        <v>#DIV/0!</v>
      </c>
      <c r="O61" s="619"/>
      <c r="P61" s="165" t="s">
        <v>97</v>
      </c>
      <c r="Q61" s="173"/>
      <c r="R61" s="167"/>
      <c r="S61" s="168"/>
      <c r="T61" s="169"/>
      <c r="U61" s="174"/>
      <c r="V61" s="173"/>
      <c r="W61" s="166">
        <f t="shared" si="54"/>
        <v>0</v>
      </c>
      <c r="X61" s="171">
        <f t="shared" si="55"/>
        <v>0</v>
      </c>
      <c r="Y61" s="172" t="e">
        <f>W61/Q61</f>
        <v>#DIV/0!</v>
      </c>
      <c r="Z61" s="192" t="e">
        <f t="shared" si="57"/>
        <v>#DIV/0!</v>
      </c>
    </row>
    <row r="62" spans="1:26" ht="14.5" customHeight="1" x14ac:dyDescent="0.35">
      <c r="A62" s="626"/>
      <c r="B62" s="165" t="s">
        <v>98</v>
      </c>
      <c r="C62" s="173"/>
      <c r="D62" s="167"/>
      <c r="E62" s="168"/>
      <c r="F62" s="169"/>
      <c r="G62" s="170"/>
      <c r="H62" s="173"/>
      <c r="I62" s="166">
        <f t="shared" si="50"/>
        <v>0</v>
      </c>
      <c r="J62" s="171">
        <f t="shared" si="51"/>
        <v>0</v>
      </c>
      <c r="K62" s="172" t="e">
        <f t="shared" si="52"/>
        <v>#DIV/0!</v>
      </c>
      <c r="L62" s="192" t="e">
        <f t="shared" si="53"/>
        <v>#DIV/0!</v>
      </c>
      <c r="O62" s="619"/>
      <c r="P62" s="165" t="s">
        <v>98</v>
      </c>
      <c r="Q62" s="173"/>
      <c r="R62" s="167"/>
      <c r="S62" s="168"/>
      <c r="T62" s="169"/>
      <c r="U62" s="170"/>
      <c r="V62" s="173"/>
      <c r="W62" s="166">
        <f t="shared" si="54"/>
        <v>0</v>
      </c>
      <c r="X62" s="171">
        <f t="shared" si="55"/>
        <v>0</v>
      </c>
      <c r="Y62" s="172" t="e">
        <f t="shared" si="56"/>
        <v>#DIV/0!</v>
      </c>
      <c r="Z62" s="192" t="e">
        <f t="shared" si="57"/>
        <v>#DIV/0!</v>
      </c>
    </row>
    <row r="63" spans="1:26" ht="14.5" customHeight="1" x14ac:dyDescent="0.35">
      <c r="A63" s="626"/>
      <c r="B63" s="165" t="s">
        <v>99</v>
      </c>
      <c r="C63" s="173"/>
      <c r="D63" s="167"/>
      <c r="E63" s="168"/>
      <c r="F63" s="169"/>
      <c r="G63" s="170"/>
      <c r="H63" s="173"/>
      <c r="I63" s="166">
        <f t="shared" si="50"/>
        <v>0</v>
      </c>
      <c r="J63" s="171">
        <f t="shared" si="51"/>
        <v>0</v>
      </c>
      <c r="K63" s="172" t="e">
        <f t="shared" si="52"/>
        <v>#DIV/0!</v>
      </c>
      <c r="L63" s="192" t="e">
        <f t="shared" si="53"/>
        <v>#DIV/0!</v>
      </c>
      <c r="O63" s="619"/>
      <c r="P63" s="165" t="s">
        <v>99</v>
      </c>
      <c r="Q63" s="173"/>
      <c r="R63" s="167"/>
      <c r="S63" s="168"/>
      <c r="T63" s="169"/>
      <c r="U63" s="170"/>
      <c r="V63" s="173"/>
      <c r="W63" s="166">
        <f t="shared" si="54"/>
        <v>0</v>
      </c>
      <c r="X63" s="171">
        <f t="shared" si="55"/>
        <v>0</v>
      </c>
      <c r="Y63" s="172" t="e">
        <f t="shared" si="56"/>
        <v>#DIV/0!</v>
      </c>
      <c r="Z63" s="192" t="e">
        <f t="shared" si="57"/>
        <v>#DIV/0!</v>
      </c>
    </row>
    <row r="64" spans="1:26" ht="14.5" customHeight="1" x14ac:dyDescent="0.35">
      <c r="A64" s="626"/>
      <c r="B64" s="165" t="s">
        <v>100</v>
      </c>
      <c r="C64" s="173"/>
      <c r="D64" s="167"/>
      <c r="E64" s="168"/>
      <c r="F64" s="169"/>
      <c r="G64" s="170"/>
      <c r="H64" s="173"/>
      <c r="I64" s="166">
        <f t="shared" si="50"/>
        <v>0</v>
      </c>
      <c r="J64" s="171">
        <f t="shared" si="51"/>
        <v>0</v>
      </c>
      <c r="K64" s="172" t="e">
        <f t="shared" si="52"/>
        <v>#DIV/0!</v>
      </c>
      <c r="L64" s="192" t="e">
        <f t="shared" si="53"/>
        <v>#DIV/0!</v>
      </c>
      <c r="O64" s="619"/>
      <c r="P64" s="165" t="s">
        <v>100</v>
      </c>
      <c r="Q64" s="173"/>
      <c r="R64" s="167"/>
      <c r="S64" s="168"/>
      <c r="T64" s="169"/>
      <c r="U64" s="170"/>
      <c r="V64" s="173"/>
      <c r="W64" s="166">
        <f t="shared" si="54"/>
        <v>0</v>
      </c>
      <c r="X64" s="171">
        <f t="shared" si="55"/>
        <v>0</v>
      </c>
      <c r="Y64" s="172" t="e">
        <f t="shared" si="56"/>
        <v>#DIV/0!</v>
      </c>
      <c r="Z64" s="192" t="e">
        <f t="shared" si="57"/>
        <v>#DIV/0!</v>
      </c>
    </row>
    <row r="65" spans="1:26" ht="14.5" customHeight="1" x14ac:dyDescent="0.35">
      <c r="A65" s="626"/>
      <c r="B65" s="165" t="s">
        <v>101</v>
      </c>
      <c r="C65" s="173"/>
      <c r="D65" s="167"/>
      <c r="E65" s="168"/>
      <c r="F65" s="169"/>
      <c r="G65" s="170"/>
      <c r="H65" s="173"/>
      <c r="I65" s="166">
        <f t="shared" si="50"/>
        <v>0</v>
      </c>
      <c r="J65" s="171">
        <f t="shared" si="51"/>
        <v>0</v>
      </c>
      <c r="K65" s="172" t="e">
        <f t="shared" si="52"/>
        <v>#DIV/0!</v>
      </c>
      <c r="L65" s="192" t="e">
        <f t="shared" si="53"/>
        <v>#DIV/0!</v>
      </c>
      <c r="O65" s="619"/>
      <c r="P65" s="165" t="s">
        <v>101</v>
      </c>
      <c r="Q65" s="173"/>
      <c r="R65" s="167"/>
      <c r="S65" s="168"/>
      <c r="T65" s="169"/>
      <c r="U65" s="170"/>
      <c r="V65" s="173"/>
      <c r="W65" s="166">
        <f t="shared" si="54"/>
        <v>0</v>
      </c>
      <c r="X65" s="171">
        <f t="shared" si="55"/>
        <v>0</v>
      </c>
      <c r="Y65" s="172" t="e">
        <f t="shared" si="56"/>
        <v>#DIV/0!</v>
      </c>
      <c r="Z65" s="192" t="e">
        <f t="shared" si="57"/>
        <v>#DIV/0!</v>
      </c>
    </row>
    <row r="66" spans="1:26" ht="15" customHeight="1" thickBot="1" x14ac:dyDescent="0.4">
      <c r="A66" s="626"/>
      <c r="B66" s="175" t="s">
        <v>77</v>
      </c>
      <c r="C66" s="176">
        <f t="shared" ref="C66:H66" si="58">SUM(C60:C65)</f>
        <v>0</v>
      </c>
      <c r="D66" s="177">
        <f t="shared" si="58"/>
        <v>0</v>
      </c>
      <c r="E66" s="178">
        <f t="shared" si="58"/>
        <v>0</v>
      </c>
      <c r="F66" s="176">
        <f t="shared" si="58"/>
        <v>0</v>
      </c>
      <c r="G66" s="179">
        <f t="shared" si="58"/>
        <v>0</v>
      </c>
      <c r="H66" s="176">
        <f t="shared" si="58"/>
        <v>0</v>
      </c>
      <c r="I66" s="176">
        <f t="shared" si="50"/>
        <v>0</v>
      </c>
      <c r="J66" s="176">
        <f t="shared" si="51"/>
        <v>0</v>
      </c>
      <c r="K66" s="180" t="e">
        <f t="shared" si="52"/>
        <v>#DIV/0!</v>
      </c>
      <c r="L66" s="197" t="e">
        <f>SUM(L60:L65)</f>
        <v>#DIV/0!</v>
      </c>
      <c r="O66" s="620"/>
      <c r="P66" s="204" t="s">
        <v>77</v>
      </c>
      <c r="Q66" s="205">
        <f t="shared" ref="Q66:V66" si="59">SUM(Q60:Q65)</f>
        <v>0</v>
      </c>
      <c r="R66" s="206">
        <f>SUM(R60:R65)</f>
        <v>0</v>
      </c>
      <c r="S66" s="207">
        <f t="shared" si="59"/>
        <v>0</v>
      </c>
      <c r="T66" s="205">
        <f t="shared" si="59"/>
        <v>0</v>
      </c>
      <c r="U66" s="208">
        <f t="shared" si="59"/>
        <v>0</v>
      </c>
      <c r="V66" s="205">
        <f t="shared" si="59"/>
        <v>0</v>
      </c>
      <c r="W66" s="205">
        <f t="shared" si="54"/>
        <v>0</v>
      </c>
      <c r="X66" s="205">
        <f t="shared" si="55"/>
        <v>0</v>
      </c>
      <c r="Y66" s="209" t="e">
        <f t="shared" si="56"/>
        <v>#DIV/0!</v>
      </c>
      <c r="Z66" s="197" t="e">
        <f>SUM(Z60:Z65)</f>
        <v>#DIV/0!</v>
      </c>
    </row>
    <row r="67" spans="1:26" x14ac:dyDescent="0.35">
      <c r="B67" s="181" t="str">
        <f>$B$12</f>
        <v>TARGET Q4</v>
      </c>
      <c r="C67" s="182"/>
      <c r="D67" s="676"/>
      <c r="E67" s="677"/>
      <c r="F67" s="677"/>
      <c r="G67" s="677"/>
      <c r="H67" s="678"/>
      <c r="I67" s="182">
        <f>I66</f>
        <v>0</v>
      </c>
      <c r="J67" s="182">
        <f>I67-C67</f>
        <v>0</v>
      </c>
      <c r="K67" s="183" t="e">
        <f t="shared" si="52"/>
        <v>#DIV/0!</v>
      </c>
      <c r="L67" s="192" t="e">
        <f>IF(K67&gt;=1,3500000,IF(K67&gt;=0.9,2500000,0))</f>
        <v>#DIV/0!</v>
      </c>
      <c r="P67" s="181" t="str">
        <f>$B$12</f>
        <v>TARGET Q4</v>
      </c>
      <c r="Q67" s="182"/>
      <c r="R67" s="676"/>
      <c r="S67" s="677"/>
      <c r="T67" s="677"/>
      <c r="U67" s="677"/>
      <c r="V67" s="678"/>
      <c r="W67" s="182">
        <f>W66</f>
        <v>0</v>
      </c>
      <c r="X67" s="182">
        <f>W67-Q67</f>
        <v>0</v>
      </c>
      <c r="Y67" s="183" t="e">
        <f>W67/Q67</f>
        <v>#DIV/0!</v>
      </c>
      <c r="Z67" s="192" t="e">
        <f>IF(Y67&gt;=1,3500000,IF(Y67&gt;=0.9,2500000,0))</f>
        <v>#DIV/0!</v>
      </c>
    </row>
    <row r="68" spans="1:26" ht="15" thickBot="1" x14ac:dyDescent="0.4">
      <c r="C68" s="210" t="e">
        <f>C67/C66</f>
        <v>#DIV/0!</v>
      </c>
      <c r="Q68" s="210" t="e">
        <f>Q67/Q66</f>
        <v>#DIV/0!</v>
      </c>
    </row>
    <row r="69" spans="1:26" ht="19.5" customHeight="1" x14ac:dyDescent="0.35">
      <c r="A69" s="623">
        <v>7</v>
      </c>
      <c r="B69" s="352" t="s">
        <v>57</v>
      </c>
      <c r="C69" s="353" t="s">
        <v>41</v>
      </c>
      <c r="D69" s="681" t="s">
        <v>91</v>
      </c>
      <c r="E69" s="616" t="s">
        <v>62</v>
      </c>
      <c r="F69" s="604" t="s">
        <v>114</v>
      </c>
      <c r="G69" s="605"/>
      <c r="H69" s="605"/>
      <c r="I69" s="606"/>
      <c r="J69" s="587" t="s">
        <v>65</v>
      </c>
      <c r="K69" s="352" t="s">
        <v>66</v>
      </c>
      <c r="O69" s="607">
        <v>7</v>
      </c>
      <c r="P69" s="354" t="s">
        <v>57</v>
      </c>
      <c r="Q69" s="355" t="s">
        <v>115</v>
      </c>
      <c r="R69" s="679" t="s">
        <v>91</v>
      </c>
      <c r="S69" s="591" t="s">
        <v>62</v>
      </c>
      <c r="T69" s="610" t="s">
        <v>114</v>
      </c>
      <c r="U69" s="611"/>
      <c r="V69" s="611"/>
      <c r="W69" s="612"/>
      <c r="X69" s="603" t="s">
        <v>65</v>
      </c>
      <c r="Y69" s="354" t="s">
        <v>66</v>
      </c>
    </row>
    <row r="70" spans="1:26" ht="36" customHeight="1" x14ac:dyDescent="0.35">
      <c r="A70" s="623"/>
      <c r="B70" s="352" t="s">
        <v>93</v>
      </c>
      <c r="C70" s="353" t="str">
        <f>C59</f>
        <v>TARGET 100%</v>
      </c>
      <c r="D70" s="682"/>
      <c r="E70" s="617"/>
      <c r="F70" s="163" t="str">
        <f>F4</f>
        <v>OMSET NOV
 (1-1)</v>
      </c>
      <c r="G70" s="163" t="str">
        <f>G4</f>
        <v>OMSET PRODUK</v>
      </c>
      <c r="H70" s="353" t="s">
        <v>63</v>
      </c>
      <c r="I70" s="353" t="s">
        <v>64</v>
      </c>
      <c r="J70" s="587"/>
      <c r="K70" s="164">
        <f>K59</f>
        <v>3.3333333333333333E-2</v>
      </c>
      <c r="O70" s="608"/>
      <c r="P70" s="354" t="s">
        <v>93</v>
      </c>
      <c r="Q70" s="355" t="str">
        <f>Q59</f>
        <v>TARGET 100%</v>
      </c>
      <c r="R70" s="680"/>
      <c r="S70" s="592"/>
      <c r="T70" s="200" t="str">
        <f>T4</f>
        <v>OMSET NOV
 (1-1)</v>
      </c>
      <c r="U70" s="200" t="str">
        <f>G4</f>
        <v>OMSET PRODUK</v>
      </c>
      <c r="V70" s="355" t="s">
        <v>63</v>
      </c>
      <c r="W70" s="355" t="s">
        <v>64</v>
      </c>
      <c r="X70" s="603"/>
      <c r="Y70" s="201">
        <f>K70</f>
        <v>3.3333333333333333E-2</v>
      </c>
    </row>
    <row r="71" spans="1:26" ht="14.5" customHeight="1" x14ac:dyDescent="0.35">
      <c r="A71" s="623"/>
      <c r="B71" s="165" t="s">
        <v>96</v>
      </c>
      <c r="C71" s="166"/>
      <c r="D71" s="167"/>
      <c r="E71" s="168"/>
      <c r="F71" s="169"/>
      <c r="G71" s="170"/>
      <c r="H71" s="166"/>
      <c r="I71" s="166">
        <f t="shared" ref="I71:I77" si="60">F71-G71</f>
        <v>0</v>
      </c>
      <c r="J71" s="171">
        <f t="shared" ref="J71:J77" si="61">I71-C71</f>
        <v>0</v>
      </c>
      <c r="K71" s="172" t="e">
        <f t="shared" ref="K71:K78" si="62">I71/C71</f>
        <v>#DIV/0!</v>
      </c>
      <c r="L71" s="192" t="e">
        <f t="shared" ref="L71:L76" si="63">IF(K71&gt;120%, I71*0.55%, IF(K71&gt;100%, I71*0.45%, IF(K71&gt;80%, I71*0.35%, IF(K71&gt;60%, I71*0.2%, 0))))</f>
        <v>#DIV/0!</v>
      </c>
      <c r="M71" s="191"/>
      <c r="N71" s="191"/>
      <c r="O71" s="608"/>
      <c r="P71" s="165" t="s">
        <v>96</v>
      </c>
      <c r="Q71" s="166"/>
      <c r="R71" s="167"/>
      <c r="S71" s="168"/>
      <c r="T71" s="169"/>
      <c r="U71" s="170"/>
      <c r="V71" s="166"/>
      <c r="W71" s="166">
        <f>T71-U71</f>
        <v>0</v>
      </c>
      <c r="X71" s="171">
        <f t="shared" ref="X71:X77" si="64">W71-Q71</f>
        <v>0</v>
      </c>
      <c r="Y71" s="172" t="e">
        <f t="shared" ref="Y71:Y77" si="65">W71/Q71</f>
        <v>#DIV/0!</v>
      </c>
      <c r="Z71" s="192" t="e">
        <f t="shared" ref="Z71:Z76" si="66">IF(Y71&gt;120%, W71*0.55%, IF(Y71&gt;100%, W71*0.45%, IF(Y71&gt;80%, W71*0.35%, IF(Y71&gt;60%, W71*0.2%, 0))))</f>
        <v>#DIV/0!</v>
      </c>
    </row>
    <row r="72" spans="1:26" ht="14.5" customHeight="1" x14ac:dyDescent="0.35">
      <c r="A72" s="623"/>
      <c r="B72" s="165" t="s">
        <v>97</v>
      </c>
      <c r="C72" s="173"/>
      <c r="D72" s="167"/>
      <c r="E72" s="168"/>
      <c r="F72" s="169"/>
      <c r="G72" s="174"/>
      <c r="H72" s="173"/>
      <c r="I72" s="166">
        <f t="shared" si="60"/>
        <v>0</v>
      </c>
      <c r="J72" s="171">
        <f t="shared" si="61"/>
        <v>0</v>
      </c>
      <c r="K72" s="172" t="e">
        <f t="shared" si="62"/>
        <v>#DIV/0!</v>
      </c>
      <c r="L72" s="192" t="e">
        <f t="shared" si="63"/>
        <v>#DIV/0!</v>
      </c>
      <c r="M72" s="191"/>
      <c r="N72" s="191"/>
      <c r="O72" s="608"/>
      <c r="P72" s="165" t="s">
        <v>97</v>
      </c>
      <c r="Q72" s="173"/>
      <c r="R72" s="167"/>
      <c r="S72" s="168"/>
      <c r="T72" s="169"/>
      <c r="U72" s="174"/>
      <c r="V72" s="173"/>
      <c r="W72" s="166">
        <f t="shared" ref="W72:W77" si="67">T72-U72</f>
        <v>0</v>
      </c>
      <c r="X72" s="171">
        <f t="shared" si="64"/>
        <v>0</v>
      </c>
      <c r="Y72" s="172" t="e">
        <f t="shared" si="65"/>
        <v>#DIV/0!</v>
      </c>
      <c r="Z72" s="192" t="e">
        <f t="shared" si="66"/>
        <v>#DIV/0!</v>
      </c>
    </row>
    <row r="73" spans="1:26" ht="14.5" customHeight="1" x14ac:dyDescent="0.35">
      <c r="A73" s="623"/>
      <c r="B73" s="165" t="s">
        <v>98</v>
      </c>
      <c r="C73" s="173"/>
      <c r="D73" s="167"/>
      <c r="E73" s="168"/>
      <c r="F73" s="169"/>
      <c r="G73" s="170"/>
      <c r="H73" s="173"/>
      <c r="I73" s="166">
        <f t="shared" si="60"/>
        <v>0</v>
      </c>
      <c r="J73" s="171">
        <f t="shared" si="61"/>
        <v>0</v>
      </c>
      <c r="K73" s="172" t="e">
        <f t="shared" si="62"/>
        <v>#DIV/0!</v>
      </c>
      <c r="L73" s="192" t="e">
        <f t="shared" si="63"/>
        <v>#DIV/0!</v>
      </c>
      <c r="M73" s="191"/>
      <c r="N73" s="191"/>
      <c r="O73" s="608"/>
      <c r="P73" s="165" t="s">
        <v>98</v>
      </c>
      <c r="Q73" s="173"/>
      <c r="R73" s="167"/>
      <c r="S73" s="168"/>
      <c r="T73" s="169"/>
      <c r="U73" s="170"/>
      <c r="V73" s="173"/>
      <c r="W73" s="166">
        <f t="shared" si="67"/>
        <v>0</v>
      </c>
      <c r="X73" s="171">
        <f t="shared" si="64"/>
        <v>0</v>
      </c>
      <c r="Y73" s="172" t="e">
        <f t="shared" si="65"/>
        <v>#DIV/0!</v>
      </c>
      <c r="Z73" s="192" t="e">
        <f t="shared" si="66"/>
        <v>#DIV/0!</v>
      </c>
    </row>
    <row r="74" spans="1:26" ht="14.5" customHeight="1" x14ac:dyDescent="0.35">
      <c r="A74" s="623"/>
      <c r="B74" s="165" t="s">
        <v>99</v>
      </c>
      <c r="C74" s="173"/>
      <c r="D74" s="167"/>
      <c r="E74" s="168"/>
      <c r="F74" s="169"/>
      <c r="G74" s="170"/>
      <c r="H74" s="173"/>
      <c r="I74" s="166">
        <f t="shared" si="60"/>
        <v>0</v>
      </c>
      <c r="J74" s="171">
        <f t="shared" si="61"/>
        <v>0</v>
      </c>
      <c r="K74" s="172" t="e">
        <f t="shared" si="62"/>
        <v>#DIV/0!</v>
      </c>
      <c r="L74" s="192" t="e">
        <f t="shared" si="63"/>
        <v>#DIV/0!</v>
      </c>
      <c r="M74" s="191"/>
      <c r="N74" s="191"/>
      <c r="O74" s="608"/>
      <c r="P74" s="165" t="s">
        <v>99</v>
      </c>
      <c r="Q74" s="173"/>
      <c r="R74" s="167"/>
      <c r="S74" s="168"/>
      <c r="T74" s="169"/>
      <c r="U74" s="170"/>
      <c r="V74" s="173"/>
      <c r="W74" s="166">
        <f t="shared" si="67"/>
        <v>0</v>
      </c>
      <c r="X74" s="171">
        <f t="shared" si="64"/>
        <v>0</v>
      </c>
      <c r="Y74" s="172" t="e">
        <f t="shared" si="65"/>
        <v>#DIV/0!</v>
      </c>
      <c r="Z74" s="192" t="e">
        <f t="shared" si="66"/>
        <v>#DIV/0!</v>
      </c>
    </row>
    <row r="75" spans="1:26" ht="14.5" customHeight="1" x14ac:dyDescent="0.35">
      <c r="A75" s="623"/>
      <c r="B75" s="165" t="s">
        <v>100</v>
      </c>
      <c r="C75" s="173"/>
      <c r="D75" s="167"/>
      <c r="E75" s="168"/>
      <c r="F75" s="169"/>
      <c r="G75" s="170"/>
      <c r="H75" s="173"/>
      <c r="I75" s="166">
        <f t="shared" si="60"/>
        <v>0</v>
      </c>
      <c r="J75" s="171">
        <f t="shared" si="61"/>
        <v>0</v>
      </c>
      <c r="K75" s="172" t="e">
        <f t="shared" si="62"/>
        <v>#DIV/0!</v>
      </c>
      <c r="L75" s="192" t="e">
        <f t="shared" si="63"/>
        <v>#DIV/0!</v>
      </c>
      <c r="M75" s="191"/>
      <c r="N75" s="191"/>
      <c r="O75" s="608"/>
      <c r="P75" s="165" t="s">
        <v>100</v>
      </c>
      <c r="Q75" s="173"/>
      <c r="R75" s="167"/>
      <c r="S75" s="168"/>
      <c r="T75" s="169"/>
      <c r="U75" s="170"/>
      <c r="V75" s="173"/>
      <c r="W75" s="166">
        <f t="shared" si="67"/>
        <v>0</v>
      </c>
      <c r="X75" s="171">
        <f t="shared" si="64"/>
        <v>0</v>
      </c>
      <c r="Y75" s="172" t="e">
        <f t="shared" si="65"/>
        <v>#DIV/0!</v>
      </c>
      <c r="Z75" s="192" t="e">
        <f t="shared" si="66"/>
        <v>#DIV/0!</v>
      </c>
    </row>
    <row r="76" spans="1:26" ht="14.5" customHeight="1" x14ac:dyDescent="0.35">
      <c r="A76" s="623"/>
      <c r="B76" s="165" t="s">
        <v>101</v>
      </c>
      <c r="C76" s="173"/>
      <c r="D76" s="167"/>
      <c r="E76" s="168"/>
      <c r="F76" s="169"/>
      <c r="G76" s="170"/>
      <c r="H76" s="173"/>
      <c r="I76" s="166">
        <f t="shared" si="60"/>
        <v>0</v>
      </c>
      <c r="J76" s="171">
        <f t="shared" si="61"/>
        <v>0</v>
      </c>
      <c r="K76" s="172" t="e">
        <f t="shared" si="62"/>
        <v>#DIV/0!</v>
      </c>
      <c r="L76" s="192" t="e">
        <f t="shared" si="63"/>
        <v>#DIV/0!</v>
      </c>
      <c r="M76" s="191"/>
      <c r="N76" s="191"/>
      <c r="O76" s="608"/>
      <c r="P76" s="165" t="s">
        <v>101</v>
      </c>
      <c r="Q76" s="173"/>
      <c r="R76" s="167"/>
      <c r="S76" s="168"/>
      <c r="T76" s="169"/>
      <c r="U76" s="170"/>
      <c r="V76" s="173"/>
      <c r="W76" s="166">
        <f t="shared" si="67"/>
        <v>0</v>
      </c>
      <c r="X76" s="171">
        <f t="shared" si="64"/>
        <v>0</v>
      </c>
      <c r="Y76" s="172" t="e">
        <f t="shared" si="65"/>
        <v>#DIV/0!</v>
      </c>
      <c r="Z76" s="192" t="e">
        <f t="shared" si="66"/>
        <v>#DIV/0!</v>
      </c>
    </row>
    <row r="77" spans="1:26" ht="14.5" customHeight="1" thickBot="1" x14ac:dyDescent="0.4">
      <c r="A77" s="623"/>
      <c r="B77" s="175" t="s">
        <v>77</v>
      </c>
      <c r="C77" s="176">
        <f t="shared" ref="C77:H77" si="68">SUM(C71:C76)</f>
        <v>0</v>
      </c>
      <c r="D77" s="177">
        <f t="shared" si="68"/>
        <v>0</v>
      </c>
      <c r="E77" s="178">
        <f t="shared" si="68"/>
        <v>0</v>
      </c>
      <c r="F77" s="176">
        <f t="shared" si="68"/>
        <v>0</v>
      </c>
      <c r="G77" s="179">
        <f t="shared" si="68"/>
        <v>0</v>
      </c>
      <c r="H77" s="176">
        <f t="shared" si="68"/>
        <v>0</v>
      </c>
      <c r="I77" s="176">
        <f t="shared" si="60"/>
        <v>0</v>
      </c>
      <c r="J77" s="176">
        <f t="shared" si="61"/>
        <v>0</v>
      </c>
      <c r="K77" s="180" t="e">
        <f t="shared" si="62"/>
        <v>#DIV/0!</v>
      </c>
      <c r="L77" s="197" t="e">
        <f>SUM(L71:L76)</f>
        <v>#DIV/0!</v>
      </c>
      <c r="N77" s="191"/>
      <c r="O77" s="609"/>
      <c r="P77" s="204" t="s">
        <v>77</v>
      </c>
      <c r="Q77" s="205">
        <f t="shared" ref="Q77:V77" si="69">SUM(Q71:Q76)</f>
        <v>0</v>
      </c>
      <c r="R77" s="206">
        <f>SUM(R71:R76)</f>
        <v>0</v>
      </c>
      <c r="S77" s="207">
        <f t="shared" si="69"/>
        <v>0</v>
      </c>
      <c r="T77" s="205">
        <f t="shared" si="69"/>
        <v>0</v>
      </c>
      <c r="U77" s="208">
        <f t="shared" si="69"/>
        <v>0</v>
      </c>
      <c r="V77" s="205">
        <f t="shared" si="69"/>
        <v>0</v>
      </c>
      <c r="W77" s="205">
        <f t="shared" si="67"/>
        <v>0</v>
      </c>
      <c r="X77" s="205">
        <f t="shared" si="64"/>
        <v>0</v>
      </c>
      <c r="Y77" s="209" t="e">
        <f t="shared" si="65"/>
        <v>#DIV/0!</v>
      </c>
      <c r="Z77" s="197" t="e">
        <f>SUM(Z71:Z76)</f>
        <v>#DIV/0!</v>
      </c>
    </row>
    <row r="78" spans="1:26" ht="14.5" customHeight="1" x14ac:dyDescent="0.35">
      <c r="B78" s="181" t="str">
        <f>$B$12</f>
        <v>TARGET Q4</v>
      </c>
      <c r="C78" s="182"/>
      <c r="D78" s="676"/>
      <c r="E78" s="677"/>
      <c r="F78" s="677"/>
      <c r="G78" s="677"/>
      <c r="H78" s="678"/>
      <c r="I78" s="182">
        <f>I77</f>
        <v>0</v>
      </c>
      <c r="J78" s="182">
        <f>I78-C78</f>
        <v>0</v>
      </c>
      <c r="K78" s="183" t="e">
        <f t="shared" si="62"/>
        <v>#DIV/0!</v>
      </c>
      <c r="L78" s="192" t="e">
        <f>IF(K78&gt;=1,3500000,IF(K78&gt;=0.9,2500000,0))</f>
        <v>#DIV/0!</v>
      </c>
      <c r="P78" s="181" t="str">
        <f>$B$12</f>
        <v>TARGET Q4</v>
      </c>
      <c r="Q78" s="182"/>
      <c r="R78" s="676"/>
      <c r="S78" s="677"/>
      <c r="T78" s="677"/>
      <c r="U78" s="677"/>
      <c r="V78" s="678"/>
      <c r="W78" s="182">
        <f>W77</f>
        <v>0</v>
      </c>
      <c r="X78" s="182">
        <f>W78-Q78</f>
        <v>0</v>
      </c>
      <c r="Y78" s="183" t="e">
        <f>W78/Q78</f>
        <v>#DIV/0!</v>
      </c>
      <c r="Z78" s="192" t="e">
        <f>IF(Y78&gt;=1,3500000,IF(Y78&gt;=0.9,2500000,0))</f>
        <v>#DIV/0!</v>
      </c>
    </row>
    <row r="79" spans="1:26" ht="14.5" customHeight="1" thickBot="1" x14ac:dyDescent="0.4">
      <c r="C79" s="210" t="e">
        <f>C78/C77</f>
        <v>#DIV/0!</v>
      </c>
      <c r="Q79" s="210" t="e">
        <f>Q78/Q77</f>
        <v>#DIV/0!</v>
      </c>
    </row>
    <row r="80" spans="1:26" ht="20.149999999999999" customHeight="1" x14ac:dyDescent="0.35">
      <c r="A80" s="623">
        <v>8</v>
      </c>
      <c r="B80" s="352" t="s">
        <v>57</v>
      </c>
      <c r="C80" s="353" t="s">
        <v>37</v>
      </c>
      <c r="D80" s="681" t="s">
        <v>91</v>
      </c>
      <c r="E80" s="616" t="s">
        <v>62</v>
      </c>
      <c r="F80" s="604" t="s">
        <v>117</v>
      </c>
      <c r="G80" s="605"/>
      <c r="H80" s="605"/>
      <c r="I80" s="606"/>
      <c r="J80" s="587" t="s">
        <v>65</v>
      </c>
      <c r="K80" s="352" t="s">
        <v>66</v>
      </c>
      <c r="O80" s="607">
        <v>8</v>
      </c>
      <c r="P80" s="354" t="s">
        <v>57</v>
      </c>
      <c r="Q80" s="355" t="s">
        <v>55</v>
      </c>
      <c r="R80" s="679" t="s">
        <v>91</v>
      </c>
      <c r="S80" s="591" t="s">
        <v>62</v>
      </c>
      <c r="T80" s="610" t="s">
        <v>117</v>
      </c>
      <c r="U80" s="611"/>
      <c r="V80" s="611"/>
      <c r="W80" s="612"/>
      <c r="X80" s="603" t="s">
        <v>65</v>
      </c>
      <c r="Y80" s="354" t="s">
        <v>66</v>
      </c>
    </row>
    <row r="81" spans="1:26" ht="33" customHeight="1" x14ac:dyDescent="0.35">
      <c r="A81" s="623"/>
      <c r="B81" s="352" t="s">
        <v>93</v>
      </c>
      <c r="C81" s="353" t="str">
        <f>C70</f>
        <v>TARGET 100%</v>
      </c>
      <c r="D81" s="682"/>
      <c r="E81" s="617"/>
      <c r="F81" s="163" t="str">
        <f>F4</f>
        <v>OMSET NOV
 (1-1)</v>
      </c>
      <c r="G81" s="163" t="str">
        <f>G4</f>
        <v>OMSET PRODUK</v>
      </c>
      <c r="H81" s="353" t="s">
        <v>63</v>
      </c>
      <c r="I81" s="353" t="s">
        <v>64</v>
      </c>
      <c r="J81" s="587"/>
      <c r="K81" s="164">
        <f>K70</f>
        <v>3.3333333333333333E-2</v>
      </c>
      <c r="O81" s="608"/>
      <c r="P81" s="354" t="s">
        <v>93</v>
      </c>
      <c r="Q81" s="355" t="str">
        <f>Q70</f>
        <v>TARGET 100%</v>
      </c>
      <c r="R81" s="680"/>
      <c r="S81" s="592"/>
      <c r="T81" s="200" t="str">
        <f>T4</f>
        <v>OMSET NOV
 (1-1)</v>
      </c>
      <c r="U81" s="200" t="str">
        <f>G4</f>
        <v>OMSET PRODUK</v>
      </c>
      <c r="V81" s="355" t="s">
        <v>63</v>
      </c>
      <c r="W81" s="355" t="s">
        <v>64</v>
      </c>
      <c r="X81" s="603"/>
      <c r="Y81" s="201">
        <f>K81</f>
        <v>3.3333333333333333E-2</v>
      </c>
    </row>
    <row r="82" spans="1:26" ht="14.5" customHeight="1" x14ac:dyDescent="0.35">
      <c r="A82" s="623"/>
      <c r="B82" s="165" t="s">
        <v>96</v>
      </c>
      <c r="C82" s="166"/>
      <c r="D82" s="167"/>
      <c r="E82" s="168"/>
      <c r="F82" s="169"/>
      <c r="G82" s="170"/>
      <c r="H82" s="166"/>
      <c r="I82" s="166">
        <f>F82-G82</f>
        <v>0</v>
      </c>
      <c r="J82" s="171">
        <f t="shared" ref="J82:J88" si="70">I82-C82</f>
        <v>0</v>
      </c>
      <c r="K82" s="172" t="e">
        <f t="shared" ref="K82:K89" si="71">I82/C82</f>
        <v>#DIV/0!</v>
      </c>
      <c r="L82" s="192" t="e">
        <f t="shared" ref="L82:L87" si="72">IF(K82&gt;120%, I82*0.55%, IF(K82&gt;100%, I82*0.45%, IF(K82&gt;80%, I82*0.35%, IF(K82&gt;60%, I82*0.2%, 0))))</f>
        <v>#DIV/0!</v>
      </c>
      <c r="O82" s="608"/>
      <c r="P82" s="165" t="s">
        <v>96</v>
      </c>
      <c r="Q82" s="166"/>
      <c r="R82" s="167"/>
      <c r="S82" s="168"/>
      <c r="T82" s="169"/>
      <c r="U82" s="170"/>
      <c r="V82" s="166"/>
      <c r="W82" s="166">
        <f t="shared" ref="W82:W88" si="73">T82-U82</f>
        <v>0</v>
      </c>
      <c r="X82" s="171">
        <f t="shared" ref="X82:X87" si="74">T82-Q82</f>
        <v>0</v>
      </c>
      <c r="Y82" s="172" t="e">
        <f t="shared" ref="Y82:Y88" si="75">W82/Q82</f>
        <v>#DIV/0!</v>
      </c>
      <c r="Z82" s="192" t="e">
        <f t="shared" ref="Z82:Z87" si="76">IF(Y82&gt;120%, W82*0.55%, IF(Y82&gt;100%, W82*0.45%, IF(Y82&gt;80%, W82*0.35%, IF(Y82&gt;60%, W82*0.2%, 0))))</f>
        <v>#DIV/0!</v>
      </c>
    </row>
    <row r="83" spans="1:26" ht="16" customHeight="1" x14ac:dyDescent="0.35">
      <c r="A83" s="623"/>
      <c r="B83" s="165" t="s">
        <v>97</v>
      </c>
      <c r="C83" s="173"/>
      <c r="D83" s="167"/>
      <c r="E83" s="168"/>
      <c r="F83" s="169"/>
      <c r="G83" s="174"/>
      <c r="H83" s="173"/>
      <c r="I83" s="166">
        <f t="shared" ref="I83:I88" si="77">F83-G83</f>
        <v>0</v>
      </c>
      <c r="J83" s="171">
        <f t="shared" si="70"/>
        <v>0</v>
      </c>
      <c r="K83" s="172" t="e">
        <f t="shared" si="71"/>
        <v>#DIV/0!</v>
      </c>
      <c r="L83" s="192" t="e">
        <f t="shared" si="72"/>
        <v>#DIV/0!</v>
      </c>
      <c r="O83" s="608"/>
      <c r="P83" s="165" t="s">
        <v>97</v>
      </c>
      <c r="Q83" s="173"/>
      <c r="R83" s="167"/>
      <c r="S83" s="168"/>
      <c r="T83" s="169"/>
      <c r="U83" s="174"/>
      <c r="V83" s="173"/>
      <c r="W83" s="166">
        <f t="shared" si="73"/>
        <v>0</v>
      </c>
      <c r="X83" s="171">
        <f t="shared" si="74"/>
        <v>0</v>
      </c>
      <c r="Y83" s="172" t="e">
        <f>W83/Q83</f>
        <v>#DIV/0!</v>
      </c>
      <c r="Z83" s="192" t="e">
        <f t="shared" si="76"/>
        <v>#DIV/0!</v>
      </c>
    </row>
    <row r="84" spans="1:26" ht="14.5" customHeight="1" x14ac:dyDescent="0.35">
      <c r="A84" s="623"/>
      <c r="B84" s="165" t="s">
        <v>98</v>
      </c>
      <c r="C84" s="173"/>
      <c r="D84" s="167"/>
      <c r="E84" s="168"/>
      <c r="F84" s="169"/>
      <c r="G84" s="170"/>
      <c r="H84" s="173"/>
      <c r="I84" s="166">
        <f t="shared" si="77"/>
        <v>0</v>
      </c>
      <c r="J84" s="171">
        <f t="shared" si="70"/>
        <v>0</v>
      </c>
      <c r="K84" s="172" t="e">
        <f t="shared" si="71"/>
        <v>#DIV/0!</v>
      </c>
      <c r="L84" s="192" t="e">
        <f t="shared" si="72"/>
        <v>#DIV/0!</v>
      </c>
      <c r="O84" s="608"/>
      <c r="P84" s="165" t="s">
        <v>98</v>
      </c>
      <c r="Q84" s="173"/>
      <c r="R84" s="167"/>
      <c r="S84" s="168"/>
      <c r="T84" s="169"/>
      <c r="U84" s="170"/>
      <c r="V84" s="173"/>
      <c r="W84" s="166">
        <f t="shared" si="73"/>
        <v>0</v>
      </c>
      <c r="X84" s="171">
        <f t="shared" si="74"/>
        <v>0</v>
      </c>
      <c r="Y84" s="172" t="e">
        <f t="shared" si="75"/>
        <v>#DIV/0!</v>
      </c>
      <c r="Z84" s="192" t="e">
        <f t="shared" si="76"/>
        <v>#DIV/0!</v>
      </c>
    </row>
    <row r="85" spans="1:26" ht="14.5" customHeight="1" x14ac:dyDescent="0.35">
      <c r="A85" s="623"/>
      <c r="B85" s="165" t="s">
        <v>99</v>
      </c>
      <c r="C85" s="173"/>
      <c r="D85" s="167"/>
      <c r="E85" s="168"/>
      <c r="F85" s="169"/>
      <c r="G85" s="170"/>
      <c r="H85" s="173"/>
      <c r="I85" s="166">
        <f t="shared" si="77"/>
        <v>0</v>
      </c>
      <c r="J85" s="171">
        <f t="shared" si="70"/>
        <v>0</v>
      </c>
      <c r="K85" s="172" t="e">
        <f t="shared" si="71"/>
        <v>#DIV/0!</v>
      </c>
      <c r="L85" s="192" t="e">
        <f t="shared" si="72"/>
        <v>#DIV/0!</v>
      </c>
      <c r="O85" s="608"/>
      <c r="P85" s="165" t="s">
        <v>99</v>
      </c>
      <c r="Q85" s="173"/>
      <c r="R85" s="167"/>
      <c r="S85" s="168"/>
      <c r="T85" s="169"/>
      <c r="U85" s="170"/>
      <c r="V85" s="173"/>
      <c r="W85" s="166">
        <f t="shared" si="73"/>
        <v>0</v>
      </c>
      <c r="X85" s="171">
        <f t="shared" si="74"/>
        <v>0</v>
      </c>
      <c r="Y85" s="172" t="e">
        <f t="shared" si="75"/>
        <v>#DIV/0!</v>
      </c>
      <c r="Z85" s="192" t="e">
        <f t="shared" si="76"/>
        <v>#DIV/0!</v>
      </c>
    </row>
    <row r="86" spans="1:26" ht="14.5" customHeight="1" x14ac:dyDescent="0.35">
      <c r="A86" s="623"/>
      <c r="B86" s="165" t="s">
        <v>100</v>
      </c>
      <c r="C86" s="173"/>
      <c r="D86" s="167"/>
      <c r="E86" s="168"/>
      <c r="F86" s="169"/>
      <c r="G86" s="170"/>
      <c r="H86" s="173"/>
      <c r="I86" s="166">
        <f t="shared" si="77"/>
        <v>0</v>
      </c>
      <c r="J86" s="171">
        <f t="shared" si="70"/>
        <v>0</v>
      </c>
      <c r="K86" s="172" t="e">
        <f t="shared" si="71"/>
        <v>#DIV/0!</v>
      </c>
      <c r="L86" s="192" t="e">
        <f t="shared" si="72"/>
        <v>#DIV/0!</v>
      </c>
      <c r="O86" s="608"/>
      <c r="P86" s="165" t="s">
        <v>100</v>
      </c>
      <c r="Q86" s="173"/>
      <c r="R86" s="167"/>
      <c r="S86" s="168"/>
      <c r="T86" s="169"/>
      <c r="U86" s="170"/>
      <c r="V86" s="173"/>
      <c r="W86" s="166">
        <f t="shared" si="73"/>
        <v>0</v>
      </c>
      <c r="X86" s="171">
        <f t="shared" si="74"/>
        <v>0</v>
      </c>
      <c r="Y86" s="172" t="e">
        <f t="shared" si="75"/>
        <v>#DIV/0!</v>
      </c>
      <c r="Z86" s="192" t="e">
        <f t="shared" si="76"/>
        <v>#DIV/0!</v>
      </c>
    </row>
    <row r="87" spans="1:26" ht="14.5" customHeight="1" x14ac:dyDescent="0.35">
      <c r="A87" s="623"/>
      <c r="B87" s="165" t="s">
        <v>101</v>
      </c>
      <c r="C87" s="173"/>
      <c r="D87" s="167"/>
      <c r="E87" s="168"/>
      <c r="F87" s="169"/>
      <c r="G87" s="170"/>
      <c r="H87" s="173"/>
      <c r="I87" s="166">
        <f t="shared" si="77"/>
        <v>0</v>
      </c>
      <c r="J87" s="171">
        <f t="shared" si="70"/>
        <v>0</v>
      </c>
      <c r="K87" s="172" t="e">
        <f t="shared" si="71"/>
        <v>#DIV/0!</v>
      </c>
      <c r="L87" s="192" t="e">
        <f t="shared" si="72"/>
        <v>#DIV/0!</v>
      </c>
      <c r="O87" s="608"/>
      <c r="P87" s="165" t="s">
        <v>101</v>
      </c>
      <c r="Q87" s="173"/>
      <c r="R87" s="167"/>
      <c r="S87" s="168"/>
      <c r="T87" s="169"/>
      <c r="U87" s="170"/>
      <c r="V87" s="173"/>
      <c r="W87" s="166">
        <f t="shared" si="73"/>
        <v>0</v>
      </c>
      <c r="X87" s="171">
        <f t="shared" si="74"/>
        <v>0</v>
      </c>
      <c r="Y87" s="172" t="e">
        <f>W87/Q87</f>
        <v>#DIV/0!</v>
      </c>
      <c r="Z87" s="192" t="e">
        <f t="shared" si="76"/>
        <v>#DIV/0!</v>
      </c>
    </row>
    <row r="88" spans="1:26" ht="14.5" customHeight="1" thickBot="1" x14ac:dyDescent="0.4">
      <c r="A88" s="623"/>
      <c r="B88" s="175" t="s">
        <v>77</v>
      </c>
      <c r="C88" s="176">
        <f t="shared" ref="C88:H88" si="78">SUM(C82:C87)</f>
        <v>0</v>
      </c>
      <c r="D88" s="177">
        <f t="shared" si="78"/>
        <v>0</v>
      </c>
      <c r="E88" s="178">
        <f t="shared" si="78"/>
        <v>0</v>
      </c>
      <c r="F88" s="176">
        <f t="shared" si="78"/>
        <v>0</v>
      </c>
      <c r="G88" s="179">
        <f t="shared" si="78"/>
        <v>0</v>
      </c>
      <c r="H88" s="176">
        <f t="shared" si="78"/>
        <v>0</v>
      </c>
      <c r="I88" s="176">
        <f t="shared" si="77"/>
        <v>0</v>
      </c>
      <c r="J88" s="176">
        <f t="shared" si="70"/>
        <v>0</v>
      </c>
      <c r="K88" s="180" t="e">
        <f>I88/C88</f>
        <v>#DIV/0!</v>
      </c>
      <c r="L88" s="197" t="e">
        <f>SUM(L82:L87)</f>
        <v>#DIV/0!</v>
      </c>
      <c r="O88" s="609"/>
      <c r="P88" s="204" t="s">
        <v>77</v>
      </c>
      <c r="Q88" s="205">
        <f t="shared" ref="Q88:V88" si="79">SUM(Q82:Q87)</f>
        <v>0</v>
      </c>
      <c r="R88" s="206">
        <f>SUM(R82:R87)</f>
        <v>0</v>
      </c>
      <c r="S88" s="207">
        <f t="shared" si="79"/>
        <v>0</v>
      </c>
      <c r="T88" s="205">
        <f t="shared" si="79"/>
        <v>0</v>
      </c>
      <c r="U88" s="208">
        <f t="shared" si="79"/>
        <v>0</v>
      </c>
      <c r="V88" s="205">
        <f t="shared" si="79"/>
        <v>0</v>
      </c>
      <c r="W88" s="205">
        <f t="shared" si="73"/>
        <v>0</v>
      </c>
      <c r="X88" s="205">
        <f>W88-Q88</f>
        <v>0</v>
      </c>
      <c r="Y88" s="209" t="e">
        <f t="shared" si="75"/>
        <v>#DIV/0!</v>
      </c>
      <c r="Z88" s="197" t="e">
        <f>SUM(Z82:Z87)</f>
        <v>#DIV/0!</v>
      </c>
    </row>
    <row r="89" spans="1:26" x14ac:dyDescent="0.35">
      <c r="B89" s="181" t="str">
        <f>$B$12</f>
        <v>TARGET Q4</v>
      </c>
      <c r="C89" s="182"/>
      <c r="D89" s="676"/>
      <c r="E89" s="677"/>
      <c r="F89" s="677"/>
      <c r="G89" s="677"/>
      <c r="H89" s="678"/>
      <c r="I89" s="182">
        <f>I88</f>
        <v>0</v>
      </c>
      <c r="J89" s="182">
        <f>I89-C89</f>
        <v>0</v>
      </c>
      <c r="K89" s="183" t="e">
        <f t="shared" si="71"/>
        <v>#DIV/0!</v>
      </c>
      <c r="L89" s="192" t="e">
        <f>IF(K89&gt;=1,3500000,IF(K89&gt;=0.9,2500000,0))</f>
        <v>#DIV/0!</v>
      </c>
      <c r="P89" s="181" t="str">
        <f>$B$12</f>
        <v>TARGET Q4</v>
      </c>
      <c r="Q89" s="182"/>
      <c r="R89" s="676"/>
      <c r="S89" s="677"/>
      <c r="T89" s="677"/>
      <c r="U89" s="677"/>
      <c r="V89" s="678"/>
      <c r="W89" s="182">
        <f>W88</f>
        <v>0</v>
      </c>
      <c r="X89" s="182">
        <f>W89-Q89</f>
        <v>0</v>
      </c>
      <c r="Y89" s="183" t="e">
        <f>W89/Q89</f>
        <v>#DIV/0!</v>
      </c>
      <c r="Z89" s="192" t="e">
        <f>IF(Y89&gt;=1,3500000,IF(Y89&gt;=0.9,2500000,0))</f>
        <v>#DIV/0!</v>
      </c>
    </row>
    <row r="90" spans="1:26" ht="15" thickBot="1" x14ac:dyDescent="0.4">
      <c r="C90" s="210" t="e">
        <f>C89/C88</f>
        <v>#DIV/0!</v>
      </c>
      <c r="Q90" s="210" t="e">
        <f>Q89/Q88</f>
        <v>#DIV/0!</v>
      </c>
    </row>
    <row r="91" spans="1:26" ht="20.5" customHeight="1" x14ac:dyDescent="0.35">
      <c r="A91" s="624">
        <v>9</v>
      </c>
      <c r="B91" s="352" t="s">
        <v>57</v>
      </c>
      <c r="C91" s="353" t="s">
        <v>43</v>
      </c>
      <c r="D91" s="681" t="s">
        <v>91</v>
      </c>
      <c r="E91" s="616" t="s">
        <v>62</v>
      </c>
      <c r="F91" s="604" t="s">
        <v>119</v>
      </c>
      <c r="G91" s="605"/>
      <c r="H91" s="605"/>
      <c r="I91" s="606"/>
      <c r="J91" s="587" t="s">
        <v>65</v>
      </c>
      <c r="K91" s="352" t="s">
        <v>66</v>
      </c>
      <c r="O91" s="607">
        <v>9</v>
      </c>
      <c r="P91" s="354" t="s">
        <v>57</v>
      </c>
      <c r="Q91" s="355"/>
      <c r="R91" s="679" t="s">
        <v>91</v>
      </c>
      <c r="S91" s="591" t="s">
        <v>62</v>
      </c>
      <c r="T91" s="610" t="s">
        <v>119</v>
      </c>
      <c r="U91" s="611"/>
      <c r="V91" s="611"/>
      <c r="W91" s="612"/>
      <c r="X91" s="603" t="s">
        <v>65</v>
      </c>
      <c r="Y91" s="354" t="s">
        <v>66</v>
      </c>
    </row>
    <row r="92" spans="1:26" ht="33.65" customHeight="1" x14ac:dyDescent="0.35">
      <c r="A92" s="625"/>
      <c r="B92" s="352" t="s">
        <v>93</v>
      </c>
      <c r="C92" s="353" t="str">
        <f>C81</f>
        <v>TARGET 100%</v>
      </c>
      <c r="D92" s="682"/>
      <c r="E92" s="617"/>
      <c r="F92" s="163" t="str">
        <f>F4</f>
        <v>OMSET NOV
 (1-1)</v>
      </c>
      <c r="G92" s="163" t="str">
        <f>G4</f>
        <v>OMSET PRODUK</v>
      </c>
      <c r="H92" s="353" t="s">
        <v>63</v>
      </c>
      <c r="I92" s="353" t="s">
        <v>64</v>
      </c>
      <c r="J92" s="587"/>
      <c r="K92" s="164">
        <f>K81</f>
        <v>3.3333333333333333E-2</v>
      </c>
      <c r="O92" s="608"/>
      <c r="P92" s="354" t="s">
        <v>93</v>
      </c>
      <c r="Q92" s="355" t="str">
        <f>Q81</f>
        <v>TARGET 100%</v>
      </c>
      <c r="R92" s="680"/>
      <c r="S92" s="592"/>
      <c r="T92" s="200" t="str">
        <f>T15</f>
        <v>OMSET NOV
 (1-1)</v>
      </c>
      <c r="U92" s="200" t="str">
        <f>G4</f>
        <v>OMSET PRODUK</v>
      </c>
      <c r="V92" s="355" t="s">
        <v>63</v>
      </c>
      <c r="W92" s="355" t="s">
        <v>64</v>
      </c>
      <c r="X92" s="603"/>
      <c r="Y92" s="201">
        <f>K92</f>
        <v>3.3333333333333333E-2</v>
      </c>
    </row>
    <row r="93" spans="1:26" ht="14.5" customHeight="1" x14ac:dyDescent="0.35">
      <c r="A93" s="625"/>
      <c r="B93" s="165" t="s">
        <v>96</v>
      </c>
      <c r="C93" s="166"/>
      <c r="D93" s="167"/>
      <c r="E93" s="168"/>
      <c r="F93" s="169"/>
      <c r="G93" s="170"/>
      <c r="H93" s="166"/>
      <c r="I93" s="166">
        <f t="shared" ref="I93:I99" si="80">F93-G93</f>
        <v>0</v>
      </c>
      <c r="J93" s="171">
        <f t="shared" ref="J93:J99" si="81">I93-C93</f>
        <v>0</v>
      </c>
      <c r="K93" s="172" t="e">
        <f t="shared" ref="K93:K100" si="82">I93/C93</f>
        <v>#DIV/0!</v>
      </c>
      <c r="L93" s="192" t="e">
        <f t="shared" ref="L93:L98" si="83">IF(K93&gt;120%, I93*0.55%, IF(K93&gt;100%, I93*0.45%, IF(K93&gt;80%, I93*0.35%, IF(K93&gt;60%, I93*0.2%, 0))))</f>
        <v>#DIV/0!</v>
      </c>
      <c r="O93" s="608"/>
      <c r="P93" s="165" t="s">
        <v>96</v>
      </c>
      <c r="Q93" s="166"/>
      <c r="R93" s="167"/>
      <c r="S93" s="168"/>
      <c r="T93" s="169"/>
      <c r="U93" s="170"/>
      <c r="V93" s="166"/>
      <c r="W93" s="166">
        <f t="shared" ref="W93:W99" si="84">T93-U93</f>
        <v>0</v>
      </c>
      <c r="X93" s="171">
        <f t="shared" ref="X93:X98" si="85">T93-Q93</f>
        <v>0</v>
      </c>
      <c r="Y93" s="172" t="e">
        <f t="shared" ref="Y93:Y99" si="86">W93/Q93</f>
        <v>#DIV/0!</v>
      </c>
      <c r="Z93" s="192" t="e">
        <f t="shared" ref="Z93:Z98" si="87">IF(Y93&gt;120%, W93*0.55%, IF(Y93&gt;100%, W93*0.45%, IF(Y93&gt;80%, W93*0.35%, IF(Y93&gt;60%, W93*0.2%, 0))))</f>
        <v>#DIV/0!</v>
      </c>
    </row>
    <row r="94" spans="1:26" ht="14.5" customHeight="1" x14ac:dyDescent="0.35">
      <c r="A94" s="625"/>
      <c r="B94" s="165" t="s">
        <v>97</v>
      </c>
      <c r="C94" s="173"/>
      <c r="D94" s="167"/>
      <c r="E94" s="168"/>
      <c r="F94" s="169"/>
      <c r="G94" s="174"/>
      <c r="H94" s="173"/>
      <c r="I94" s="166">
        <f t="shared" si="80"/>
        <v>0</v>
      </c>
      <c r="J94" s="171">
        <f t="shared" si="81"/>
        <v>0</v>
      </c>
      <c r="K94" s="172" t="e">
        <f t="shared" si="82"/>
        <v>#DIV/0!</v>
      </c>
      <c r="L94" s="192" t="e">
        <f t="shared" si="83"/>
        <v>#DIV/0!</v>
      </c>
      <c r="O94" s="608"/>
      <c r="P94" s="165" t="s">
        <v>97</v>
      </c>
      <c r="Q94" s="173"/>
      <c r="R94" s="167"/>
      <c r="S94" s="168"/>
      <c r="T94" s="169"/>
      <c r="U94" s="174"/>
      <c r="V94" s="173"/>
      <c r="W94" s="166">
        <f t="shared" si="84"/>
        <v>0</v>
      </c>
      <c r="X94" s="171">
        <f t="shared" si="85"/>
        <v>0</v>
      </c>
      <c r="Y94" s="172" t="e">
        <f t="shared" si="86"/>
        <v>#DIV/0!</v>
      </c>
      <c r="Z94" s="192" t="e">
        <f t="shared" si="87"/>
        <v>#DIV/0!</v>
      </c>
    </row>
    <row r="95" spans="1:26" ht="14.5" customHeight="1" x14ac:dyDescent="0.35">
      <c r="A95" s="625"/>
      <c r="B95" s="165" t="s">
        <v>98</v>
      </c>
      <c r="C95" s="173"/>
      <c r="D95" s="167"/>
      <c r="E95" s="168"/>
      <c r="F95" s="169"/>
      <c r="G95" s="170"/>
      <c r="H95" s="173"/>
      <c r="I95" s="166">
        <f>F95-G95</f>
        <v>0</v>
      </c>
      <c r="J95" s="171">
        <f t="shared" si="81"/>
        <v>0</v>
      </c>
      <c r="K95" s="172" t="e">
        <f t="shared" si="82"/>
        <v>#DIV/0!</v>
      </c>
      <c r="L95" s="192" t="e">
        <f t="shared" si="83"/>
        <v>#DIV/0!</v>
      </c>
      <c r="O95" s="608"/>
      <c r="P95" s="165" t="s">
        <v>98</v>
      </c>
      <c r="Q95" s="173"/>
      <c r="R95" s="167"/>
      <c r="S95" s="168"/>
      <c r="T95" s="169"/>
      <c r="U95" s="170"/>
      <c r="V95" s="173"/>
      <c r="W95" s="166">
        <f t="shared" si="84"/>
        <v>0</v>
      </c>
      <c r="X95" s="171">
        <f t="shared" si="85"/>
        <v>0</v>
      </c>
      <c r="Y95" s="172" t="e">
        <f t="shared" si="86"/>
        <v>#DIV/0!</v>
      </c>
      <c r="Z95" s="192" t="e">
        <f t="shared" si="87"/>
        <v>#DIV/0!</v>
      </c>
    </row>
    <row r="96" spans="1:26" ht="14.5" customHeight="1" x14ac:dyDescent="0.35">
      <c r="A96" s="625"/>
      <c r="B96" s="165" t="s">
        <v>99</v>
      </c>
      <c r="C96" s="173"/>
      <c r="D96" s="167"/>
      <c r="E96" s="168"/>
      <c r="F96" s="169"/>
      <c r="G96" s="170"/>
      <c r="H96" s="173"/>
      <c r="I96" s="166">
        <f>F96-G96</f>
        <v>0</v>
      </c>
      <c r="J96" s="171">
        <f t="shared" si="81"/>
        <v>0</v>
      </c>
      <c r="K96" s="172" t="e">
        <f t="shared" si="82"/>
        <v>#DIV/0!</v>
      </c>
      <c r="L96" s="192" t="e">
        <f t="shared" si="83"/>
        <v>#DIV/0!</v>
      </c>
      <c r="O96" s="608"/>
      <c r="P96" s="165" t="s">
        <v>99</v>
      </c>
      <c r="Q96" s="173"/>
      <c r="R96" s="167"/>
      <c r="S96" s="168"/>
      <c r="T96" s="169"/>
      <c r="U96" s="170"/>
      <c r="V96" s="173"/>
      <c r="W96" s="166">
        <f t="shared" si="84"/>
        <v>0</v>
      </c>
      <c r="X96" s="171">
        <f t="shared" si="85"/>
        <v>0</v>
      </c>
      <c r="Y96" s="172" t="e">
        <f t="shared" si="86"/>
        <v>#DIV/0!</v>
      </c>
      <c r="Z96" s="192" t="e">
        <f t="shared" si="87"/>
        <v>#DIV/0!</v>
      </c>
    </row>
    <row r="97" spans="1:27" ht="14.5" customHeight="1" x14ac:dyDescent="0.35">
      <c r="A97" s="625"/>
      <c r="B97" s="165" t="s">
        <v>100</v>
      </c>
      <c r="C97" s="173"/>
      <c r="D97" s="167"/>
      <c r="E97" s="168"/>
      <c r="F97" s="169"/>
      <c r="G97" s="170"/>
      <c r="H97" s="173"/>
      <c r="I97" s="166">
        <f t="shared" si="80"/>
        <v>0</v>
      </c>
      <c r="J97" s="171">
        <f t="shared" si="81"/>
        <v>0</v>
      </c>
      <c r="K97" s="172" t="e">
        <f t="shared" si="82"/>
        <v>#DIV/0!</v>
      </c>
      <c r="L97" s="192" t="e">
        <f t="shared" si="83"/>
        <v>#DIV/0!</v>
      </c>
      <c r="O97" s="608"/>
      <c r="P97" s="165" t="s">
        <v>100</v>
      </c>
      <c r="Q97" s="173"/>
      <c r="R97" s="167"/>
      <c r="S97" s="168"/>
      <c r="T97" s="169"/>
      <c r="U97" s="170"/>
      <c r="V97" s="173"/>
      <c r="W97" s="166">
        <f t="shared" si="84"/>
        <v>0</v>
      </c>
      <c r="X97" s="171">
        <f t="shared" si="85"/>
        <v>0</v>
      </c>
      <c r="Y97" s="172" t="e">
        <f t="shared" si="86"/>
        <v>#DIV/0!</v>
      </c>
      <c r="Z97" s="192" t="e">
        <f t="shared" si="87"/>
        <v>#DIV/0!</v>
      </c>
    </row>
    <row r="98" spans="1:27" ht="14.5" customHeight="1" x14ac:dyDescent="0.35">
      <c r="A98" s="625"/>
      <c r="B98" s="165" t="s">
        <v>101</v>
      </c>
      <c r="C98" s="173"/>
      <c r="D98" s="167"/>
      <c r="E98" s="168"/>
      <c r="F98" s="169"/>
      <c r="G98" s="170"/>
      <c r="H98" s="173"/>
      <c r="I98" s="166">
        <f t="shared" si="80"/>
        <v>0</v>
      </c>
      <c r="J98" s="171">
        <f t="shared" si="81"/>
        <v>0</v>
      </c>
      <c r="K98" s="172" t="e">
        <f t="shared" si="82"/>
        <v>#DIV/0!</v>
      </c>
      <c r="L98" s="192" t="e">
        <f t="shared" si="83"/>
        <v>#DIV/0!</v>
      </c>
      <c r="O98" s="608"/>
      <c r="P98" s="165" t="s">
        <v>101</v>
      </c>
      <c r="Q98" s="173"/>
      <c r="R98" s="167"/>
      <c r="S98" s="168"/>
      <c r="T98" s="169"/>
      <c r="U98" s="170"/>
      <c r="V98" s="173"/>
      <c r="W98" s="166">
        <f t="shared" si="84"/>
        <v>0</v>
      </c>
      <c r="X98" s="171">
        <f t="shared" si="85"/>
        <v>0</v>
      </c>
      <c r="Y98" s="172" t="e">
        <f t="shared" si="86"/>
        <v>#DIV/0!</v>
      </c>
      <c r="Z98" s="192" t="e">
        <f t="shared" si="87"/>
        <v>#DIV/0!</v>
      </c>
    </row>
    <row r="99" spans="1:27" s="187" customFormat="1" ht="14.5" customHeight="1" thickBot="1" x14ac:dyDescent="0.4">
      <c r="A99" s="625"/>
      <c r="B99" s="175" t="s">
        <v>77</v>
      </c>
      <c r="C99" s="176">
        <f t="shared" ref="C99:H99" si="88">SUM(C93:C98)</f>
        <v>0</v>
      </c>
      <c r="D99" s="177">
        <f t="shared" si="88"/>
        <v>0</v>
      </c>
      <c r="E99" s="178">
        <f t="shared" si="88"/>
        <v>0</v>
      </c>
      <c r="F99" s="176">
        <f t="shared" si="88"/>
        <v>0</v>
      </c>
      <c r="G99" s="179">
        <f t="shared" si="88"/>
        <v>0</v>
      </c>
      <c r="H99" s="176">
        <f t="shared" si="88"/>
        <v>0</v>
      </c>
      <c r="I99" s="176">
        <f t="shared" si="80"/>
        <v>0</v>
      </c>
      <c r="J99" s="176">
        <f t="shared" si="81"/>
        <v>0</v>
      </c>
      <c r="K99" s="180" t="e">
        <f t="shared" si="82"/>
        <v>#DIV/0!</v>
      </c>
      <c r="L99" s="197" t="e">
        <f>SUM(L93:L98)</f>
        <v>#DIV/0!</v>
      </c>
      <c r="M99" s="217"/>
      <c r="O99" s="609"/>
      <c r="P99" s="204" t="s">
        <v>77</v>
      </c>
      <c r="Q99" s="205">
        <f t="shared" ref="Q99:V99" si="89">SUM(Q93:Q98)</f>
        <v>0</v>
      </c>
      <c r="R99" s="206">
        <f t="shared" si="89"/>
        <v>0</v>
      </c>
      <c r="S99" s="207">
        <f>SUM(S93:S98)</f>
        <v>0</v>
      </c>
      <c r="T99" s="205">
        <f t="shared" si="89"/>
        <v>0</v>
      </c>
      <c r="U99" s="208">
        <f t="shared" si="89"/>
        <v>0</v>
      </c>
      <c r="V99" s="205">
        <f t="shared" si="89"/>
        <v>0</v>
      </c>
      <c r="W99" s="205">
        <f t="shared" si="84"/>
        <v>0</v>
      </c>
      <c r="X99" s="205">
        <f>W99-Q99</f>
        <v>0</v>
      </c>
      <c r="Y99" s="209" t="e">
        <f t="shared" si="86"/>
        <v>#DIV/0!</v>
      </c>
      <c r="Z99" s="197" t="e">
        <f>SUM(Z93:Z98)</f>
        <v>#DIV/0!</v>
      </c>
      <c r="AA99" s="218"/>
    </row>
    <row r="100" spans="1:27" ht="15" customHeight="1" x14ac:dyDescent="0.35">
      <c r="A100" s="219"/>
      <c r="B100" s="181" t="str">
        <f>$B$12</f>
        <v>TARGET Q4</v>
      </c>
      <c r="C100" s="182"/>
      <c r="D100" s="676"/>
      <c r="E100" s="677"/>
      <c r="F100" s="677"/>
      <c r="G100" s="677"/>
      <c r="H100" s="678"/>
      <c r="I100" s="182">
        <f>I99</f>
        <v>0</v>
      </c>
      <c r="J100" s="182">
        <f>I100-C100</f>
        <v>0</v>
      </c>
      <c r="K100" s="183" t="e">
        <f t="shared" si="82"/>
        <v>#DIV/0!</v>
      </c>
      <c r="L100" s="192" t="e">
        <f>IF(K100&gt;=1,3500000,IF(K100&gt;=0.9,2500000,0))</f>
        <v>#DIV/0!</v>
      </c>
      <c r="P100" s="181" t="str">
        <f>$B$12</f>
        <v>TARGET Q4</v>
      </c>
      <c r="Q100" s="182"/>
      <c r="R100" s="676"/>
      <c r="S100" s="677"/>
      <c r="T100" s="677"/>
      <c r="U100" s="677"/>
      <c r="V100" s="678"/>
      <c r="W100" s="182">
        <f>W99</f>
        <v>0</v>
      </c>
      <c r="X100" s="182">
        <f>W100-Q100</f>
        <v>0</v>
      </c>
      <c r="Y100" s="183" t="e">
        <f>W100/Q100</f>
        <v>#DIV/0!</v>
      </c>
      <c r="Z100" s="192" t="e">
        <f>IF(Y100&gt;=1,3500000,IF(Y100&gt;=0.9,2500000,0))</f>
        <v>#DIV/0!</v>
      </c>
    </row>
    <row r="101" spans="1:27" ht="15" thickBot="1" x14ac:dyDescent="0.4">
      <c r="C101" s="210" t="e">
        <f>C100/C99</f>
        <v>#DIV/0!</v>
      </c>
      <c r="Q101" s="210" t="e">
        <f>Q100/Q99</f>
        <v>#DIV/0!</v>
      </c>
    </row>
    <row r="102" spans="1:27" ht="17.149999999999999" customHeight="1" x14ac:dyDescent="0.35">
      <c r="A102" s="623">
        <v>10</v>
      </c>
      <c r="B102" s="352" t="s">
        <v>57</v>
      </c>
      <c r="C102" s="353"/>
      <c r="D102" s="681" t="s">
        <v>91</v>
      </c>
      <c r="E102" s="616" t="s">
        <v>62</v>
      </c>
      <c r="F102" s="604" t="s">
        <v>121</v>
      </c>
      <c r="G102" s="605"/>
      <c r="H102" s="605"/>
      <c r="I102" s="606"/>
      <c r="J102" s="587" t="s">
        <v>65</v>
      </c>
      <c r="K102" s="352" t="s">
        <v>66</v>
      </c>
      <c r="O102" s="613">
        <v>10</v>
      </c>
      <c r="P102" s="354" t="s">
        <v>57</v>
      </c>
      <c r="Q102" s="355"/>
      <c r="R102" s="679" t="s">
        <v>91</v>
      </c>
      <c r="S102" s="591" t="s">
        <v>62</v>
      </c>
      <c r="T102" s="610" t="s">
        <v>121</v>
      </c>
      <c r="U102" s="611"/>
      <c r="V102" s="611"/>
      <c r="W102" s="612"/>
      <c r="X102" s="603" t="s">
        <v>65</v>
      </c>
      <c r="Y102" s="354" t="s">
        <v>66</v>
      </c>
    </row>
    <row r="103" spans="1:27" ht="37.5" customHeight="1" x14ac:dyDescent="0.35">
      <c r="A103" s="623"/>
      <c r="B103" s="352" t="s">
        <v>93</v>
      </c>
      <c r="C103" s="353" t="str">
        <f>C92</f>
        <v>TARGET 100%</v>
      </c>
      <c r="D103" s="682"/>
      <c r="E103" s="617"/>
      <c r="F103" s="163" t="str">
        <f>F4</f>
        <v>OMSET NOV
 (1-1)</v>
      </c>
      <c r="G103" s="163" t="str">
        <f>G4</f>
        <v>OMSET PRODUK</v>
      </c>
      <c r="H103" s="353" t="s">
        <v>63</v>
      </c>
      <c r="I103" s="353" t="s">
        <v>64</v>
      </c>
      <c r="J103" s="587"/>
      <c r="K103" s="164">
        <f>K92</f>
        <v>3.3333333333333333E-2</v>
      </c>
      <c r="O103" s="614"/>
      <c r="P103" s="354" t="s">
        <v>93</v>
      </c>
      <c r="Q103" s="355" t="str">
        <f>Q92</f>
        <v>TARGET 100%</v>
      </c>
      <c r="R103" s="680"/>
      <c r="S103" s="592"/>
      <c r="T103" s="200" t="str">
        <f>T4</f>
        <v>OMSET NOV
 (1-1)</v>
      </c>
      <c r="U103" s="200" t="str">
        <f>G4</f>
        <v>OMSET PRODUK</v>
      </c>
      <c r="V103" s="355" t="s">
        <v>63</v>
      </c>
      <c r="W103" s="355" t="s">
        <v>64</v>
      </c>
      <c r="X103" s="603"/>
      <c r="Y103" s="201">
        <f>K103</f>
        <v>3.3333333333333333E-2</v>
      </c>
    </row>
    <row r="104" spans="1:27" ht="14.5" customHeight="1" x14ac:dyDescent="0.35">
      <c r="A104" s="623"/>
      <c r="B104" s="165" t="s">
        <v>96</v>
      </c>
      <c r="C104" s="166"/>
      <c r="D104" s="167"/>
      <c r="E104" s="168"/>
      <c r="F104" s="169"/>
      <c r="G104" s="170"/>
      <c r="H104" s="166"/>
      <c r="I104" s="166">
        <f t="shared" ref="I104:I110" si="90">F104-G104</f>
        <v>0</v>
      </c>
      <c r="J104" s="171">
        <f t="shared" ref="J104:J110" si="91">I104-C104</f>
        <v>0</v>
      </c>
      <c r="K104" s="172" t="e">
        <f>I104/C104</f>
        <v>#DIV/0!</v>
      </c>
      <c r="L104" s="192" t="e">
        <f t="shared" ref="L104:L109" si="92">IF(K104&gt;120%, I104*0.55%, IF(K104&gt;100%, I104*0.45%, IF(K104&gt;80%, I104*0.35%, IF(K104&gt;60%, I104*0.2%, 0))))</f>
        <v>#DIV/0!</v>
      </c>
      <c r="O104" s="614"/>
      <c r="P104" s="165" t="s">
        <v>96</v>
      </c>
      <c r="Q104" s="166"/>
      <c r="R104" s="167"/>
      <c r="S104" s="168"/>
      <c r="T104" s="169"/>
      <c r="U104" s="170"/>
      <c r="V104" s="166"/>
      <c r="W104" s="166">
        <f t="shared" ref="W104:W110" si="93">T104-U104</f>
        <v>0</v>
      </c>
      <c r="X104" s="171">
        <f t="shared" ref="X104:X109" si="94">T104-Q104</f>
        <v>0</v>
      </c>
      <c r="Y104" s="172" t="e">
        <f t="shared" ref="Y104:Y111" si="95">W104/Q104</f>
        <v>#DIV/0!</v>
      </c>
      <c r="Z104" s="192" t="e">
        <f t="shared" ref="Z104:Z109" si="96">IF(Y104&gt;120%, W104*0.55%, IF(Y104&gt;100%, W104*0.45%, IF(Y104&gt;80%, W104*0.35%, IF(Y104&gt;60%, W104*0.2%, 0))))</f>
        <v>#DIV/0!</v>
      </c>
    </row>
    <row r="105" spans="1:27" ht="14.5" customHeight="1" x14ac:dyDescent="0.35">
      <c r="A105" s="623"/>
      <c r="B105" s="165" t="s">
        <v>97</v>
      </c>
      <c r="C105" s="173"/>
      <c r="D105" s="167"/>
      <c r="E105" s="168"/>
      <c r="F105" s="169"/>
      <c r="G105" s="174"/>
      <c r="H105" s="173"/>
      <c r="I105" s="166">
        <f t="shared" si="90"/>
        <v>0</v>
      </c>
      <c r="J105" s="171">
        <f t="shared" si="91"/>
        <v>0</v>
      </c>
      <c r="K105" s="172" t="e">
        <f>I105/C105</f>
        <v>#DIV/0!</v>
      </c>
      <c r="L105" s="192" t="e">
        <f t="shared" si="92"/>
        <v>#DIV/0!</v>
      </c>
      <c r="O105" s="614"/>
      <c r="P105" s="165" t="s">
        <v>97</v>
      </c>
      <c r="Q105" s="173"/>
      <c r="R105" s="167"/>
      <c r="S105" s="168"/>
      <c r="T105" s="169"/>
      <c r="U105" s="174"/>
      <c r="V105" s="173"/>
      <c r="W105" s="166">
        <f>T105-U105</f>
        <v>0</v>
      </c>
      <c r="X105" s="171">
        <f>T105-Q105</f>
        <v>0</v>
      </c>
      <c r="Y105" s="172" t="e">
        <f t="shared" si="95"/>
        <v>#DIV/0!</v>
      </c>
      <c r="Z105" s="192" t="e">
        <f t="shared" si="96"/>
        <v>#DIV/0!</v>
      </c>
    </row>
    <row r="106" spans="1:27" ht="14.5" customHeight="1" x14ac:dyDescent="0.35">
      <c r="A106" s="623"/>
      <c r="B106" s="165" t="s">
        <v>98</v>
      </c>
      <c r="C106" s="173"/>
      <c r="D106" s="167"/>
      <c r="E106" s="168"/>
      <c r="F106" s="169"/>
      <c r="G106" s="170"/>
      <c r="H106" s="173"/>
      <c r="I106" s="166">
        <f t="shared" si="90"/>
        <v>0</v>
      </c>
      <c r="J106" s="171">
        <f t="shared" si="91"/>
        <v>0</v>
      </c>
      <c r="K106" s="172" t="e">
        <f t="shared" ref="K106:K109" si="97">I106/C106</f>
        <v>#DIV/0!</v>
      </c>
      <c r="L106" s="192" t="e">
        <f t="shared" si="92"/>
        <v>#DIV/0!</v>
      </c>
      <c r="O106" s="614"/>
      <c r="P106" s="165" t="s">
        <v>98</v>
      </c>
      <c r="Q106" s="173"/>
      <c r="R106" s="167"/>
      <c r="S106" s="168"/>
      <c r="T106" s="169"/>
      <c r="U106" s="170"/>
      <c r="V106" s="173"/>
      <c r="W106" s="166">
        <f t="shared" si="93"/>
        <v>0</v>
      </c>
      <c r="X106" s="171">
        <f t="shared" si="94"/>
        <v>0</v>
      </c>
      <c r="Y106" s="172" t="e">
        <f t="shared" si="95"/>
        <v>#DIV/0!</v>
      </c>
      <c r="Z106" s="192" t="e">
        <f t="shared" si="96"/>
        <v>#DIV/0!</v>
      </c>
    </row>
    <row r="107" spans="1:27" ht="14.5" customHeight="1" x14ac:dyDescent="0.35">
      <c r="A107" s="623"/>
      <c r="B107" s="165" t="s">
        <v>99</v>
      </c>
      <c r="C107" s="173"/>
      <c r="D107" s="167"/>
      <c r="E107" s="168"/>
      <c r="F107" s="169"/>
      <c r="G107" s="170"/>
      <c r="H107" s="173"/>
      <c r="I107" s="166">
        <f t="shared" si="90"/>
        <v>0</v>
      </c>
      <c r="J107" s="171">
        <f t="shared" si="91"/>
        <v>0</v>
      </c>
      <c r="K107" s="172" t="e">
        <f t="shared" si="97"/>
        <v>#DIV/0!</v>
      </c>
      <c r="L107" s="192" t="e">
        <f t="shared" si="92"/>
        <v>#DIV/0!</v>
      </c>
      <c r="O107" s="614"/>
      <c r="P107" s="165" t="s">
        <v>99</v>
      </c>
      <c r="Q107" s="173"/>
      <c r="R107" s="167"/>
      <c r="S107" s="168"/>
      <c r="T107" s="169"/>
      <c r="U107" s="170"/>
      <c r="V107" s="173"/>
      <c r="W107" s="166">
        <f t="shared" si="93"/>
        <v>0</v>
      </c>
      <c r="X107" s="171">
        <f t="shared" si="94"/>
        <v>0</v>
      </c>
      <c r="Y107" s="172" t="e">
        <f t="shared" si="95"/>
        <v>#DIV/0!</v>
      </c>
      <c r="Z107" s="192" t="e">
        <f t="shared" si="96"/>
        <v>#DIV/0!</v>
      </c>
    </row>
    <row r="108" spans="1:27" ht="14.5" customHeight="1" x14ac:dyDescent="0.35">
      <c r="A108" s="623"/>
      <c r="B108" s="165" t="s">
        <v>100</v>
      </c>
      <c r="C108" s="173"/>
      <c r="D108" s="167"/>
      <c r="E108" s="168"/>
      <c r="F108" s="169"/>
      <c r="G108" s="170"/>
      <c r="H108" s="173"/>
      <c r="I108" s="166">
        <f t="shared" si="90"/>
        <v>0</v>
      </c>
      <c r="J108" s="171">
        <f t="shared" si="91"/>
        <v>0</v>
      </c>
      <c r="K108" s="172" t="e">
        <f t="shared" si="97"/>
        <v>#DIV/0!</v>
      </c>
      <c r="L108" s="192" t="e">
        <f t="shared" si="92"/>
        <v>#DIV/0!</v>
      </c>
      <c r="O108" s="614"/>
      <c r="P108" s="165" t="s">
        <v>100</v>
      </c>
      <c r="Q108" s="173"/>
      <c r="R108" s="167"/>
      <c r="S108" s="168"/>
      <c r="T108" s="169"/>
      <c r="U108" s="170"/>
      <c r="V108" s="173"/>
      <c r="W108" s="166">
        <f t="shared" si="93"/>
        <v>0</v>
      </c>
      <c r="X108" s="171">
        <f t="shared" si="94"/>
        <v>0</v>
      </c>
      <c r="Y108" s="172" t="e">
        <f t="shared" si="95"/>
        <v>#DIV/0!</v>
      </c>
      <c r="Z108" s="192" t="e">
        <f t="shared" si="96"/>
        <v>#DIV/0!</v>
      </c>
    </row>
    <row r="109" spans="1:27" ht="14.5" customHeight="1" x14ac:dyDescent="0.35">
      <c r="A109" s="623"/>
      <c r="B109" s="165" t="s">
        <v>101</v>
      </c>
      <c r="C109" s="173"/>
      <c r="D109" s="167"/>
      <c r="E109" s="168"/>
      <c r="F109" s="169"/>
      <c r="G109" s="170"/>
      <c r="H109" s="173"/>
      <c r="I109" s="166">
        <f t="shared" si="90"/>
        <v>0</v>
      </c>
      <c r="J109" s="171">
        <f t="shared" si="91"/>
        <v>0</v>
      </c>
      <c r="K109" s="172" t="e">
        <f t="shared" si="97"/>
        <v>#DIV/0!</v>
      </c>
      <c r="L109" s="192" t="e">
        <f t="shared" si="92"/>
        <v>#DIV/0!</v>
      </c>
      <c r="O109" s="614"/>
      <c r="P109" s="165" t="s">
        <v>101</v>
      </c>
      <c r="Q109" s="173"/>
      <c r="R109" s="167"/>
      <c r="S109" s="168"/>
      <c r="T109" s="169"/>
      <c r="U109" s="170"/>
      <c r="V109" s="173"/>
      <c r="W109" s="166">
        <f t="shared" si="93"/>
        <v>0</v>
      </c>
      <c r="X109" s="171">
        <f t="shared" si="94"/>
        <v>0</v>
      </c>
      <c r="Y109" s="172" t="e">
        <f t="shared" si="95"/>
        <v>#DIV/0!</v>
      </c>
      <c r="Z109" s="192" t="e">
        <f t="shared" si="96"/>
        <v>#DIV/0!</v>
      </c>
    </row>
    <row r="110" spans="1:27" ht="14.5" customHeight="1" thickBot="1" x14ac:dyDescent="0.4">
      <c r="A110" s="623"/>
      <c r="B110" s="175" t="s">
        <v>77</v>
      </c>
      <c r="C110" s="176">
        <f t="shared" ref="C110:H110" si="98">SUM(C104:C109)</f>
        <v>0</v>
      </c>
      <c r="D110" s="177">
        <f t="shared" si="98"/>
        <v>0</v>
      </c>
      <c r="E110" s="178">
        <f t="shared" si="98"/>
        <v>0</v>
      </c>
      <c r="F110" s="176">
        <f t="shared" si="98"/>
        <v>0</v>
      </c>
      <c r="G110" s="179">
        <f t="shared" si="98"/>
        <v>0</v>
      </c>
      <c r="H110" s="176">
        <f t="shared" si="98"/>
        <v>0</v>
      </c>
      <c r="I110" s="176">
        <f t="shared" si="90"/>
        <v>0</v>
      </c>
      <c r="J110" s="176">
        <f t="shared" si="91"/>
        <v>0</v>
      </c>
      <c r="K110" s="180" t="e">
        <f>I110/C110</f>
        <v>#DIV/0!</v>
      </c>
      <c r="L110" s="197" t="e">
        <f>SUM(L104:L109)</f>
        <v>#DIV/0!</v>
      </c>
      <c r="O110" s="615"/>
      <c r="P110" s="204" t="s">
        <v>77</v>
      </c>
      <c r="Q110" s="205">
        <f t="shared" ref="Q110:V110" si="99">SUM(Q104:Q109)</f>
        <v>0</v>
      </c>
      <c r="R110" s="206">
        <f t="shared" si="99"/>
        <v>0</v>
      </c>
      <c r="S110" s="207">
        <f t="shared" si="99"/>
        <v>0</v>
      </c>
      <c r="T110" s="205">
        <f t="shared" si="99"/>
        <v>0</v>
      </c>
      <c r="U110" s="208">
        <f t="shared" si="99"/>
        <v>0</v>
      </c>
      <c r="V110" s="205">
        <f t="shared" si="99"/>
        <v>0</v>
      </c>
      <c r="W110" s="205">
        <f t="shared" si="93"/>
        <v>0</v>
      </c>
      <c r="X110" s="205">
        <f>W110-Q110</f>
        <v>0</v>
      </c>
      <c r="Y110" s="209" t="e">
        <f t="shared" si="95"/>
        <v>#DIV/0!</v>
      </c>
      <c r="Z110" s="197" t="e">
        <f>SUM(Z104:Z109)</f>
        <v>#DIV/0!</v>
      </c>
    </row>
    <row r="111" spans="1:27" ht="14.5" customHeight="1" x14ac:dyDescent="0.35">
      <c r="B111" s="181" t="str">
        <f>$B$12</f>
        <v>TARGET Q4</v>
      </c>
      <c r="C111" s="182"/>
      <c r="D111" s="676"/>
      <c r="E111" s="677"/>
      <c r="F111" s="677"/>
      <c r="G111" s="677"/>
      <c r="H111" s="678"/>
      <c r="I111" s="182">
        <f>I110</f>
        <v>0</v>
      </c>
      <c r="J111" s="182">
        <f>I111-C111</f>
        <v>0</v>
      </c>
      <c r="K111" s="183" t="e">
        <f>I111/C111</f>
        <v>#DIV/0!</v>
      </c>
      <c r="L111" s="192" t="e">
        <f>IF(K111&gt;=1,3500000,IF(K111&gt;=0.9,2500000,0))</f>
        <v>#DIV/0!</v>
      </c>
      <c r="P111" s="181" t="str">
        <f>$B$12</f>
        <v>TARGET Q4</v>
      </c>
      <c r="Q111" s="182"/>
      <c r="R111" s="676"/>
      <c r="S111" s="677"/>
      <c r="T111" s="677"/>
      <c r="U111" s="677"/>
      <c r="V111" s="678"/>
      <c r="W111" s="182">
        <f>W110</f>
        <v>0</v>
      </c>
      <c r="X111" s="182">
        <f>W111-Q111</f>
        <v>0</v>
      </c>
      <c r="Y111" s="183" t="e">
        <f t="shared" si="95"/>
        <v>#DIV/0!</v>
      </c>
      <c r="Z111" s="192" t="e">
        <f>IF(Y111&gt;=1,3500000,IF(Y111&gt;=0.9,2500000,0))</f>
        <v>#DIV/0!</v>
      </c>
    </row>
    <row r="112" spans="1:27" ht="14.5" customHeight="1" x14ac:dyDescent="0.35">
      <c r="C112" s="210" t="e">
        <f>C111/C110</f>
        <v>#DIV/0!</v>
      </c>
      <c r="Q112" s="210" t="e">
        <f>Q111/Q110</f>
        <v>#DIV/0!</v>
      </c>
    </row>
    <row r="113" spans="2:28" x14ac:dyDescent="0.35">
      <c r="C113" s="210"/>
    </row>
    <row r="114" spans="2:28" s="290" customFormat="1" ht="14.5" customHeight="1" x14ac:dyDescent="0.35">
      <c r="C114" s="291"/>
      <c r="D114" s="292"/>
      <c r="E114" s="293"/>
      <c r="F114" s="294"/>
      <c r="G114" s="295"/>
      <c r="H114" s="291"/>
      <c r="I114" s="291"/>
      <c r="J114" s="296"/>
      <c r="K114" s="292"/>
      <c r="L114" s="297"/>
      <c r="M114" s="298"/>
      <c r="Q114" s="292"/>
      <c r="R114" s="299"/>
      <c r="S114" s="292"/>
      <c r="T114" s="294"/>
      <c r="U114" s="295"/>
      <c r="V114" s="291"/>
      <c r="W114" s="291"/>
      <c r="X114" s="291"/>
      <c r="Y114" s="292"/>
      <c r="Z114" s="291"/>
      <c r="AA114" s="300"/>
    </row>
    <row r="115" spans="2:28" ht="14.5" customHeight="1" x14ac:dyDescent="0.35"/>
    <row r="116" spans="2:28" ht="15" customHeight="1" x14ac:dyDescent="0.35">
      <c r="B116" s="580" t="s">
        <v>123</v>
      </c>
      <c r="C116" s="581"/>
      <c r="D116" s="581"/>
      <c r="E116" s="581"/>
      <c r="F116" s="581"/>
      <c r="G116" s="581"/>
      <c r="H116" s="581"/>
      <c r="I116" s="581"/>
      <c r="J116" s="581"/>
      <c r="K116" s="581"/>
      <c r="L116" s="581"/>
      <c r="M116" s="582"/>
      <c r="P116" s="600" t="s">
        <v>124</v>
      </c>
      <c r="Q116" s="600"/>
      <c r="R116" s="600"/>
      <c r="S116" s="600"/>
      <c r="T116" s="600"/>
      <c r="U116" s="600"/>
      <c r="V116" s="600"/>
      <c r="W116" s="600"/>
      <c r="X116" s="600"/>
      <c r="Y116" s="600"/>
      <c r="Z116" s="600"/>
      <c r="AA116" s="600"/>
    </row>
    <row r="117" spans="2:28" ht="15" customHeight="1" x14ac:dyDescent="0.35">
      <c r="B117" s="583"/>
      <c r="C117" s="584"/>
      <c r="D117" s="584"/>
      <c r="E117" s="584"/>
      <c r="F117" s="584"/>
      <c r="G117" s="584"/>
      <c r="H117" s="584"/>
      <c r="I117" s="584"/>
      <c r="J117" s="584"/>
      <c r="K117" s="584"/>
      <c r="L117" s="584"/>
      <c r="M117" s="585"/>
      <c r="P117" s="600"/>
      <c r="Q117" s="600"/>
      <c r="R117" s="600"/>
      <c r="S117" s="600"/>
      <c r="T117" s="600"/>
      <c r="U117" s="600"/>
      <c r="V117" s="600"/>
      <c r="W117" s="600"/>
      <c r="X117" s="600"/>
      <c r="Y117" s="600"/>
      <c r="Z117" s="600"/>
      <c r="AA117" s="600"/>
    </row>
    <row r="118" spans="2:28" ht="15" customHeight="1" x14ac:dyDescent="0.35">
      <c r="B118" s="586" t="s">
        <v>125</v>
      </c>
      <c r="C118" s="587" t="s">
        <v>94</v>
      </c>
      <c r="D118" s="586" t="s">
        <v>91</v>
      </c>
      <c r="E118" s="586" t="s">
        <v>62</v>
      </c>
      <c r="F118" s="588" t="str">
        <f>F48</f>
        <v>OMSET NOV
 (1-1)</v>
      </c>
      <c r="G118" s="588" t="s">
        <v>95</v>
      </c>
      <c r="H118" s="587" t="s">
        <v>63</v>
      </c>
      <c r="I118" s="587" t="s">
        <v>64</v>
      </c>
      <c r="J118" s="587" t="s">
        <v>126</v>
      </c>
      <c r="K118" s="589" t="s">
        <v>66</v>
      </c>
      <c r="L118" s="590" t="s">
        <v>127</v>
      </c>
      <c r="M118" s="301" t="s">
        <v>128</v>
      </c>
      <c r="P118" s="660" t="s">
        <v>125</v>
      </c>
      <c r="Q118" s="660" t="s">
        <v>94</v>
      </c>
      <c r="R118" s="661" t="s">
        <v>91</v>
      </c>
      <c r="S118" s="660" t="s">
        <v>62</v>
      </c>
      <c r="T118" s="664" t="str">
        <f>T26</f>
        <v>OMSET NOV
 (1-1)</v>
      </c>
      <c r="U118" s="664" t="str">
        <f>G4</f>
        <v>OMSET PRODUK</v>
      </c>
      <c r="V118" s="663" t="s">
        <v>63</v>
      </c>
      <c r="W118" s="663" t="s">
        <v>64</v>
      </c>
      <c r="X118" s="663" t="s">
        <v>126</v>
      </c>
      <c r="Y118" s="675" t="s">
        <v>66</v>
      </c>
      <c r="Z118" s="664" t="s">
        <v>127</v>
      </c>
      <c r="AA118" s="220" t="s">
        <v>128</v>
      </c>
    </row>
    <row r="119" spans="2:28" ht="30" customHeight="1" x14ac:dyDescent="0.35">
      <c r="B119" s="586"/>
      <c r="C119" s="587"/>
      <c r="D119" s="586"/>
      <c r="E119" s="586"/>
      <c r="F119" s="588"/>
      <c r="G119" s="588"/>
      <c r="H119" s="587"/>
      <c r="I119" s="587"/>
      <c r="J119" s="587"/>
      <c r="K119" s="589"/>
      <c r="L119" s="590"/>
      <c r="M119" s="302">
        <f>100/DAY(EOMONTH($B$1,0))*DAY($B$1)/100</f>
        <v>3.3333333333333333E-2</v>
      </c>
      <c r="P119" s="660"/>
      <c r="Q119" s="660"/>
      <c r="R119" s="661"/>
      <c r="S119" s="660"/>
      <c r="T119" s="664"/>
      <c r="U119" s="664"/>
      <c r="V119" s="663"/>
      <c r="W119" s="663"/>
      <c r="X119" s="663"/>
      <c r="Y119" s="675"/>
      <c r="Z119" s="664"/>
      <c r="AA119" s="221">
        <f>K4</f>
        <v>3.3333333333333333E-2</v>
      </c>
    </row>
    <row r="120" spans="2:28" x14ac:dyDescent="0.35">
      <c r="B120" s="171" t="str">
        <f>C3</f>
        <v>CHRISTOPER</v>
      </c>
      <c r="C120" s="166">
        <f t="shared" ref="C120:H120" si="100">C11</f>
        <v>1541592000</v>
      </c>
      <c r="D120" s="167">
        <f t="shared" si="100"/>
        <v>0</v>
      </c>
      <c r="E120" s="222">
        <f t="shared" si="100"/>
        <v>0</v>
      </c>
      <c r="F120" s="223">
        <f t="shared" si="100"/>
        <v>0</v>
      </c>
      <c r="G120" s="224">
        <f t="shared" si="100"/>
        <v>0</v>
      </c>
      <c r="H120" s="166">
        <f t="shared" si="100"/>
        <v>0</v>
      </c>
      <c r="I120" s="166">
        <f>F120-G120</f>
        <v>0</v>
      </c>
      <c r="J120" s="166">
        <f t="shared" ref="J120:J126" si="101">I120-C120</f>
        <v>-1541592000</v>
      </c>
      <c r="K120" s="225">
        <f t="shared" ref="K120:K125" si="102">I120/C120</f>
        <v>0</v>
      </c>
      <c r="L120" s="226">
        <f t="shared" ref="L120:L125" si="103">H120+I120</f>
        <v>0</v>
      </c>
      <c r="M120" s="227">
        <f t="shared" ref="M120:M125" si="104">L120/C120</f>
        <v>0</v>
      </c>
      <c r="N120" s="228">
        <f>F120+H120</f>
        <v>0</v>
      </c>
      <c r="P120" s="229" t="str">
        <f>Q3</f>
        <v>RIFKY</v>
      </c>
      <c r="Q120" s="166">
        <f t="shared" ref="Q120:V120" si="105">Q11</f>
        <v>0</v>
      </c>
      <c r="R120" s="230">
        <f t="shared" si="105"/>
        <v>0</v>
      </c>
      <c r="S120" s="167">
        <f t="shared" si="105"/>
        <v>0</v>
      </c>
      <c r="T120" s="166">
        <f t="shared" si="105"/>
        <v>0</v>
      </c>
      <c r="U120" s="231">
        <f t="shared" si="105"/>
        <v>0</v>
      </c>
      <c r="V120" s="166">
        <f t="shared" si="105"/>
        <v>0</v>
      </c>
      <c r="W120" s="166">
        <f>T120-U120</f>
        <v>0</v>
      </c>
      <c r="X120" s="166">
        <f t="shared" ref="X120:X126" si="106">W120-Q120</f>
        <v>0</v>
      </c>
      <c r="Y120" s="225" t="e">
        <f t="shared" ref="Y120:Y125" si="107">W120/Q120</f>
        <v>#DIV/0!</v>
      </c>
      <c r="Z120" s="171">
        <f t="shared" ref="Z120:Z125" si="108">V120+W120</f>
        <v>0</v>
      </c>
      <c r="AA120" s="227" t="e">
        <f t="shared" ref="AA120:AA125" si="109">Z120/Q120</f>
        <v>#DIV/0!</v>
      </c>
      <c r="AB120" s="228">
        <f>T120+V120</f>
        <v>0</v>
      </c>
    </row>
    <row r="121" spans="2:28" x14ac:dyDescent="0.35">
      <c r="B121" s="171" t="str">
        <f>C14</f>
        <v>ANNAUFAL</v>
      </c>
      <c r="C121" s="166">
        <f t="shared" ref="C121:H121" si="110">C22</f>
        <v>0</v>
      </c>
      <c r="D121" s="167">
        <f t="shared" si="110"/>
        <v>0</v>
      </c>
      <c r="E121" s="222">
        <f t="shared" si="110"/>
        <v>0</v>
      </c>
      <c r="F121" s="223">
        <f t="shared" si="110"/>
        <v>0</v>
      </c>
      <c r="G121" s="224">
        <f t="shared" si="110"/>
        <v>0</v>
      </c>
      <c r="H121" s="166">
        <f t="shared" si="110"/>
        <v>0</v>
      </c>
      <c r="I121" s="166">
        <f>F121-G121</f>
        <v>0</v>
      </c>
      <c r="J121" s="166">
        <f t="shared" si="101"/>
        <v>0</v>
      </c>
      <c r="K121" s="225" t="e">
        <f t="shared" si="102"/>
        <v>#DIV/0!</v>
      </c>
      <c r="L121" s="226">
        <f t="shared" si="103"/>
        <v>0</v>
      </c>
      <c r="M121" s="227" t="e">
        <f t="shared" si="104"/>
        <v>#DIV/0!</v>
      </c>
      <c r="N121" s="228">
        <f>F121+H121</f>
        <v>0</v>
      </c>
      <c r="P121" s="229">
        <f>Q14</f>
        <v>0</v>
      </c>
      <c r="Q121" s="166">
        <f t="shared" ref="Q121:V121" si="111">Q22</f>
        <v>0</v>
      </c>
      <c r="R121" s="230">
        <f t="shared" si="111"/>
        <v>0</v>
      </c>
      <c r="S121" s="167">
        <f t="shared" si="111"/>
        <v>0</v>
      </c>
      <c r="T121" s="166">
        <f t="shared" si="111"/>
        <v>0</v>
      </c>
      <c r="U121" s="231">
        <f t="shared" si="111"/>
        <v>0</v>
      </c>
      <c r="V121" s="166">
        <f t="shared" si="111"/>
        <v>0</v>
      </c>
      <c r="W121" s="166">
        <f>T121-U121</f>
        <v>0</v>
      </c>
      <c r="X121" s="166">
        <f t="shared" si="106"/>
        <v>0</v>
      </c>
      <c r="Y121" s="225" t="e">
        <f t="shared" si="107"/>
        <v>#DIV/0!</v>
      </c>
      <c r="Z121" s="171">
        <f>V121+W121</f>
        <v>0</v>
      </c>
      <c r="AA121" s="227" t="e">
        <f t="shared" si="109"/>
        <v>#DIV/0!</v>
      </c>
      <c r="AB121" s="228">
        <f>T121+V121</f>
        <v>0</v>
      </c>
    </row>
    <row r="122" spans="2:28" x14ac:dyDescent="0.35">
      <c r="B122" s="171" t="str">
        <f>C25</f>
        <v>DIKI HERMAWAN</v>
      </c>
      <c r="C122" s="166">
        <f t="shared" ref="C122:H122" si="112">C33</f>
        <v>0</v>
      </c>
      <c r="D122" s="167">
        <f t="shared" si="112"/>
        <v>0</v>
      </c>
      <c r="E122" s="222">
        <f t="shared" si="112"/>
        <v>0</v>
      </c>
      <c r="F122" s="223">
        <f t="shared" si="112"/>
        <v>0</v>
      </c>
      <c r="G122" s="224">
        <f t="shared" si="112"/>
        <v>0</v>
      </c>
      <c r="H122" s="166">
        <f t="shared" si="112"/>
        <v>0</v>
      </c>
      <c r="I122" s="166">
        <f>F122-G122</f>
        <v>0</v>
      </c>
      <c r="J122" s="166">
        <f t="shared" si="101"/>
        <v>0</v>
      </c>
      <c r="K122" s="225" t="e">
        <f t="shared" si="102"/>
        <v>#DIV/0!</v>
      </c>
      <c r="L122" s="226">
        <f t="shared" si="103"/>
        <v>0</v>
      </c>
      <c r="M122" s="227" t="e">
        <f t="shared" si="104"/>
        <v>#DIV/0!</v>
      </c>
      <c r="N122" s="228">
        <f>F122+H122</f>
        <v>0</v>
      </c>
      <c r="P122" s="229">
        <f>Q25</f>
        <v>0</v>
      </c>
      <c r="Q122" s="166">
        <f t="shared" ref="Q122:V122" si="113">Q33</f>
        <v>0</v>
      </c>
      <c r="R122" s="230">
        <f t="shared" si="113"/>
        <v>0</v>
      </c>
      <c r="S122" s="167">
        <f t="shared" si="113"/>
        <v>0</v>
      </c>
      <c r="T122" s="166">
        <f t="shared" si="113"/>
        <v>0</v>
      </c>
      <c r="U122" s="231">
        <f t="shared" si="113"/>
        <v>0</v>
      </c>
      <c r="V122" s="166">
        <f t="shared" si="113"/>
        <v>0</v>
      </c>
      <c r="W122" s="166">
        <f>T122-U122</f>
        <v>0</v>
      </c>
      <c r="X122" s="166">
        <f t="shared" si="106"/>
        <v>0</v>
      </c>
      <c r="Y122" s="225" t="e">
        <f t="shared" si="107"/>
        <v>#DIV/0!</v>
      </c>
      <c r="Z122" s="171">
        <f t="shared" si="108"/>
        <v>0</v>
      </c>
      <c r="AA122" s="227" t="e">
        <f t="shared" si="109"/>
        <v>#DIV/0!</v>
      </c>
      <c r="AB122" s="228">
        <f>T122+V122</f>
        <v>0</v>
      </c>
    </row>
    <row r="123" spans="2:28" ht="14.5" customHeight="1" x14ac:dyDescent="0.35">
      <c r="B123" s="171" t="str">
        <f>C36</f>
        <v>AGPC:TKAB-KRW</v>
      </c>
      <c r="C123" s="166">
        <f t="shared" ref="C123:H123" si="114">C44</f>
        <v>0</v>
      </c>
      <c r="D123" s="167">
        <f t="shared" si="114"/>
        <v>0</v>
      </c>
      <c r="E123" s="222">
        <f t="shared" si="114"/>
        <v>0</v>
      </c>
      <c r="F123" s="223">
        <f t="shared" si="114"/>
        <v>0</v>
      </c>
      <c r="G123" s="224">
        <f t="shared" si="114"/>
        <v>0</v>
      </c>
      <c r="H123" s="166">
        <f t="shared" si="114"/>
        <v>0</v>
      </c>
      <c r="I123" s="166">
        <f>F123-G123</f>
        <v>0</v>
      </c>
      <c r="J123" s="166">
        <f t="shared" si="101"/>
        <v>0</v>
      </c>
      <c r="K123" s="225" t="e">
        <f t="shared" si="102"/>
        <v>#DIV/0!</v>
      </c>
      <c r="L123" s="226">
        <f t="shared" si="103"/>
        <v>0</v>
      </c>
      <c r="M123" s="227" t="e">
        <f t="shared" si="104"/>
        <v>#DIV/0!</v>
      </c>
      <c r="N123" s="228">
        <f>F123+H123</f>
        <v>0</v>
      </c>
      <c r="P123" s="229" t="str">
        <f>Q36</f>
        <v>GILBERT</v>
      </c>
      <c r="Q123" s="166">
        <f t="shared" ref="Q123:V123" si="115">Q44</f>
        <v>0</v>
      </c>
      <c r="R123" s="230">
        <f t="shared" si="115"/>
        <v>0</v>
      </c>
      <c r="S123" s="167">
        <f t="shared" si="115"/>
        <v>0</v>
      </c>
      <c r="T123" s="166">
        <f t="shared" si="115"/>
        <v>0</v>
      </c>
      <c r="U123" s="231">
        <f t="shared" si="115"/>
        <v>0</v>
      </c>
      <c r="V123" s="166">
        <f t="shared" si="115"/>
        <v>0</v>
      </c>
      <c r="W123" s="166">
        <f>T123-U123</f>
        <v>0</v>
      </c>
      <c r="X123" s="166">
        <f t="shared" si="106"/>
        <v>0</v>
      </c>
      <c r="Y123" s="225" t="e">
        <f t="shared" si="107"/>
        <v>#DIV/0!</v>
      </c>
      <c r="Z123" s="171">
        <f t="shared" si="108"/>
        <v>0</v>
      </c>
      <c r="AA123" s="227" t="e">
        <f t="shared" si="109"/>
        <v>#DIV/0!</v>
      </c>
      <c r="AB123" s="228">
        <f>T123+V123</f>
        <v>0</v>
      </c>
    </row>
    <row r="124" spans="2:28" ht="14.5" customHeight="1" x14ac:dyDescent="0.35">
      <c r="B124" s="171" t="str">
        <f>C47</f>
        <v>RIDWAN</v>
      </c>
      <c r="C124" s="166">
        <f t="shared" ref="C124:H124" si="116">C55</f>
        <v>0</v>
      </c>
      <c r="D124" s="167">
        <f t="shared" si="116"/>
        <v>0</v>
      </c>
      <c r="E124" s="222">
        <f t="shared" si="116"/>
        <v>0</v>
      </c>
      <c r="F124" s="223">
        <f t="shared" si="116"/>
        <v>0</v>
      </c>
      <c r="G124" s="224">
        <f t="shared" si="116"/>
        <v>0</v>
      </c>
      <c r="H124" s="166">
        <f t="shared" si="116"/>
        <v>0</v>
      </c>
      <c r="I124" s="166">
        <f>F124-G124</f>
        <v>0</v>
      </c>
      <c r="J124" s="166">
        <f t="shared" si="101"/>
        <v>0</v>
      </c>
      <c r="K124" s="225" t="e">
        <f t="shared" si="102"/>
        <v>#DIV/0!</v>
      </c>
      <c r="L124" s="226">
        <f t="shared" si="103"/>
        <v>0</v>
      </c>
      <c r="M124" s="227" t="e">
        <f t="shared" si="104"/>
        <v>#DIV/0!</v>
      </c>
      <c r="N124" s="228">
        <f>F124+H124</f>
        <v>0</v>
      </c>
      <c r="P124" s="229">
        <f>Q47</f>
        <v>0</v>
      </c>
      <c r="Q124" s="166">
        <f t="shared" ref="Q124:V124" si="117">Q55</f>
        <v>0</v>
      </c>
      <c r="R124" s="230">
        <f t="shared" si="117"/>
        <v>0</v>
      </c>
      <c r="S124" s="167">
        <f t="shared" si="117"/>
        <v>0</v>
      </c>
      <c r="T124" s="166">
        <f t="shared" si="117"/>
        <v>0</v>
      </c>
      <c r="U124" s="231">
        <f t="shared" si="117"/>
        <v>0</v>
      </c>
      <c r="V124" s="166">
        <f t="shared" si="117"/>
        <v>0</v>
      </c>
      <c r="W124" s="166">
        <f>T124-U124</f>
        <v>0</v>
      </c>
      <c r="X124" s="166">
        <f t="shared" si="106"/>
        <v>0</v>
      </c>
      <c r="Y124" s="225" t="e">
        <f t="shared" si="107"/>
        <v>#DIV/0!</v>
      </c>
      <c r="Z124" s="171">
        <f t="shared" si="108"/>
        <v>0</v>
      </c>
      <c r="AA124" s="227" t="e">
        <f t="shared" si="109"/>
        <v>#DIV/0!</v>
      </c>
      <c r="AB124" s="228">
        <f>T124+V124</f>
        <v>0</v>
      </c>
    </row>
    <row r="125" spans="2:28" x14ac:dyDescent="0.35">
      <c r="B125" s="175" t="s">
        <v>77</v>
      </c>
      <c r="C125" s="176">
        <f t="shared" ref="C125:H125" si="118">SUM(C120:C124)</f>
        <v>1541592000</v>
      </c>
      <c r="D125" s="177">
        <f t="shared" si="118"/>
        <v>0</v>
      </c>
      <c r="E125" s="178">
        <f t="shared" si="118"/>
        <v>0</v>
      </c>
      <c r="F125" s="303">
        <f t="shared" si="118"/>
        <v>0</v>
      </c>
      <c r="G125" s="304">
        <f t="shared" si="118"/>
        <v>0</v>
      </c>
      <c r="H125" s="176">
        <f t="shared" si="118"/>
        <v>0</v>
      </c>
      <c r="I125" s="176">
        <f>SUM(I120:I124)</f>
        <v>0</v>
      </c>
      <c r="J125" s="176">
        <f t="shared" si="101"/>
        <v>-1541592000</v>
      </c>
      <c r="K125" s="305">
        <f t="shared" si="102"/>
        <v>0</v>
      </c>
      <c r="L125" s="353">
        <f t="shared" si="103"/>
        <v>0</v>
      </c>
      <c r="M125" s="180">
        <f t="shared" si="104"/>
        <v>0</v>
      </c>
      <c r="P125" s="232" t="s">
        <v>77</v>
      </c>
      <c r="Q125" s="233">
        <f>SUM(Q120:Q124)</f>
        <v>0</v>
      </c>
      <c r="R125" s="234">
        <f>SUM(R120:R124)</f>
        <v>0</v>
      </c>
      <c r="S125" s="235">
        <f t="shared" ref="S125:W125" si="119">SUM(S120:S124)</f>
        <v>0</v>
      </c>
      <c r="T125" s="233">
        <f>SUM(T120:T124)</f>
        <v>0</v>
      </c>
      <c r="U125" s="236">
        <f t="shared" si="119"/>
        <v>0</v>
      </c>
      <c r="V125" s="233">
        <f t="shared" si="119"/>
        <v>0</v>
      </c>
      <c r="W125" s="233">
        <f t="shared" si="119"/>
        <v>0</v>
      </c>
      <c r="X125" s="233">
        <f t="shared" si="106"/>
        <v>0</v>
      </c>
      <c r="Y125" s="237" t="e">
        <f t="shared" si="107"/>
        <v>#DIV/0!</v>
      </c>
      <c r="Z125" s="238">
        <f t="shared" si="108"/>
        <v>0</v>
      </c>
      <c r="AA125" s="239" t="e">
        <f t="shared" si="109"/>
        <v>#DIV/0!</v>
      </c>
    </row>
    <row r="126" spans="2:28" x14ac:dyDescent="0.35">
      <c r="B126" s="181" t="str">
        <f>$B$12</f>
        <v>TARGET Q4</v>
      </c>
      <c r="C126" s="182">
        <f>SUM(C56,C45,C34,C23,C12)</f>
        <v>1233273600</v>
      </c>
      <c r="D126" s="240"/>
      <c r="E126" s="241"/>
      <c r="F126" s="241"/>
      <c r="G126" s="241"/>
      <c r="H126" s="241"/>
      <c r="I126" s="182">
        <f>I125</f>
        <v>0</v>
      </c>
      <c r="J126" s="182">
        <f t="shared" si="101"/>
        <v>-1233273600</v>
      </c>
      <c r="K126" s="242"/>
      <c r="L126" s="243"/>
      <c r="M126" s="244">
        <f>I126/C126</f>
        <v>0</v>
      </c>
      <c r="P126" s="181" t="str">
        <f>$B$12</f>
        <v>TARGET Q4</v>
      </c>
      <c r="Q126" s="182">
        <f>SUM(Q56,Q45,Q34,Q23,Q12)</f>
        <v>0</v>
      </c>
      <c r="R126" s="240"/>
      <c r="S126" s="241"/>
      <c r="T126" s="241"/>
      <c r="U126" s="241"/>
      <c r="V126" s="241"/>
      <c r="W126" s="182">
        <f>W125</f>
        <v>0</v>
      </c>
      <c r="X126" s="182">
        <f t="shared" si="106"/>
        <v>0</v>
      </c>
      <c r="Y126" s="242"/>
      <c r="Z126" s="243"/>
      <c r="AA126" s="244" t="e">
        <f>W126/Q126</f>
        <v>#DIV/0!</v>
      </c>
    </row>
    <row r="127" spans="2:28" x14ac:dyDescent="0.35">
      <c r="C127" s="202"/>
      <c r="D127" s="245"/>
      <c r="E127" s="245"/>
      <c r="F127" s="245"/>
      <c r="G127" s="245"/>
      <c r="H127" s="245"/>
      <c r="I127" s="245"/>
      <c r="J127" s="245"/>
      <c r="K127" s="245"/>
      <c r="L127" s="197"/>
      <c r="M127" s="246"/>
      <c r="Q127" s="202"/>
      <c r="R127" s="245"/>
      <c r="S127" s="245"/>
      <c r="T127" s="245"/>
      <c r="U127" s="245"/>
      <c r="V127" s="245"/>
      <c r="W127" s="202"/>
      <c r="X127" s="247"/>
      <c r="Y127" s="248"/>
      <c r="Z127" s="197"/>
      <c r="AA127" s="246"/>
    </row>
    <row r="128" spans="2:28" x14ac:dyDescent="0.35">
      <c r="K128" s="249"/>
    </row>
    <row r="129" spans="2:28" ht="15" customHeight="1" x14ac:dyDescent="0.35">
      <c r="B129" s="580" t="s">
        <v>129</v>
      </c>
      <c r="C129" s="581"/>
      <c r="D129" s="581"/>
      <c r="E129" s="581"/>
      <c r="F129" s="581"/>
      <c r="G129" s="581"/>
      <c r="H129" s="581"/>
      <c r="I129" s="581"/>
      <c r="J129" s="581"/>
      <c r="K129" s="581"/>
      <c r="L129" s="581"/>
      <c r="M129" s="582"/>
      <c r="P129" s="580" t="s">
        <v>130</v>
      </c>
      <c r="Q129" s="581"/>
      <c r="R129" s="581"/>
      <c r="S129" s="581"/>
      <c r="T129" s="581"/>
      <c r="U129" s="581"/>
      <c r="V129" s="581"/>
      <c r="W129" s="581"/>
      <c r="X129" s="581"/>
      <c r="Y129" s="581"/>
      <c r="Z129" s="581"/>
      <c r="AA129" s="582"/>
    </row>
    <row r="130" spans="2:28" ht="15" customHeight="1" x14ac:dyDescent="0.35">
      <c r="B130" s="583"/>
      <c r="C130" s="584"/>
      <c r="D130" s="584"/>
      <c r="E130" s="584"/>
      <c r="F130" s="584"/>
      <c r="G130" s="584"/>
      <c r="H130" s="584"/>
      <c r="I130" s="584"/>
      <c r="J130" s="584"/>
      <c r="K130" s="584"/>
      <c r="L130" s="584"/>
      <c r="M130" s="585"/>
      <c r="P130" s="583"/>
      <c r="Q130" s="584"/>
      <c r="R130" s="584"/>
      <c r="S130" s="584"/>
      <c r="T130" s="584"/>
      <c r="U130" s="584"/>
      <c r="V130" s="584"/>
      <c r="W130" s="584"/>
      <c r="X130" s="584"/>
      <c r="Y130" s="584"/>
      <c r="Z130" s="584"/>
      <c r="AA130" s="585"/>
    </row>
    <row r="131" spans="2:28" ht="15" customHeight="1" x14ac:dyDescent="0.35">
      <c r="B131" s="586" t="s">
        <v>125</v>
      </c>
      <c r="C131" s="587" t="s">
        <v>94</v>
      </c>
      <c r="D131" s="586" t="s">
        <v>91</v>
      </c>
      <c r="E131" s="586" t="s">
        <v>62</v>
      </c>
      <c r="F131" s="588" t="str">
        <f>F48</f>
        <v>OMSET NOV
 (1-1)</v>
      </c>
      <c r="G131" s="588" t="str">
        <f>G48</f>
        <v>OMSET PRODUK</v>
      </c>
      <c r="H131" s="587" t="s">
        <v>63</v>
      </c>
      <c r="I131" s="587" t="s">
        <v>64</v>
      </c>
      <c r="J131" s="587" t="s">
        <v>126</v>
      </c>
      <c r="K131" s="589" t="s">
        <v>66</v>
      </c>
      <c r="L131" s="590" t="s">
        <v>127</v>
      </c>
      <c r="M131" s="301" t="s">
        <v>128</v>
      </c>
      <c r="P131" s="665" t="s">
        <v>125</v>
      </c>
      <c r="Q131" s="665" t="s">
        <v>94</v>
      </c>
      <c r="R131" s="667" t="s">
        <v>91</v>
      </c>
      <c r="S131" s="665" t="s">
        <v>62</v>
      </c>
      <c r="T131" s="669" t="str">
        <f>T26</f>
        <v>OMSET NOV
 (1-1)</v>
      </c>
      <c r="U131" s="669" t="str">
        <f>G4</f>
        <v>OMSET PRODUK</v>
      </c>
      <c r="V131" s="671" t="s">
        <v>63</v>
      </c>
      <c r="W131" s="671" t="s">
        <v>64</v>
      </c>
      <c r="X131" s="671" t="s">
        <v>126</v>
      </c>
      <c r="Y131" s="673" t="s">
        <v>66</v>
      </c>
      <c r="Z131" s="669" t="s">
        <v>127</v>
      </c>
      <c r="AA131" s="220" t="s">
        <v>128</v>
      </c>
    </row>
    <row r="132" spans="2:28" ht="27.75" customHeight="1" x14ac:dyDescent="0.35">
      <c r="B132" s="586"/>
      <c r="C132" s="587"/>
      <c r="D132" s="586"/>
      <c r="E132" s="586"/>
      <c r="F132" s="588"/>
      <c r="G132" s="588"/>
      <c r="H132" s="587"/>
      <c r="I132" s="587"/>
      <c r="J132" s="587"/>
      <c r="K132" s="589"/>
      <c r="L132" s="590"/>
      <c r="M132" s="302">
        <f>100/DAY(EOMONTH($B$1,0))*DAY($B$1)/100</f>
        <v>3.3333333333333333E-2</v>
      </c>
      <c r="P132" s="666"/>
      <c r="Q132" s="666"/>
      <c r="R132" s="668"/>
      <c r="S132" s="666"/>
      <c r="T132" s="670"/>
      <c r="U132" s="670"/>
      <c r="V132" s="672"/>
      <c r="W132" s="672"/>
      <c r="X132" s="672"/>
      <c r="Y132" s="674"/>
      <c r="Z132" s="670"/>
      <c r="AA132" s="221">
        <f>K4</f>
        <v>3.3333333333333333E-2</v>
      </c>
    </row>
    <row r="133" spans="2:28" ht="15" customHeight="1" x14ac:dyDescent="0.35">
      <c r="B133" s="171" t="str">
        <f>C58</f>
        <v>AHMAD</v>
      </c>
      <c r="C133" s="166">
        <f t="shared" ref="C133:H133" si="120">C66</f>
        <v>0</v>
      </c>
      <c r="D133" s="167">
        <f t="shared" si="120"/>
        <v>0</v>
      </c>
      <c r="E133" s="222">
        <f t="shared" si="120"/>
        <v>0</v>
      </c>
      <c r="F133" s="223">
        <f t="shared" si="120"/>
        <v>0</v>
      </c>
      <c r="G133" s="224">
        <f t="shared" si="120"/>
        <v>0</v>
      </c>
      <c r="H133" s="166">
        <f t="shared" si="120"/>
        <v>0</v>
      </c>
      <c r="I133" s="166">
        <f>F133-G133</f>
        <v>0</v>
      </c>
      <c r="J133" s="166">
        <f t="shared" ref="J133:J139" si="121">I133-C133</f>
        <v>0</v>
      </c>
      <c r="K133" s="225" t="e">
        <f t="shared" ref="K133:K138" si="122">I133/C133</f>
        <v>#DIV/0!</v>
      </c>
      <c r="L133" s="226">
        <f t="shared" ref="L133:L138" si="123">H133+I133</f>
        <v>0</v>
      </c>
      <c r="M133" s="227" t="e">
        <f t="shared" ref="M133:M138" si="124">L133/C133</f>
        <v>#DIV/0!</v>
      </c>
      <c r="N133" s="228">
        <f>F133+H133</f>
        <v>0</v>
      </c>
      <c r="P133" s="250" t="str">
        <f>Q58</f>
        <v>AGUSTIAN</v>
      </c>
      <c r="Q133" s="226">
        <f t="shared" ref="Q133:V133" si="125">Q66</f>
        <v>0</v>
      </c>
      <c r="R133" s="251">
        <f t="shared" si="125"/>
        <v>0</v>
      </c>
      <c r="S133" s="165">
        <f t="shared" si="125"/>
        <v>0</v>
      </c>
      <c r="T133" s="226">
        <f t="shared" si="125"/>
        <v>0</v>
      </c>
      <c r="U133" s="252">
        <f t="shared" si="125"/>
        <v>0</v>
      </c>
      <c r="V133" s="226">
        <f t="shared" si="125"/>
        <v>0</v>
      </c>
      <c r="W133" s="226">
        <f>T133-U133</f>
        <v>0</v>
      </c>
      <c r="X133" s="226">
        <f t="shared" ref="X133:X139" si="126">W133-Q133</f>
        <v>0</v>
      </c>
      <c r="Y133" s="172" t="e">
        <f t="shared" ref="Y133:Y138" si="127">W133/Q133</f>
        <v>#DIV/0!</v>
      </c>
      <c r="Z133" s="171">
        <f t="shared" ref="Z133:Z138" si="128">V133+W133</f>
        <v>0</v>
      </c>
      <c r="AA133" s="227" t="e">
        <f t="shared" ref="AA133:AA138" si="129">Z133/Q133</f>
        <v>#DIV/0!</v>
      </c>
      <c r="AB133" s="228">
        <f>T133+V133</f>
        <v>0</v>
      </c>
    </row>
    <row r="134" spans="2:28" x14ac:dyDescent="0.35">
      <c r="B134" s="171" t="str">
        <f>C69</f>
        <v>RAHMAN</v>
      </c>
      <c r="C134" s="166">
        <f t="shared" ref="C134:H134" si="130">C77</f>
        <v>0</v>
      </c>
      <c r="D134" s="167">
        <f t="shared" si="130"/>
        <v>0</v>
      </c>
      <c r="E134" s="222">
        <f t="shared" si="130"/>
        <v>0</v>
      </c>
      <c r="F134" s="223">
        <f t="shared" si="130"/>
        <v>0</v>
      </c>
      <c r="G134" s="224">
        <f t="shared" si="130"/>
        <v>0</v>
      </c>
      <c r="H134" s="166">
        <f t="shared" si="130"/>
        <v>0</v>
      </c>
      <c r="I134" s="166">
        <f>F134-G134</f>
        <v>0</v>
      </c>
      <c r="J134" s="166">
        <f t="shared" si="121"/>
        <v>0</v>
      </c>
      <c r="K134" s="225" t="e">
        <f t="shared" si="122"/>
        <v>#DIV/0!</v>
      </c>
      <c r="L134" s="226">
        <f t="shared" si="123"/>
        <v>0</v>
      </c>
      <c r="M134" s="227" t="e">
        <f t="shared" si="124"/>
        <v>#DIV/0!</v>
      </c>
      <c r="N134" s="228">
        <f>F134+H134</f>
        <v>0</v>
      </c>
      <c r="P134" s="250" t="str">
        <f>Q69</f>
        <v>RAYFAHMI</v>
      </c>
      <c r="Q134" s="226">
        <f t="shared" ref="Q134:V134" si="131">Q77</f>
        <v>0</v>
      </c>
      <c r="R134" s="251">
        <f t="shared" si="131"/>
        <v>0</v>
      </c>
      <c r="S134" s="165">
        <f t="shared" si="131"/>
        <v>0</v>
      </c>
      <c r="T134" s="226">
        <f t="shared" si="131"/>
        <v>0</v>
      </c>
      <c r="U134" s="252">
        <f t="shared" si="131"/>
        <v>0</v>
      </c>
      <c r="V134" s="226">
        <f t="shared" si="131"/>
        <v>0</v>
      </c>
      <c r="W134" s="226">
        <f>T134-U134</f>
        <v>0</v>
      </c>
      <c r="X134" s="226">
        <f t="shared" si="126"/>
        <v>0</v>
      </c>
      <c r="Y134" s="172" t="e">
        <f t="shared" si="127"/>
        <v>#DIV/0!</v>
      </c>
      <c r="Z134" s="171">
        <f>V134+W134</f>
        <v>0</v>
      </c>
      <c r="AA134" s="227" t="e">
        <f t="shared" si="129"/>
        <v>#DIV/0!</v>
      </c>
      <c r="AB134" s="228">
        <f>T134+V134</f>
        <v>0</v>
      </c>
    </row>
    <row r="135" spans="2:28" x14ac:dyDescent="0.35">
      <c r="B135" s="171" t="str">
        <f>C80</f>
        <v>SYAEPULLOH</v>
      </c>
      <c r="C135" s="166">
        <f t="shared" ref="C135:H135" si="132">C88</f>
        <v>0</v>
      </c>
      <c r="D135" s="167">
        <f t="shared" si="132"/>
        <v>0</v>
      </c>
      <c r="E135" s="222">
        <f t="shared" si="132"/>
        <v>0</v>
      </c>
      <c r="F135" s="223">
        <f t="shared" si="132"/>
        <v>0</v>
      </c>
      <c r="G135" s="224">
        <f t="shared" si="132"/>
        <v>0</v>
      </c>
      <c r="H135" s="166">
        <f t="shared" si="132"/>
        <v>0</v>
      </c>
      <c r="I135" s="166">
        <f>F135-G135</f>
        <v>0</v>
      </c>
      <c r="J135" s="166">
        <f t="shared" si="121"/>
        <v>0</v>
      </c>
      <c r="K135" s="225" t="e">
        <f t="shared" si="122"/>
        <v>#DIV/0!</v>
      </c>
      <c r="L135" s="226">
        <f t="shared" si="123"/>
        <v>0</v>
      </c>
      <c r="M135" s="227" t="e">
        <f t="shared" si="124"/>
        <v>#DIV/0!</v>
      </c>
      <c r="N135" s="228">
        <f>F135+H135</f>
        <v>0</v>
      </c>
      <c r="P135" s="250" t="str">
        <f>Q80</f>
        <v>FAHMI</v>
      </c>
      <c r="Q135" s="166">
        <f t="shared" ref="Q135:V135" si="133">Q88</f>
        <v>0</v>
      </c>
      <c r="R135" s="230">
        <f t="shared" si="133"/>
        <v>0</v>
      </c>
      <c r="S135" s="167">
        <f t="shared" si="133"/>
        <v>0</v>
      </c>
      <c r="T135" s="166">
        <f t="shared" si="133"/>
        <v>0</v>
      </c>
      <c r="U135" s="231">
        <f t="shared" si="133"/>
        <v>0</v>
      </c>
      <c r="V135" s="166">
        <f t="shared" si="133"/>
        <v>0</v>
      </c>
      <c r="W135" s="226">
        <f>T135-U135</f>
        <v>0</v>
      </c>
      <c r="X135" s="226">
        <f t="shared" si="126"/>
        <v>0</v>
      </c>
      <c r="Y135" s="172" t="e">
        <f t="shared" si="127"/>
        <v>#DIV/0!</v>
      </c>
      <c r="Z135" s="171">
        <f t="shared" si="128"/>
        <v>0</v>
      </c>
      <c r="AA135" s="227" t="e">
        <f t="shared" si="129"/>
        <v>#DIV/0!</v>
      </c>
      <c r="AB135" s="228">
        <f>T135+V135</f>
        <v>0</v>
      </c>
    </row>
    <row r="136" spans="2:28" x14ac:dyDescent="0.35">
      <c r="B136" s="171" t="str">
        <f>C91</f>
        <v>IPNU</v>
      </c>
      <c r="C136" s="166">
        <f t="shared" ref="C136:H136" si="134">C99</f>
        <v>0</v>
      </c>
      <c r="D136" s="167">
        <f t="shared" si="134"/>
        <v>0</v>
      </c>
      <c r="E136" s="222">
        <f t="shared" si="134"/>
        <v>0</v>
      </c>
      <c r="F136" s="223">
        <f t="shared" si="134"/>
        <v>0</v>
      </c>
      <c r="G136" s="224">
        <f t="shared" si="134"/>
        <v>0</v>
      </c>
      <c r="H136" s="166">
        <f t="shared" si="134"/>
        <v>0</v>
      </c>
      <c r="I136" s="166">
        <f>F136-G136</f>
        <v>0</v>
      </c>
      <c r="J136" s="166">
        <f t="shared" si="121"/>
        <v>0</v>
      </c>
      <c r="K136" s="225" t="e">
        <f t="shared" si="122"/>
        <v>#DIV/0!</v>
      </c>
      <c r="L136" s="226">
        <f t="shared" si="123"/>
        <v>0</v>
      </c>
      <c r="M136" s="227" t="e">
        <f t="shared" si="124"/>
        <v>#DIV/0!</v>
      </c>
      <c r="N136" s="228">
        <f>F136+H136</f>
        <v>0</v>
      </c>
      <c r="P136" s="250">
        <f>Q91</f>
        <v>0</v>
      </c>
      <c r="Q136" s="166">
        <f t="shared" ref="Q136:V136" si="135">Q99</f>
        <v>0</v>
      </c>
      <c r="R136" s="230">
        <f t="shared" si="135"/>
        <v>0</v>
      </c>
      <c r="S136" s="167">
        <f t="shared" si="135"/>
        <v>0</v>
      </c>
      <c r="T136" s="166">
        <f t="shared" si="135"/>
        <v>0</v>
      </c>
      <c r="U136" s="231">
        <f t="shared" si="135"/>
        <v>0</v>
      </c>
      <c r="V136" s="166">
        <f t="shared" si="135"/>
        <v>0</v>
      </c>
      <c r="W136" s="226">
        <f>T136-U136</f>
        <v>0</v>
      </c>
      <c r="X136" s="226">
        <f t="shared" si="126"/>
        <v>0</v>
      </c>
      <c r="Y136" s="172" t="e">
        <f t="shared" si="127"/>
        <v>#DIV/0!</v>
      </c>
      <c r="Z136" s="171">
        <f t="shared" si="128"/>
        <v>0</v>
      </c>
      <c r="AA136" s="227" t="e">
        <f t="shared" si="129"/>
        <v>#DIV/0!</v>
      </c>
      <c r="AB136" s="228">
        <f>T136+V136</f>
        <v>0</v>
      </c>
    </row>
    <row r="137" spans="2:28" x14ac:dyDescent="0.35">
      <c r="B137" s="171">
        <f>C102</f>
        <v>0</v>
      </c>
      <c r="C137" s="166">
        <f t="shared" ref="C137:H137" si="136">C110</f>
        <v>0</v>
      </c>
      <c r="D137" s="167">
        <f t="shared" si="136"/>
        <v>0</v>
      </c>
      <c r="E137" s="222">
        <f t="shared" si="136"/>
        <v>0</v>
      </c>
      <c r="F137" s="223">
        <f t="shared" si="136"/>
        <v>0</v>
      </c>
      <c r="G137" s="224">
        <f t="shared" si="136"/>
        <v>0</v>
      </c>
      <c r="H137" s="166">
        <f t="shared" si="136"/>
        <v>0</v>
      </c>
      <c r="I137" s="166">
        <f>F137-G137</f>
        <v>0</v>
      </c>
      <c r="J137" s="166">
        <f t="shared" si="121"/>
        <v>0</v>
      </c>
      <c r="K137" s="225" t="e">
        <f t="shared" si="122"/>
        <v>#DIV/0!</v>
      </c>
      <c r="L137" s="226">
        <f t="shared" si="123"/>
        <v>0</v>
      </c>
      <c r="M137" s="227" t="e">
        <f t="shared" si="124"/>
        <v>#DIV/0!</v>
      </c>
      <c r="N137" s="228">
        <f>F137+H137</f>
        <v>0</v>
      </c>
      <c r="P137" s="253">
        <f>Q102</f>
        <v>0</v>
      </c>
      <c r="Q137" s="254">
        <f t="shared" ref="Q137:V137" si="137">Q110</f>
        <v>0</v>
      </c>
      <c r="R137" s="255">
        <f t="shared" si="137"/>
        <v>0</v>
      </c>
      <c r="S137" s="256">
        <f t="shared" si="137"/>
        <v>0</v>
      </c>
      <c r="T137" s="254">
        <f t="shared" si="137"/>
        <v>0</v>
      </c>
      <c r="U137" s="231">
        <f t="shared" si="137"/>
        <v>0</v>
      </c>
      <c r="V137" s="166">
        <f t="shared" si="137"/>
        <v>0</v>
      </c>
      <c r="W137" s="226">
        <f>T137-U137</f>
        <v>0</v>
      </c>
      <c r="X137" s="226">
        <f t="shared" si="126"/>
        <v>0</v>
      </c>
      <c r="Y137" s="172" t="e">
        <f t="shared" si="127"/>
        <v>#DIV/0!</v>
      </c>
      <c r="Z137" s="171">
        <f t="shared" si="128"/>
        <v>0</v>
      </c>
      <c r="AA137" s="227" t="e">
        <f t="shared" si="129"/>
        <v>#DIV/0!</v>
      </c>
      <c r="AB137" s="228">
        <f>T137+V137</f>
        <v>0</v>
      </c>
    </row>
    <row r="138" spans="2:28" x14ac:dyDescent="0.35">
      <c r="B138" s="175" t="s">
        <v>77</v>
      </c>
      <c r="C138" s="176">
        <f t="shared" ref="C138:H138" si="138">SUM(C133:C137)</f>
        <v>0</v>
      </c>
      <c r="D138" s="177">
        <f>SUM(D133:D137)</f>
        <v>0</v>
      </c>
      <c r="E138" s="178">
        <f t="shared" si="138"/>
        <v>0</v>
      </c>
      <c r="F138" s="303">
        <f>SUM(F133:F137)</f>
        <v>0</v>
      </c>
      <c r="G138" s="304">
        <f t="shared" si="138"/>
        <v>0</v>
      </c>
      <c r="H138" s="176">
        <f t="shared" si="138"/>
        <v>0</v>
      </c>
      <c r="I138" s="176">
        <f>SUM(I133:I137)</f>
        <v>0</v>
      </c>
      <c r="J138" s="176">
        <f t="shared" si="121"/>
        <v>0</v>
      </c>
      <c r="K138" s="305" t="e">
        <f t="shared" si="122"/>
        <v>#DIV/0!</v>
      </c>
      <c r="L138" s="353">
        <f t="shared" si="123"/>
        <v>0</v>
      </c>
      <c r="M138" s="180" t="e">
        <f t="shared" si="124"/>
        <v>#DIV/0!</v>
      </c>
      <c r="P138" s="232" t="s">
        <v>77</v>
      </c>
      <c r="Q138" s="233">
        <f t="shared" ref="Q138:V138" si="139">SUM(Q133:Q137)</f>
        <v>0</v>
      </c>
      <c r="R138" s="234">
        <f>SUM(R133:R137)</f>
        <v>0</v>
      </c>
      <c r="S138" s="235">
        <f t="shared" si="139"/>
        <v>0</v>
      </c>
      <c r="T138" s="233">
        <f t="shared" si="139"/>
        <v>0</v>
      </c>
      <c r="U138" s="236">
        <f t="shared" si="139"/>
        <v>0</v>
      </c>
      <c r="V138" s="233">
        <f t="shared" si="139"/>
        <v>0</v>
      </c>
      <c r="W138" s="233">
        <f>SUM(W133:W137)</f>
        <v>0</v>
      </c>
      <c r="X138" s="233">
        <f t="shared" si="126"/>
        <v>0</v>
      </c>
      <c r="Y138" s="239" t="e">
        <f t="shared" si="127"/>
        <v>#DIV/0!</v>
      </c>
      <c r="Z138" s="238">
        <f t="shared" si="128"/>
        <v>0</v>
      </c>
      <c r="AA138" s="239" t="e">
        <f t="shared" si="129"/>
        <v>#DIV/0!</v>
      </c>
    </row>
    <row r="139" spans="2:28" x14ac:dyDescent="0.35">
      <c r="B139" s="181" t="str">
        <f>$B$12</f>
        <v>TARGET Q4</v>
      </c>
      <c r="C139" s="182">
        <f>SUM(C111,C100,C89,C78,C67)</f>
        <v>0</v>
      </c>
      <c r="D139" s="240"/>
      <c r="E139" s="241"/>
      <c r="F139" s="241"/>
      <c r="G139" s="241"/>
      <c r="H139" s="241"/>
      <c r="I139" s="182">
        <f>I138</f>
        <v>0</v>
      </c>
      <c r="J139" s="182">
        <f t="shared" si="121"/>
        <v>0</v>
      </c>
      <c r="K139" s="242"/>
      <c r="L139" s="243"/>
      <c r="M139" s="244" t="e">
        <f>I139/C139</f>
        <v>#DIV/0!</v>
      </c>
      <c r="P139" s="181" t="str">
        <f>$B$12</f>
        <v>TARGET Q4</v>
      </c>
      <c r="Q139" s="182">
        <f>SUM(Q111,Q100,Q89,Q78,Q67)</f>
        <v>0</v>
      </c>
      <c r="R139" s="240"/>
      <c r="S139" s="241"/>
      <c r="T139" s="241"/>
      <c r="U139" s="241"/>
      <c r="V139" s="241"/>
      <c r="W139" s="182">
        <f>W138</f>
        <v>0</v>
      </c>
      <c r="X139" s="182">
        <f t="shared" si="126"/>
        <v>0</v>
      </c>
      <c r="Y139" s="242"/>
      <c r="Z139" s="243"/>
      <c r="AA139" s="244" t="e">
        <f>W139/Q139</f>
        <v>#DIV/0!</v>
      </c>
    </row>
    <row r="140" spans="2:28" x14ac:dyDescent="0.35">
      <c r="C140" s="202"/>
      <c r="D140" s="245"/>
      <c r="E140" s="245"/>
      <c r="F140" s="245"/>
      <c r="G140" s="245"/>
      <c r="H140" s="245"/>
      <c r="I140" s="245"/>
      <c r="J140" s="245"/>
      <c r="K140" s="245"/>
      <c r="L140" s="197"/>
      <c r="M140" s="246"/>
      <c r="Q140" s="202"/>
      <c r="R140" s="245"/>
      <c r="S140" s="245"/>
      <c r="T140" s="245"/>
      <c r="U140" s="245"/>
      <c r="V140" s="245"/>
      <c r="W140" s="202"/>
      <c r="X140" s="247"/>
      <c r="Y140" s="248"/>
      <c r="Z140" s="197"/>
      <c r="AA140" s="246"/>
    </row>
    <row r="141" spans="2:28" ht="15" customHeight="1" x14ac:dyDescent="0.35"/>
    <row r="142" spans="2:28" ht="15" customHeight="1" x14ac:dyDescent="0.35">
      <c r="B142" s="580" t="s">
        <v>131</v>
      </c>
      <c r="C142" s="581"/>
      <c r="D142" s="581"/>
      <c r="E142" s="581"/>
      <c r="F142" s="581"/>
      <c r="G142" s="581"/>
      <c r="H142" s="581"/>
      <c r="I142" s="581"/>
      <c r="J142" s="581"/>
      <c r="K142" s="581"/>
      <c r="L142" s="581"/>
      <c r="M142" s="582"/>
      <c r="P142" s="580" t="s">
        <v>132</v>
      </c>
      <c r="Q142" s="581"/>
      <c r="R142" s="581"/>
      <c r="S142" s="581"/>
      <c r="T142" s="581"/>
      <c r="U142" s="581"/>
      <c r="V142" s="581"/>
      <c r="W142" s="581"/>
      <c r="X142" s="581"/>
      <c r="Y142" s="581"/>
      <c r="Z142" s="581"/>
      <c r="AA142" s="582"/>
    </row>
    <row r="143" spans="2:28" ht="15" customHeight="1" x14ac:dyDescent="0.35">
      <c r="B143" s="583"/>
      <c r="C143" s="584"/>
      <c r="D143" s="584"/>
      <c r="E143" s="584"/>
      <c r="F143" s="584"/>
      <c r="G143" s="584"/>
      <c r="H143" s="584"/>
      <c r="I143" s="584"/>
      <c r="J143" s="584"/>
      <c r="K143" s="584"/>
      <c r="L143" s="584"/>
      <c r="M143" s="585"/>
      <c r="P143" s="583"/>
      <c r="Q143" s="584"/>
      <c r="R143" s="584"/>
      <c r="S143" s="584"/>
      <c r="T143" s="584"/>
      <c r="U143" s="584"/>
      <c r="V143" s="584"/>
      <c r="W143" s="584"/>
      <c r="X143" s="584"/>
      <c r="Y143" s="584"/>
      <c r="Z143" s="584"/>
      <c r="AA143" s="585"/>
    </row>
    <row r="144" spans="2:28" ht="15" customHeight="1" x14ac:dyDescent="0.35">
      <c r="B144" s="586" t="s">
        <v>133</v>
      </c>
      <c r="C144" s="587" t="s">
        <v>94</v>
      </c>
      <c r="D144" s="586" t="s">
        <v>91</v>
      </c>
      <c r="E144" s="586" t="s">
        <v>62</v>
      </c>
      <c r="F144" s="588" t="str">
        <f>F131</f>
        <v>OMSET NOV
 (1-1)</v>
      </c>
      <c r="G144" s="588" t="s">
        <v>95</v>
      </c>
      <c r="H144" s="587" t="s">
        <v>63</v>
      </c>
      <c r="I144" s="587" t="s">
        <v>64</v>
      </c>
      <c r="J144" s="587" t="s">
        <v>126</v>
      </c>
      <c r="K144" s="586" t="s">
        <v>66</v>
      </c>
      <c r="L144" s="590" t="s">
        <v>127</v>
      </c>
      <c r="M144" s="301" t="s">
        <v>128</v>
      </c>
      <c r="P144" s="660" t="s">
        <v>133</v>
      </c>
      <c r="Q144" s="660" t="s">
        <v>94</v>
      </c>
      <c r="R144" s="661" t="s">
        <v>91</v>
      </c>
      <c r="S144" s="660" t="s">
        <v>62</v>
      </c>
      <c r="T144" s="662" t="str">
        <f>T131</f>
        <v>OMSET NOV
 (1-1)</v>
      </c>
      <c r="U144" s="662" t="s">
        <v>95</v>
      </c>
      <c r="V144" s="663" t="s">
        <v>63</v>
      </c>
      <c r="W144" s="663" t="s">
        <v>64</v>
      </c>
      <c r="X144" s="663" t="s">
        <v>126</v>
      </c>
      <c r="Y144" s="660" t="str">
        <f>Y131</f>
        <v>PERCENTAGE</v>
      </c>
      <c r="Z144" s="664" t="s">
        <v>127</v>
      </c>
      <c r="AA144" s="220" t="s">
        <v>128</v>
      </c>
    </row>
    <row r="145" spans="2:27" x14ac:dyDescent="0.35">
      <c r="B145" s="586"/>
      <c r="C145" s="587"/>
      <c r="D145" s="586"/>
      <c r="E145" s="586"/>
      <c r="F145" s="588"/>
      <c r="G145" s="588"/>
      <c r="H145" s="587"/>
      <c r="I145" s="587"/>
      <c r="J145" s="587"/>
      <c r="K145" s="586"/>
      <c r="L145" s="590"/>
      <c r="M145" s="302">
        <f>100/DAY(EOMONTH($B$1,0))*DAY($B$1)/100</f>
        <v>3.3333333333333333E-2</v>
      </c>
      <c r="P145" s="660"/>
      <c r="Q145" s="660"/>
      <c r="R145" s="661"/>
      <c r="S145" s="660"/>
      <c r="T145" s="662"/>
      <c r="U145" s="662"/>
      <c r="V145" s="663"/>
      <c r="W145" s="663"/>
      <c r="X145" s="663"/>
      <c r="Y145" s="660"/>
      <c r="Z145" s="664"/>
      <c r="AA145" s="221">
        <f>K4</f>
        <v>3.3333333333333333E-2</v>
      </c>
    </row>
    <row r="146" spans="2:27" x14ac:dyDescent="0.35">
      <c r="B146" s="257" t="s">
        <v>134</v>
      </c>
      <c r="C146" s="166">
        <f>C125</f>
        <v>1541592000</v>
      </c>
      <c r="D146" s="167">
        <f t="shared" ref="D146:H146" si="140">D125</f>
        <v>0</v>
      </c>
      <c r="E146" s="222">
        <f t="shared" si="140"/>
        <v>0</v>
      </c>
      <c r="F146" s="223">
        <f t="shared" si="140"/>
        <v>0</v>
      </c>
      <c r="G146" s="224">
        <f t="shared" si="140"/>
        <v>0</v>
      </c>
      <c r="H146" s="166">
        <f t="shared" si="140"/>
        <v>0</v>
      </c>
      <c r="I146" s="166">
        <f>F146-G146</f>
        <v>0</v>
      </c>
      <c r="J146" s="166">
        <f>I146-C146</f>
        <v>-1541592000</v>
      </c>
      <c r="K146" s="172">
        <f>I146/C146</f>
        <v>0</v>
      </c>
      <c r="L146" s="226">
        <f>H146+I146</f>
        <v>0</v>
      </c>
      <c r="M146" s="227">
        <f>L146/C146</f>
        <v>0</v>
      </c>
      <c r="P146" s="257" t="s">
        <v>135</v>
      </c>
      <c r="Q146" s="166">
        <f t="shared" ref="Q146:V146" si="141">Q125</f>
        <v>0</v>
      </c>
      <c r="R146" s="230">
        <f t="shared" si="141"/>
        <v>0</v>
      </c>
      <c r="S146" s="167">
        <f t="shared" si="141"/>
        <v>0</v>
      </c>
      <c r="T146" s="223">
        <f t="shared" si="141"/>
        <v>0</v>
      </c>
      <c r="U146" s="224">
        <f t="shared" si="141"/>
        <v>0</v>
      </c>
      <c r="V146" s="166">
        <f t="shared" si="141"/>
        <v>0</v>
      </c>
      <c r="W146" s="166">
        <f>T146-U146</f>
        <v>0</v>
      </c>
      <c r="X146" s="166">
        <f>W146-Q146</f>
        <v>0</v>
      </c>
      <c r="Y146" s="172" t="e">
        <f>Y125</f>
        <v>#DIV/0!</v>
      </c>
      <c r="Z146" s="171">
        <f>V146+W146</f>
        <v>0</v>
      </c>
      <c r="AA146" s="227" t="e">
        <f>Z146/Q146</f>
        <v>#DIV/0!</v>
      </c>
    </row>
    <row r="147" spans="2:27" x14ac:dyDescent="0.35">
      <c r="B147" s="257" t="s">
        <v>136</v>
      </c>
      <c r="C147" s="166">
        <f t="shared" ref="C147:H147" si="142">C138</f>
        <v>0</v>
      </c>
      <c r="D147" s="167">
        <f t="shared" si="142"/>
        <v>0</v>
      </c>
      <c r="E147" s="222">
        <f t="shared" si="142"/>
        <v>0</v>
      </c>
      <c r="F147" s="223">
        <f t="shared" si="142"/>
        <v>0</v>
      </c>
      <c r="G147" s="224">
        <f t="shared" si="142"/>
        <v>0</v>
      </c>
      <c r="H147" s="166">
        <f t="shared" si="142"/>
        <v>0</v>
      </c>
      <c r="I147" s="166">
        <f>F147-G147</f>
        <v>0</v>
      </c>
      <c r="J147" s="166">
        <f>I147-C147</f>
        <v>0</v>
      </c>
      <c r="K147" s="172" t="e">
        <f>I147/C147</f>
        <v>#DIV/0!</v>
      </c>
      <c r="L147" s="226">
        <f>H147+I147</f>
        <v>0</v>
      </c>
      <c r="M147" s="227" t="e">
        <f>L147/C147</f>
        <v>#DIV/0!</v>
      </c>
      <c r="P147" s="257" t="s">
        <v>137</v>
      </c>
      <c r="Q147" s="166">
        <f t="shared" ref="Q147:V147" si="143">Q138</f>
        <v>0</v>
      </c>
      <c r="R147" s="230">
        <f t="shared" si="143"/>
        <v>0</v>
      </c>
      <c r="S147" s="167">
        <f t="shared" si="143"/>
        <v>0</v>
      </c>
      <c r="T147" s="223">
        <f t="shared" si="143"/>
        <v>0</v>
      </c>
      <c r="U147" s="224">
        <f>U138</f>
        <v>0</v>
      </c>
      <c r="V147" s="166">
        <f t="shared" si="143"/>
        <v>0</v>
      </c>
      <c r="W147" s="166">
        <f>T147-U147</f>
        <v>0</v>
      </c>
      <c r="X147" s="166">
        <f>W147-Q147</f>
        <v>0</v>
      </c>
      <c r="Y147" s="172" t="e">
        <f>Y138</f>
        <v>#DIV/0!</v>
      </c>
      <c r="Z147" s="171">
        <f>V147+W147</f>
        <v>0</v>
      </c>
      <c r="AA147" s="227" t="e">
        <f>Z147/Q147</f>
        <v>#DIV/0!</v>
      </c>
    </row>
    <row r="148" spans="2:27" x14ac:dyDescent="0.35">
      <c r="B148" s="175" t="s">
        <v>77</v>
      </c>
      <c r="C148" s="176">
        <f>SUM(C146:C147)</f>
        <v>1541592000</v>
      </c>
      <c r="D148" s="177">
        <f t="shared" ref="D148:I148" si="144">SUM(D146:D147)</f>
        <v>0</v>
      </c>
      <c r="E148" s="178">
        <f t="shared" si="144"/>
        <v>0</v>
      </c>
      <c r="F148" s="303">
        <f t="shared" si="144"/>
        <v>0</v>
      </c>
      <c r="G148" s="304">
        <f t="shared" si="144"/>
        <v>0</v>
      </c>
      <c r="H148" s="176">
        <f t="shared" si="144"/>
        <v>0</v>
      </c>
      <c r="I148" s="176">
        <f t="shared" si="144"/>
        <v>0</v>
      </c>
      <c r="J148" s="176">
        <f>I148-C148</f>
        <v>-1541592000</v>
      </c>
      <c r="K148" s="306">
        <f>I148/C148</f>
        <v>0</v>
      </c>
      <c r="L148" s="353">
        <f>H148+I148</f>
        <v>0</v>
      </c>
      <c r="M148" s="180">
        <f>L148/C148</f>
        <v>0</v>
      </c>
      <c r="P148" s="232" t="s">
        <v>77</v>
      </c>
      <c r="Q148" s="233">
        <f t="shared" ref="Q148:W148" si="145">SUM(Q146:Q147)</f>
        <v>0</v>
      </c>
      <c r="R148" s="234">
        <f t="shared" si="145"/>
        <v>0</v>
      </c>
      <c r="S148" s="235">
        <f t="shared" si="145"/>
        <v>0</v>
      </c>
      <c r="T148" s="258">
        <f t="shared" si="145"/>
        <v>0</v>
      </c>
      <c r="U148" s="259">
        <f t="shared" si="145"/>
        <v>0</v>
      </c>
      <c r="V148" s="233">
        <f t="shared" si="145"/>
        <v>0</v>
      </c>
      <c r="W148" s="233">
        <f t="shared" si="145"/>
        <v>0</v>
      </c>
      <c r="X148" s="233">
        <f>W148-Q148</f>
        <v>0</v>
      </c>
      <c r="Y148" s="260" t="e">
        <f>W148/Q148</f>
        <v>#DIV/0!</v>
      </c>
      <c r="Z148" s="238">
        <f>V148+W148</f>
        <v>0</v>
      </c>
      <c r="AA148" s="239" t="e">
        <f>Z148/Q148</f>
        <v>#DIV/0!</v>
      </c>
    </row>
  </sheetData>
  <mergeCells count="192">
    <mergeCell ref="A3:A11"/>
    <mergeCell ref="D3:D4"/>
    <mergeCell ref="E3:E4"/>
    <mergeCell ref="F3:I3"/>
    <mergeCell ref="J3:J4"/>
    <mergeCell ref="O3:O11"/>
    <mergeCell ref="R3:R4"/>
    <mergeCell ref="A25:A33"/>
    <mergeCell ref="D25:D26"/>
    <mergeCell ref="E25:E26"/>
    <mergeCell ref="F25:I25"/>
    <mergeCell ref="J25:J26"/>
    <mergeCell ref="O25:O33"/>
    <mergeCell ref="R25:R26"/>
    <mergeCell ref="A14:A22"/>
    <mergeCell ref="D14:D15"/>
    <mergeCell ref="E14:E15"/>
    <mergeCell ref="D23:H23"/>
    <mergeCell ref="R23:V23"/>
    <mergeCell ref="S3:S4"/>
    <mergeCell ref="T3:W3"/>
    <mergeCell ref="S25:S26"/>
    <mergeCell ref="T25:W25"/>
    <mergeCell ref="A36:A44"/>
    <mergeCell ref="D36:D37"/>
    <mergeCell ref="E36:E37"/>
    <mergeCell ref="D58:D59"/>
    <mergeCell ref="E58:E59"/>
    <mergeCell ref="F47:I47"/>
    <mergeCell ref="J47:J48"/>
    <mergeCell ref="O47:O55"/>
    <mergeCell ref="R47:R48"/>
    <mergeCell ref="A58:A66"/>
    <mergeCell ref="A47:A55"/>
    <mergeCell ref="D47:D48"/>
    <mergeCell ref="E47:E48"/>
    <mergeCell ref="R58:R59"/>
    <mergeCell ref="R36:R37"/>
    <mergeCell ref="A69:A77"/>
    <mergeCell ref="D69:D70"/>
    <mergeCell ref="E69:E70"/>
    <mergeCell ref="F69:I69"/>
    <mergeCell ref="J69:J70"/>
    <mergeCell ref="O69:O77"/>
    <mergeCell ref="R69:R70"/>
    <mergeCell ref="S69:S70"/>
    <mergeCell ref="T69:W69"/>
    <mergeCell ref="A102:A110"/>
    <mergeCell ref="A91:A99"/>
    <mergeCell ref="D91:D92"/>
    <mergeCell ref="E91:E92"/>
    <mergeCell ref="D80:D81"/>
    <mergeCell ref="E80:E81"/>
    <mergeCell ref="A80:A88"/>
    <mergeCell ref="X80:X81"/>
    <mergeCell ref="F80:I80"/>
    <mergeCell ref="J80:J81"/>
    <mergeCell ref="R91:R92"/>
    <mergeCell ref="S91:S92"/>
    <mergeCell ref="T91:W91"/>
    <mergeCell ref="X91:X92"/>
    <mergeCell ref="F102:I102"/>
    <mergeCell ref="J102:J103"/>
    <mergeCell ref="X102:X103"/>
    <mergeCell ref="D89:H89"/>
    <mergeCell ref="R89:V89"/>
    <mergeCell ref="D100:H100"/>
    <mergeCell ref="R100:V100"/>
    <mergeCell ref="X3:X4"/>
    <mergeCell ref="F14:I14"/>
    <mergeCell ref="J14:J15"/>
    <mergeCell ref="O14:O22"/>
    <mergeCell ref="R14:R15"/>
    <mergeCell ref="S14:S15"/>
    <mergeCell ref="T14:W14"/>
    <mergeCell ref="X14:X15"/>
    <mergeCell ref="D12:H12"/>
    <mergeCell ref="R12:V12"/>
    <mergeCell ref="X25:X26"/>
    <mergeCell ref="F36:I36"/>
    <mergeCell ref="J36:J37"/>
    <mergeCell ref="O36:O44"/>
    <mergeCell ref="O80:O88"/>
    <mergeCell ref="R80:R81"/>
    <mergeCell ref="S80:S81"/>
    <mergeCell ref="T80:W80"/>
    <mergeCell ref="D34:H34"/>
    <mergeCell ref="R34:V34"/>
    <mergeCell ref="D45:H45"/>
    <mergeCell ref="R45:V45"/>
    <mergeCell ref="D56:H56"/>
    <mergeCell ref="R56:V56"/>
    <mergeCell ref="D67:H67"/>
    <mergeCell ref="R67:V67"/>
    <mergeCell ref="X47:X48"/>
    <mergeCell ref="F58:I58"/>
    <mergeCell ref="J58:J59"/>
    <mergeCell ref="O58:O66"/>
    <mergeCell ref="X58:X59"/>
    <mergeCell ref="S58:S59"/>
    <mergeCell ref="T58:W58"/>
    <mergeCell ref="S36:S37"/>
    <mergeCell ref="T36:W36"/>
    <mergeCell ref="X36:X37"/>
    <mergeCell ref="S47:S48"/>
    <mergeCell ref="T47:W47"/>
    <mergeCell ref="D78:H78"/>
    <mergeCell ref="R78:V78"/>
    <mergeCell ref="X69:X70"/>
    <mergeCell ref="D111:H111"/>
    <mergeCell ref="R111:V111"/>
    <mergeCell ref="D102:D103"/>
    <mergeCell ref="E102:E103"/>
    <mergeCell ref="F91:I91"/>
    <mergeCell ref="J91:J92"/>
    <mergeCell ref="O91:O99"/>
    <mergeCell ref="O102:O110"/>
    <mergeCell ref="R102:R103"/>
    <mergeCell ref="S102:S103"/>
    <mergeCell ref="T102:W102"/>
    <mergeCell ref="B116:M117"/>
    <mergeCell ref="P116:AA117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J119"/>
    <mergeCell ref="K118:K119"/>
    <mergeCell ref="L118:L119"/>
    <mergeCell ref="P118:P119"/>
    <mergeCell ref="Q118:Q119"/>
    <mergeCell ref="R118:R119"/>
    <mergeCell ref="S118:S119"/>
    <mergeCell ref="T118:T119"/>
    <mergeCell ref="U118:U119"/>
    <mergeCell ref="V118:V119"/>
    <mergeCell ref="W118:W119"/>
    <mergeCell ref="X118:X119"/>
    <mergeCell ref="Y118:Y119"/>
    <mergeCell ref="Z118:Z119"/>
    <mergeCell ref="P129:AA130"/>
    <mergeCell ref="B131:B132"/>
    <mergeCell ref="C131:C132"/>
    <mergeCell ref="D131:D132"/>
    <mergeCell ref="E131:E132"/>
    <mergeCell ref="F131:F132"/>
    <mergeCell ref="G131:G132"/>
    <mergeCell ref="H131:H132"/>
    <mergeCell ref="I131:I132"/>
    <mergeCell ref="J131:J132"/>
    <mergeCell ref="K131:K132"/>
    <mergeCell ref="L131:L132"/>
    <mergeCell ref="P131:P132"/>
    <mergeCell ref="Q131:Q132"/>
    <mergeCell ref="R131:R132"/>
    <mergeCell ref="S131:S132"/>
    <mergeCell ref="T131:T132"/>
    <mergeCell ref="U131:U132"/>
    <mergeCell ref="V131:V132"/>
    <mergeCell ref="W131:W132"/>
    <mergeCell ref="X131:X132"/>
    <mergeCell ref="Y131:Y132"/>
    <mergeCell ref="Z131:Z132"/>
    <mergeCell ref="B129:M130"/>
    <mergeCell ref="B142:M143"/>
    <mergeCell ref="P142:AA143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4:J145"/>
    <mergeCell ref="K144:K145"/>
    <mergeCell ref="L144:L145"/>
    <mergeCell ref="P144:P145"/>
    <mergeCell ref="Q144:Q145"/>
    <mergeCell ref="R144:R145"/>
    <mergeCell ref="S144:S145"/>
    <mergeCell ref="T144:T145"/>
    <mergeCell ref="U144:U145"/>
    <mergeCell ref="V144:V145"/>
    <mergeCell ref="W144:W145"/>
    <mergeCell ref="X144:X145"/>
    <mergeCell ref="Y144:Y145"/>
    <mergeCell ref="Z144:Z145"/>
  </mergeCells>
  <phoneticPr fontId="9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971B2-FB9D-42C0-9C0A-F2C907F8B793}">
  <sheetPr>
    <tabColor rgb="FFFFFF00"/>
  </sheetPr>
  <dimension ref="A1:AI148"/>
  <sheetViews>
    <sheetView showGridLines="0" zoomScale="59" zoomScaleNormal="58" workbookViewId="0">
      <selection activeCell="B2" sqref="B2"/>
    </sheetView>
  </sheetViews>
  <sheetFormatPr defaultColWidth="8.7265625" defaultRowHeight="14.5" x14ac:dyDescent="0.35"/>
  <cols>
    <col min="1" max="1" width="8.7265625" style="194"/>
    <col min="2" max="2" width="17" style="194" customWidth="1"/>
    <col min="3" max="3" width="19.453125" style="186" customWidth="1"/>
    <col min="4" max="4" width="8.1796875" style="187" customWidth="1"/>
    <col min="5" max="5" width="8" style="188" customWidth="1"/>
    <col min="6" max="6" width="16.1796875" style="189" customWidth="1"/>
    <col min="7" max="7" width="16.1796875" style="190" customWidth="1"/>
    <col min="8" max="9" width="16.1796875" style="186" customWidth="1"/>
    <col min="10" max="10" width="16.1796875" style="191" customWidth="1"/>
    <col min="11" max="11" width="16.1796875" style="187" customWidth="1"/>
    <col min="12" max="12" width="16.453125" style="192" customWidth="1"/>
    <col min="13" max="13" width="18.7265625" style="193" bestFit="1" customWidth="1"/>
    <col min="14" max="14" width="18.54296875" style="194" customWidth="1"/>
    <col min="15" max="15" width="11.81640625" style="194" bestFit="1" customWidth="1"/>
    <col min="16" max="16" width="17.1796875" style="194" customWidth="1"/>
    <col min="17" max="17" width="19.453125" style="187" customWidth="1"/>
    <col min="18" max="18" width="8.1796875" style="195" customWidth="1"/>
    <col min="19" max="19" width="8.1796875" style="187" customWidth="1"/>
    <col min="20" max="20" width="16.1796875" style="189" customWidth="1"/>
    <col min="21" max="21" width="16.1796875" style="190" customWidth="1"/>
    <col min="22" max="24" width="16.1796875" style="186" customWidth="1"/>
    <col min="25" max="25" width="16.1796875" style="187" customWidth="1"/>
    <col min="26" max="26" width="15.7265625" style="186" customWidth="1"/>
    <col min="27" max="27" width="18.54296875" style="196" customWidth="1"/>
    <col min="28" max="28" width="14" style="194" bestFit="1" customWidth="1"/>
    <col min="29" max="29" width="12.54296875" style="194" customWidth="1"/>
    <col min="30" max="30" width="13" style="194" bestFit="1" customWidth="1"/>
    <col min="31" max="33" width="9.1796875" style="194" hidden="1" customWidth="1"/>
    <col min="34" max="34" width="7.7265625" style="194" hidden="1" customWidth="1"/>
    <col min="35" max="35" width="22.1796875" style="194" hidden="1" customWidth="1"/>
    <col min="36" max="36" width="24.1796875" style="194" customWidth="1"/>
    <col min="37" max="37" width="16" style="194" customWidth="1"/>
    <col min="38" max="38" width="12.54296875" style="194" bestFit="1" customWidth="1"/>
    <col min="39" max="40" width="18.26953125" style="194" customWidth="1"/>
    <col min="41" max="41" width="12.54296875" style="194" bestFit="1" customWidth="1"/>
    <col min="42" max="42" width="13.81640625" style="194" bestFit="1" customWidth="1"/>
    <col min="43" max="43" width="14.54296875" style="194" customWidth="1"/>
    <col min="44" max="16384" width="8.7265625" style="194"/>
  </cols>
  <sheetData>
    <row r="1" spans="1:28" ht="15" thickBot="1" x14ac:dyDescent="0.4">
      <c r="A1" s="184" t="s">
        <v>88</v>
      </c>
      <c r="B1" s="185">
        <v>46357</v>
      </c>
    </row>
    <row r="2" spans="1:28" ht="15" thickBot="1" x14ac:dyDescent="0.4">
      <c r="G2" s="190" t="s">
        <v>89</v>
      </c>
      <c r="W2" s="194"/>
    </row>
    <row r="3" spans="1:28" ht="19.5" customHeight="1" x14ac:dyDescent="0.35">
      <c r="A3" s="627">
        <v>1</v>
      </c>
      <c r="B3" s="352" t="s">
        <v>57</v>
      </c>
      <c r="C3" s="353" t="s">
        <v>90</v>
      </c>
      <c r="D3" s="681" t="s">
        <v>91</v>
      </c>
      <c r="E3" s="616" t="s">
        <v>62</v>
      </c>
      <c r="F3" s="604" t="s">
        <v>92</v>
      </c>
      <c r="G3" s="605"/>
      <c r="H3" s="605"/>
      <c r="I3" s="606"/>
      <c r="J3" s="587" t="s">
        <v>65</v>
      </c>
      <c r="K3" s="352" t="s">
        <v>66</v>
      </c>
      <c r="O3" s="613">
        <v>1</v>
      </c>
      <c r="P3" s="354" t="s">
        <v>57</v>
      </c>
      <c r="Q3" s="355" t="s">
        <v>49</v>
      </c>
      <c r="R3" s="679" t="s">
        <v>91</v>
      </c>
      <c r="S3" s="591" t="s">
        <v>62</v>
      </c>
      <c r="T3" s="610" t="s">
        <v>92</v>
      </c>
      <c r="U3" s="611"/>
      <c r="V3" s="611"/>
      <c r="W3" s="612"/>
      <c r="X3" s="595" t="s">
        <v>65</v>
      </c>
      <c r="Y3" s="354" t="s">
        <v>66</v>
      </c>
    </row>
    <row r="4" spans="1:28" s="199" customFormat="1" ht="36" customHeight="1" x14ac:dyDescent="0.35">
      <c r="A4" s="628"/>
      <c r="B4" s="352" t="s">
        <v>93</v>
      </c>
      <c r="C4" s="353" t="s">
        <v>94</v>
      </c>
      <c r="D4" s="682"/>
      <c r="E4" s="617"/>
      <c r="F4" s="163" t="str">
        <f>"OMSET "&amp;UPPER(TEXT($B$1,"MMM"))&amp;CHAR(10)&amp;" (1-"&amp;DAY($B$1)&amp;")"</f>
        <v>OMSET DEC
 (1-1)</v>
      </c>
      <c r="G4" s="163" t="s">
        <v>95</v>
      </c>
      <c r="H4" s="353" t="s">
        <v>63</v>
      </c>
      <c r="I4" s="353" t="s">
        <v>64</v>
      </c>
      <c r="J4" s="587"/>
      <c r="K4" s="164">
        <f>100/DAY(EOMONTH($B$1,0))*DAY($B$1)/100</f>
        <v>3.2258064516129031E-2</v>
      </c>
      <c r="L4" s="197"/>
      <c r="M4" s="198"/>
      <c r="O4" s="614"/>
      <c r="P4" s="354" t="s">
        <v>93</v>
      </c>
      <c r="Q4" s="355" t="s">
        <v>94</v>
      </c>
      <c r="R4" s="680"/>
      <c r="S4" s="592"/>
      <c r="T4" s="200" t="str">
        <f>F4</f>
        <v>OMSET DEC
 (1-1)</v>
      </c>
      <c r="U4" s="200" t="str">
        <f>G4</f>
        <v>OMSET PRODUK</v>
      </c>
      <c r="V4" s="355" t="s">
        <v>63</v>
      </c>
      <c r="W4" s="355" t="s">
        <v>64</v>
      </c>
      <c r="X4" s="596"/>
      <c r="Y4" s="201">
        <f>K4</f>
        <v>3.2258064516129031E-2</v>
      </c>
      <c r="Z4" s="202"/>
      <c r="AA4" s="203"/>
    </row>
    <row r="5" spans="1:28" x14ac:dyDescent="0.35">
      <c r="A5" s="628"/>
      <c r="B5" s="165" t="s">
        <v>96</v>
      </c>
      <c r="C5" s="166">
        <v>184991040</v>
      </c>
      <c r="D5" s="167"/>
      <c r="E5" s="168"/>
      <c r="F5" s="169"/>
      <c r="G5" s="170"/>
      <c r="H5" s="166"/>
      <c r="I5" s="166">
        <f t="shared" ref="I5:I11" si="0">F5-G5</f>
        <v>0</v>
      </c>
      <c r="J5" s="171">
        <f t="shared" ref="J5:J10" si="1">I5-C5</f>
        <v>-184991040</v>
      </c>
      <c r="K5" s="172">
        <f t="shared" ref="K5:K12" si="2">I5/C5</f>
        <v>0</v>
      </c>
      <c r="L5" s="192">
        <f t="shared" ref="L5:L10" si="3">IF(K5&gt;120%, I5*0.55%, IF(K5&gt;100%, I5*0.45%, IF(K5&gt;80%, I5*0.35%, IF(K5&gt;60%, I5*0.2%, 0))))</f>
        <v>0</v>
      </c>
      <c r="O5" s="614"/>
      <c r="P5" s="165" t="s">
        <v>96</v>
      </c>
      <c r="Q5" s="166"/>
      <c r="R5" s="167"/>
      <c r="S5" s="168"/>
      <c r="T5" s="169"/>
      <c r="U5" s="170"/>
      <c r="V5" s="166"/>
      <c r="W5" s="166">
        <f t="shared" ref="W5:W11" si="4">T5-U5</f>
        <v>0</v>
      </c>
      <c r="X5" s="171">
        <f>W5-Q5</f>
        <v>0</v>
      </c>
      <c r="Y5" s="172" t="e">
        <f>W5/Q5</f>
        <v>#DIV/0!</v>
      </c>
      <c r="Z5" s="192" t="e">
        <f t="shared" ref="Z5:Z10" si="5">IF(Y5&gt;120%, W5*0.55%, IF(Y5&gt;100%, W5*0.45%, IF(Y5&gt;80%, W5*0.35%, IF(Y5&gt;60%, W5*0.2%, 0))))</f>
        <v>#DIV/0!</v>
      </c>
    </row>
    <row r="6" spans="1:28" x14ac:dyDescent="0.35">
      <c r="A6" s="628"/>
      <c r="B6" s="165" t="s">
        <v>97</v>
      </c>
      <c r="C6" s="173">
        <v>308318400</v>
      </c>
      <c r="D6" s="167"/>
      <c r="E6" s="168"/>
      <c r="F6" s="169"/>
      <c r="G6" s="174"/>
      <c r="H6" s="173"/>
      <c r="I6" s="166">
        <f t="shared" si="0"/>
        <v>0</v>
      </c>
      <c r="J6" s="171">
        <f t="shared" si="1"/>
        <v>-308318400</v>
      </c>
      <c r="K6" s="172">
        <f t="shared" si="2"/>
        <v>0</v>
      </c>
      <c r="L6" s="192">
        <f t="shared" si="3"/>
        <v>0</v>
      </c>
      <c r="O6" s="614"/>
      <c r="P6" s="165" t="s">
        <v>97</v>
      </c>
      <c r="Q6" s="173"/>
      <c r="R6" s="167"/>
      <c r="S6" s="168"/>
      <c r="T6" s="169"/>
      <c r="U6" s="174"/>
      <c r="V6" s="173"/>
      <c r="W6" s="166">
        <f t="shared" si="4"/>
        <v>0</v>
      </c>
      <c r="X6" s="171">
        <f>W6-Q6</f>
        <v>0</v>
      </c>
      <c r="Y6" s="172" t="e">
        <f>W6/Q6</f>
        <v>#DIV/0!</v>
      </c>
      <c r="Z6" s="192" t="e">
        <f t="shared" si="5"/>
        <v>#DIV/0!</v>
      </c>
    </row>
    <row r="7" spans="1:28" x14ac:dyDescent="0.35">
      <c r="A7" s="628"/>
      <c r="B7" s="165" t="s">
        <v>98</v>
      </c>
      <c r="C7" s="173">
        <v>123327360</v>
      </c>
      <c r="D7" s="167"/>
      <c r="E7" s="168"/>
      <c r="F7" s="169"/>
      <c r="G7" s="170"/>
      <c r="H7" s="173"/>
      <c r="I7" s="166">
        <f t="shared" si="0"/>
        <v>0</v>
      </c>
      <c r="J7" s="171">
        <f t="shared" si="1"/>
        <v>-123327360</v>
      </c>
      <c r="K7" s="172">
        <f t="shared" si="2"/>
        <v>0</v>
      </c>
      <c r="L7" s="192">
        <f t="shared" si="3"/>
        <v>0</v>
      </c>
      <c r="O7" s="614"/>
      <c r="P7" s="165" t="s">
        <v>98</v>
      </c>
      <c r="Q7" s="173"/>
      <c r="R7" s="167"/>
      <c r="S7" s="168"/>
      <c r="T7" s="169"/>
      <c r="U7" s="170"/>
      <c r="V7" s="173"/>
      <c r="W7" s="166">
        <f t="shared" si="4"/>
        <v>0</v>
      </c>
      <c r="X7" s="171">
        <f t="shared" ref="X7:X11" si="6">W7-Q7</f>
        <v>0</v>
      </c>
      <c r="Y7" s="172" t="e">
        <f t="shared" ref="Y7:Y11" si="7">W7/Q7</f>
        <v>#DIV/0!</v>
      </c>
      <c r="Z7" s="192" t="e">
        <f t="shared" si="5"/>
        <v>#DIV/0!</v>
      </c>
    </row>
    <row r="8" spans="1:28" x14ac:dyDescent="0.35">
      <c r="A8" s="628"/>
      <c r="B8" s="165" t="s">
        <v>99</v>
      </c>
      <c r="C8" s="173">
        <v>169575120</v>
      </c>
      <c r="D8" s="167"/>
      <c r="E8" s="168"/>
      <c r="F8" s="169"/>
      <c r="G8" s="170"/>
      <c r="H8" s="173"/>
      <c r="I8" s="166">
        <f t="shared" si="0"/>
        <v>0</v>
      </c>
      <c r="J8" s="171">
        <f t="shared" si="1"/>
        <v>-169575120</v>
      </c>
      <c r="K8" s="172">
        <f t="shared" si="2"/>
        <v>0</v>
      </c>
      <c r="L8" s="192">
        <f t="shared" si="3"/>
        <v>0</v>
      </c>
      <c r="O8" s="614"/>
      <c r="P8" s="165" t="s">
        <v>99</v>
      </c>
      <c r="Q8" s="173"/>
      <c r="R8" s="167"/>
      <c r="S8" s="168"/>
      <c r="T8" s="169"/>
      <c r="U8" s="170"/>
      <c r="V8" s="173"/>
      <c r="W8" s="166">
        <f t="shared" si="4"/>
        <v>0</v>
      </c>
      <c r="X8" s="171">
        <f t="shared" si="6"/>
        <v>0</v>
      </c>
      <c r="Y8" s="172" t="e">
        <f t="shared" si="7"/>
        <v>#DIV/0!</v>
      </c>
      <c r="Z8" s="192" t="e">
        <f t="shared" si="5"/>
        <v>#DIV/0!</v>
      </c>
    </row>
    <row r="9" spans="1:28" x14ac:dyDescent="0.35">
      <c r="A9" s="628"/>
      <c r="B9" s="165" t="s">
        <v>100</v>
      </c>
      <c r="C9" s="173">
        <v>231238800</v>
      </c>
      <c r="D9" s="167"/>
      <c r="E9" s="168"/>
      <c r="F9" s="169"/>
      <c r="G9" s="170"/>
      <c r="H9" s="173"/>
      <c r="I9" s="166">
        <f t="shared" si="0"/>
        <v>0</v>
      </c>
      <c r="J9" s="171">
        <f t="shared" si="1"/>
        <v>-231238800</v>
      </c>
      <c r="K9" s="172">
        <f t="shared" si="2"/>
        <v>0</v>
      </c>
      <c r="L9" s="192">
        <f t="shared" si="3"/>
        <v>0</v>
      </c>
      <c r="O9" s="614"/>
      <c r="P9" s="165" t="s">
        <v>100</v>
      </c>
      <c r="Q9" s="173"/>
      <c r="R9" s="167"/>
      <c r="S9" s="168"/>
      <c r="T9" s="169"/>
      <c r="U9" s="170"/>
      <c r="V9" s="173"/>
      <c r="W9" s="166">
        <f t="shared" si="4"/>
        <v>0</v>
      </c>
      <c r="X9" s="171">
        <f t="shared" si="6"/>
        <v>0</v>
      </c>
      <c r="Y9" s="172" t="e">
        <f t="shared" si="7"/>
        <v>#DIV/0!</v>
      </c>
      <c r="Z9" s="192" t="e">
        <f t="shared" si="5"/>
        <v>#DIV/0!</v>
      </c>
    </row>
    <row r="10" spans="1:28" x14ac:dyDescent="0.35">
      <c r="A10" s="628"/>
      <c r="B10" s="165" t="s">
        <v>101</v>
      </c>
      <c r="C10" s="173">
        <v>524141280.00000006</v>
      </c>
      <c r="D10" s="167"/>
      <c r="E10" s="168"/>
      <c r="F10" s="169"/>
      <c r="G10" s="170"/>
      <c r="H10" s="173"/>
      <c r="I10" s="166">
        <f t="shared" si="0"/>
        <v>0</v>
      </c>
      <c r="J10" s="171">
        <f t="shared" si="1"/>
        <v>-524141280.00000006</v>
      </c>
      <c r="K10" s="172">
        <f t="shared" si="2"/>
        <v>0</v>
      </c>
      <c r="L10" s="192">
        <f t="shared" si="3"/>
        <v>0</v>
      </c>
      <c r="O10" s="614"/>
      <c r="P10" s="165" t="s">
        <v>101</v>
      </c>
      <c r="Q10" s="173"/>
      <c r="R10" s="167"/>
      <c r="S10" s="168"/>
      <c r="T10" s="169"/>
      <c r="U10" s="170"/>
      <c r="V10" s="173"/>
      <c r="W10" s="166">
        <f t="shared" si="4"/>
        <v>0</v>
      </c>
      <c r="X10" s="171">
        <f t="shared" si="6"/>
        <v>0</v>
      </c>
      <c r="Y10" s="172" t="e">
        <f t="shared" si="7"/>
        <v>#DIV/0!</v>
      </c>
      <c r="Z10" s="192" t="e">
        <f t="shared" si="5"/>
        <v>#DIV/0!</v>
      </c>
    </row>
    <row r="11" spans="1:28" s="199" customFormat="1" ht="14.5" customHeight="1" thickBot="1" x14ac:dyDescent="0.4">
      <c r="A11" s="628"/>
      <c r="B11" s="175" t="s">
        <v>77</v>
      </c>
      <c r="C11" s="176">
        <f t="shared" ref="C11:H11" si="8">SUM(C5:C10)</f>
        <v>1541592000</v>
      </c>
      <c r="D11" s="177">
        <f>SUM(D5:D10)</f>
        <v>0</v>
      </c>
      <c r="E11" s="178">
        <f t="shared" si="8"/>
        <v>0</v>
      </c>
      <c r="F11" s="176">
        <f>SUM(F5:F10)</f>
        <v>0</v>
      </c>
      <c r="G11" s="179">
        <f t="shared" si="8"/>
        <v>0</v>
      </c>
      <c r="H11" s="176">
        <f t="shared" si="8"/>
        <v>0</v>
      </c>
      <c r="I11" s="176">
        <f t="shared" si="0"/>
        <v>0</v>
      </c>
      <c r="J11" s="176">
        <f>I11-C11</f>
        <v>-1541592000</v>
      </c>
      <c r="K11" s="180">
        <f>I11/C11</f>
        <v>0</v>
      </c>
      <c r="L11" s="197">
        <f>SUM(L5:L10)</f>
        <v>0</v>
      </c>
      <c r="M11" s="198"/>
      <c r="O11" s="615"/>
      <c r="P11" s="204" t="s">
        <v>77</v>
      </c>
      <c r="Q11" s="205">
        <f>SUM(Q5:Q10)</f>
        <v>0</v>
      </c>
      <c r="R11" s="206">
        <f t="shared" ref="R11:V11" si="9">SUM(R5:R10)</f>
        <v>0</v>
      </c>
      <c r="S11" s="207">
        <f t="shared" si="9"/>
        <v>0</v>
      </c>
      <c r="T11" s="205">
        <f t="shared" si="9"/>
        <v>0</v>
      </c>
      <c r="U11" s="208">
        <f t="shared" si="9"/>
        <v>0</v>
      </c>
      <c r="V11" s="205">
        <f t="shared" si="9"/>
        <v>0</v>
      </c>
      <c r="W11" s="205">
        <f t="shared" si="4"/>
        <v>0</v>
      </c>
      <c r="X11" s="205">
        <f t="shared" si="6"/>
        <v>0</v>
      </c>
      <c r="Y11" s="209" t="e">
        <f t="shared" si="7"/>
        <v>#DIV/0!</v>
      </c>
      <c r="Z11" s="197" t="e">
        <f>SUM(Z5:Z10)</f>
        <v>#DIV/0!</v>
      </c>
      <c r="AA11" s="203"/>
      <c r="AB11" s="194"/>
    </row>
    <row r="12" spans="1:28" x14ac:dyDescent="0.35">
      <c r="B12" s="181" t="s">
        <v>87</v>
      </c>
      <c r="C12" s="182">
        <f>C11*B13</f>
        <v>1233273600</v>
      </c>
      <c r="D12" s="676"/>
      <c r="E12" s="677"/>
      <c r="F12" s="677"/>
      <c r="G12" s="677"/>
      <c r="H12" s="678"/>
      <c r="I12" s="182">
        <f>I11</f>
        <v>0</v>
      </c>
      <c r="J12" s="182">
        <f>I12-C12</f>
        <v>-1233273600</v>
      </c>
      <c r="K12" s="183">
        <f t="shared" si="2"/>
        <v>0</v>
      </c>
      <c r="L12" s="192">
        <f>IF(K12&gt;=1,3500000,IF(K12&gt;=0.9,2500000,0))</f>
        <v>0</v>
      </c>
      <c r="P12" s="181" t="str">
        <f>$B$12</f>
        <v>TARGET Q4</v>
      </c>
      <c r="Q12" s="182">
        <f>P13*Q11</f>
        <v>0</v>
      </c>
      <c r="R12" s="676"/>
      <c r="S12" s="677"/>
      <c r="T12" s="677"/>
      <c r="U12" s="677"/>
      <c r="V12" s="678"/>
      <c r="W12" s="182">
        <f>W11</f>
        <v>0</v>
      </c>
      <c r="X12" s="182">
        <f>W12-Q12</f>
        <v>0</v>
      </c>
      <c r="Y12" s="183" t="e">
        <f>W12/Q12</f>
        <v>#DIV/0!</v>
      </c>
      <c r="Z12" s="192" t="e">
        <f>IF(Y12&gt;=1,3500000,IF(Y12&gt;=0.9,2500000,0))</f>
        <v>#DIV/0!</v>
      </c>
    </row>
    <row r="13" spans="1:28" ht="15" thickBot="1" x14ac:dyDescent="0.4">
      <c r="B13" s="194">
        <f>80%</f>
        <v>0.8</v>
      </c>
      <c r="C13" s="210">
        <f>C12/C11</f>
        <v>0.8</v>
      </c>
      <c r="P13" s="194">
        <f>80%</f>
        <v>0.8</v>
      </c>
      <c r="Q13" s="210" t="e">
        <f>Q12/Q11</f>
        <v>#DIV/0!</v>
      </c>
    </row>
    <row r="14" spans="1:28" ht="19.5" customHeight="1" x14ac:dyDescent="0.35">
      <c r="A14" s="623">
        <v>2</v>
      </c>
      <c r="B14" s="352" t="s">
        <v>57</v>
      </c>
      <c r="C14" s="353" t="s">
        <v>102</v>
      </c>
      <c r="D14" s="681" t="s">
        <v>91</v>
      </c>
      <c r="E14" s="616" t="s">
        <v>62</v>
      </c>
      <c r="F14" s="604" t="s">
        <v>103</v>
      </c>
      <c r="G14" s="605"/>
      <c r="H14" s="605"/>
      <c r="I14" s="606"/>
      <c r="J14" s="587" t="s">
        <v>65</v>
      </c>
      <c r="K14" s="352" t="s">
        <v>66</v>
      </c>
      <c r="O14" s="607">
        <v>2</v>
      </c>
      <c r="P14" s="354" t="s">
        <v>57</v>
      </c>
      <c r="Q14" s="355"/>
      <c r="R14" s="679" t="s">
        <v>91</v>
      </c>
      <c r="S14" s="591" t="s">
        <v>62</v>
      </c>
      <c r="T14" s="610" t="s">
        <v>103</v>
      </c>
      <c r="U14" s="611"/>
      <c r="V14" s="611"/>
      <c r="W14" s="612"/>
      <c r="X14" s="603" t="s">
        <v>65</v>
      </c>
      <c r="Y14" s="354" t="s">
        <v>66</v>
      </c>
    </row>
    <row r="15" spans="1:28" ht="36" customHeight="1" x14ac:dyDescent="0.35">
      <c r="A15" s="623"/>
      <c r="B15" s="352" t="s">
        <v>93</v>
      </c>
      <c r="C15" s="353" t="str">
        <f>C4</f>
        <v>TARGET 100%</v>
      </c>
      <c r="D15" s="682"/>
      <c r="E15" s="617"/>
      <c r="F15" s="163" t="str">
        <f>F4</f>
        <v>OMSET DEC
 (1-1)</v>
      </c>
      <c r="G15" s="163" t="str">
        <f>G4</f>
        <v>OMSET PRODUK</v>
      </c>
      <c r="H15" s="353" t="s">
        <v>63</v>
      </c>
      <c r="I15" s="353" t="s">
        <v>64</v>
      </c>
      <c r="J15" s="587"/>
      <c r="K15" s="164">
        <f>K4</f>
        <v>3.2258064516129031E-2</v>
      </c>
      <c r="L15" s="211"/>
      <c r="M15" s="212"/>
      <c r="O15" s="608"/>
      <c r="P15" s="354" t="s">
        <v>93</v>
      </c>
      <c r="Q15" s="355" t="str">
        <f>Q4</f>
        <v>TARGET 100%</v>
      </c>
      <c r="R15" s="680"/>
      <c r="S15" s="592"/>
      <c r="T15" s="200" t="str">
        <f>T4</f>
        <v>OMSET DEC
 (1-1)</v>
      </c>
      <c r="U15" s="200" t="str">
        <f>G4</f>
        <v>OMSET PRODUK</v>
      </c>
      <c r="V15" s="355" t="s">
        <v>63</v>
      </c>
      <c r="W15" s="355" t="s">
        <v>64</v>
      </c>
      <c r="X15" s="603"/>
      <c r="Y15" s="201">
        <f>K15</f>
        <v>3.2258064516129031E-2</v>
      </c>
    </row>
    <row r="16" spans="1:28" ht="14.5" customHeight="1" x14ac:dyDescent="0.35">
      <c r="A16" s="623"/>
      <c r="B16" s="165" t="s">
        <v>96</v>
      </c>
      <c r="C16" s="166"/>
      <c r="D16" s="167"/>
      <c r="E16" s="168"/>
      <c r="F16" s="169"/>
      <c r="G16" s="170"/>
      <c r="H16" s="166"/>
      <c r="I16" s="166">
        <f t="shared" ref="I16:I22" si="10">F16-G16</f>
        <v>0</v>
      </c>
      <c r="J16" s="171">
        <f t="shared" ref="J16:J22" si="11">I16-C16</f>
        <v>0</v>
      </c>
      <c r="K16" s="172" t="e">
        <f t="shared" ref="K16:K23" si="12">I16/C16</f>
        <v>#DIV/0!</v>
      </c>
      <c r="L16" s="192" t="e">
        <f t="shared" ref="L16:L21" si="13">IF(K16&gt;120%, I16*0.55%, IF(K16&gt;100%, I16*0.45%, IF(K16&gt;80%, I16*0.35%, IF(K16&gt;60%, I16*0.2%, 0))))</f>
        <v>#DIV/0!</v>
      </c>
      <c r="O16" s="608"/>
      <c r="P16" s="165" t="s">
        <v>96</v>
      </c>
      <c r="Q16" s="166"/>
      <c r="R16" s="167"/>
      <c r="S16" s="168"/>
      <c r="T16" s="169"/>
      <c r="U16" s="170"/>
      <c r="V16" s="166"/>
      <c r="W16" s="166">
        <f t="shared" ref="W16:W22" si="14">T16-U16</f>
        <v>0</v>
      </c>
      <c r="X16" s="171">
        <f t="shared" ref="X16:X22" si="15">W16-Q16</f>
        <v>0</v>
      </c>
      <c r="Y16" s="172" t="e">
        <f t="shared" ref="Y16:Y21" si="16">W16/Q16</f>
        <v>#DIV/0!</v>
      </c>
      <c r="Z16" s="192" t="e">
        <f t="shared" ref="Z16:Z21" si="17">IF(Y16&gt;120%, W16*0.55%, IF(Y16&gt;100%, W16*0.45%, IF(Y16&gt;80%, W16*0.35%, IF(Y16&gt;60%, W16*0.2%, 0))))</f>
        <v>#DIV/0!</v>
      </c>
    </row>
    <row r="17" spans="1:26" ht="14.5" customHeight="1" x14ac:dyDescent="0.35">
      <c r="A17" s="623"/>
      <c r="B17" s="165" t="s">
        <v>97</v>
      </c>
      <c r="C17" s="173"/>
      <c r="D17" s="167"/>
      <c r="E17" s="168"/>
      <c r="F17" s="169"/>
      <c r="G17" s="174"/>
      <c r="H17" s="173"/>
      <c r="I17" s="166">
        <f t="shared" si="10"/>
        <v>0</v>
      </c>
      <c r="J17" s="171">
        <f t="shared" si="11"/>
        <v>0</v>
      </c>
      <c r="K17" s="172" t="e">
        <f t="shared" si="12"/>
        <v>#DIV/0!</v>
      </c>
      <c r="L17" s="192" t="e">
        <f t="shared" si="13"/>
        <v>#DIV/0!</v>
      </c>
      <c r="O17" s="608"/>
      <c r="P17" s="165" t="s">
        <v>97</v>
      </c>
      <c r="Q17" s="173"/>
      <c r="R17" s="167"/>
      <c r="S17" s="168"/>
      <c r="T17" s="169"/>
      <c r="U17" s="174"/>
      <c r="V17" s="173"/>
      <c r="W17" s="166">
        <f t="shared" si="14"/>
        <v>0</v>
      </c>
      <c r="X17" s="171">
        <f t="shared" si="15"/>
        <v>0</v>
      </c>
      <c r="Y17" s="172" t="e">
        <f t="shared" si="16"/>
        <v>#DIV/0!</v>
      </c>
      <c r="Z17" s="192" t="e">
        <f t="shared" si="17"/>
        <v>#DIV/0!</v>
      </c>
    </row>
    <row r="18" spans="1:26" ht="14.5" customHeight="1" x14ac:dyDescent="0.35">
      <c r="A18" s="623"/>
      <c r="B18" s="165" t="s">
        <v>98</v>
      </c>
      <c r="C18" s="173"/>
      <c r="D18" s="167"/>
      <c r="E18" s="168"/>
      <c r="F18" s="169"/>
      <c r="G18" s="170"/>
      <c r="H18" s="173"/>
      <c r="I18" s="166">
        <f t="shared" si="10"/>
        <v>0</v>
      </c>
      <c r="J18" s="171">
        <f t="shared" si="11"/>
        <v>0</v>
      </c>
      <c r="K18" s="172" t="e">
        <f t="shared" si="12"/>
        <v>#DIV/0!</v>
      </c>
      <c r="L18" s="192" t="e">
        <f t="shared" si="13"/>
        <v>#DIV/0!</v>
      </c>
      <c r="M18" s="213"/>
      <c r="O18" s="608"/>
      <c r="P18" s="165" t="s">
        <v>98</v>
      </c>
      <c r="Q18" s="173"/>
      <c r="R18" s="167"/>
      <c r="S18" s="168"/>
      <c r="T18" s="169"/>
      <c r="U18" s="170"/>
      <c r="V18" s="173"/>
      <c r="W18" s="166">
        <f t="shared" si="14"/>
        <v>0</v>
      </c>
      <c r="X18" s="171">
        <f t="shared" si="15"/>
        <v>0</v>
      </c>
      <c r="Y18" s="172" t="e">
        <f t="shared" si="16"/>
        <v>#DIV/0!</v>
      </c>
      <c r="Z18" s="192" t="e">
        <f t="shared" si="17"/>
        <v>#DIV/0!</v>
      </c>
    </row>
    <row r="19" spans="1:26" ht="14.5" customHeight="1" x14ac:dyDescent="0.35">
      <c r="A19" s="623"/>
      <c r="B19" s="165" t="s">
        <v>99</v>
      </c>
      <c r="C19" s="173"/>
      <c r="D19" s="167"/>
      <c r="E19" s="168"/>
      <c r="F19" s="169"/>
      <c r="G19" s="170"/>
      <c r="H19" s="173"/>
      <c r="I19" s="166">
        <f t="shared" si="10"/>
        <v>0</v>
      </c>
      <c r="J19" s="171">
        <f t="shared" si="11"/>
        <v>0</v>
      </c>
      <c r="K19" s="172" t="e">
        <f t="shared" si="12"/>
        <v>#DIV/0!</v>
      </c>
      <c r="L19" s="192" t="e">
        <f t="shared" si="13"/>
        <v>#DIV/0!</v>
      </c>
      <c r="O19" s="608"/>
      <c r="P19" s="165" t="s">
        <v>99</v>
      </c>
      <c r="Q19" s="173"/>
      <c r="R19" s="167"/>
      <c r="S19" s="168"/>
      <c r="T19" s="169"/>
      <c r="U19" s="170"/>
      <c r="V19" s="173"/>
      <c r="W19" s="166">
        <f t="shared" si="14"/>
        <v>0</v>
      </c>
      <c r="X19" s="171">
        <f t="shared" si="15"/>
        <v>0</v>
      </c>
      <c r="Y19" s="172" t="e">
        <f t="shared" si="16"/>
        <v>#DIV/0!</v>
      </c>
      <c r="Z19" s="192" t="e">
        <f t="shared" si="17"/>
        <v>#DIV/0!</v>
      </c>
    </row>
    <row r="20" spans="1:26" ht="14.5" customHeight="1" x14ac:dyDescent="0.35">
      <c r="A20" s="623"/>
      <c r="B20" s="165" t="s">
        <v>100</v>
      </c>
      <c r="C20" s="173"/>
      <c r="D20" s="167"/>
      <c r="E20" s="168"/>
      <c r="F20" s="169"/>
      <c r="G20" s="170"/>
      <c r="H20" s="173"/>
      <c r="I20" s="166">
        <f t="shared" si="10"/>
        <v>0</v>
      </c>
      <c r="J20" s="171">
        <f t="shared" si="11"/>
        <v>0</v>
      </c>
      <c r="K20" s="172" t="e">
        <f t="shared" si="12"/>
        <v>#DIV/0!</v>
      </c>
      <c r="L20" s="192" t="e">
        <f t="shared" si="13"/>
        <v>#DIV/0!</v>
      </c>
      <c r="O20" s="608"/>
      <c r="P20" s="165" t="s">
        <v>100</v>
      </c>
      <c r="Q20" s="173"/>
      <c r="R20" s="167"/>
      <c r="S20" s="168"/>
      <c r="T20" s="169"/>
      <c r="U20" s="170"/>
      <c r="V20" s="173"/>
      <c r="W20" s="166">
        <f>T20-U20</f>
        <v>0</v>
      </c>
      <c r="X20" s="171">
        <f t="shared" si="15"/>
        <v>0</v>
      </c>
      <c r="Y20" s="172" t="e">
        <f t="shared" si="16"/>
        <v>#DIV/0!</v>
      </c>
      <c r="Z20" s="192" t="e">
        <f t="shared" si="17"/>
        <v>#DIV/0!</v>
      </c>
    </row>
    <row r="21" spans="1:26" ht="14.5" customHeight="1" x14ac:dyDescent="0.35">
      <c r="A21" s="623"/>
      <c r="B21" s="165" t="s">
        <v>101</v>
      </c>
      <c r="C21" s="173"/>
      <c r="D21" s="167"/>
      <c r="E21" s="168"/>
      <c r="F21" s="169"/>
      <c r="G21" s="170"/>
      <c r="H21" s="173"/>
      <c r="I21" s="166">
        <f t="shared" si="10"/>
        <v>0</v>
      </c>
      <c r="J21" s="171">
        <f t="shared" si="11"/>
        <v>0</v>
      </c>
      <c r="K21" s="172" t="e">
        <f t="shared" si="12"/>
        <v>#DIV/0!</v>
      </c>
      <c r="L21" s="192" t="e">
        <f t="shared" si="13"/>
        <v>#DIV/0!</v>
      </c>
      <c r="O21" s="608"/>
      <c r="P21" s="165" t="s">
        <v>101</v>
      </c>
      <c r="Q21" s="173"/>
      <c r="R21" s="167"/>
      <c r="S21" s="168"/>
      <c r="T21" s="169"/>
      <c r="U21" s="170"/>
      <c r="V21" s="173"/>
      <c r="W21" s="166">
        <f t="shared" si="14"/>
        <v>0</v>
      </c>
      <c r="X21" s="171">
        <f t="shared" si="15"/>
        <v>0</v>
      </c>
      <c r="Y21" s="172" t="e">
        <f t="shared" si="16"/>
        <v>#DIV/0!</v>
      </c>
      <c r="Z21" s="192" t="e">
        <f t="shared" si="17"/>
        <v>#DIV/0!</v>
      </c>
    </row>
    <row r="22" spans="1:26" ht="14.5" customHeight="1" thickBot="1" x14ac:dyDescent="0.4">
      <c r="A22" s="623"/>
      <c r="B22" s="175" t="s">
        <v>77</v>
      </c>
      <c r="C22" s="176">
        <f t="shared" ref="C22:H22" si="18">SUM(C16:C21)</f>
        <v>0</v>
      </c>
      <c r="D22" s="177">
        <f>SUM(D16:D21)</f>
        <v>0</v>
      </c>
      <c r="E22" s="178">
        <f t="shared" si="18"/>
        <v>0</v>
      </c>
      <c r="F22" s="176">
        <f>SUM(F16:F21)</f>
        <v>0</v>
      </c>
      <c r="G22" s="179">
        <f t="shared" si="18"/>
        <v>0</v>
      </c>
      <c r="H22" s="176">
        <f t="shared" si="18"/>
        <v>0</v>
      </c>
      <c r="I22" s="176">
        <f t="shared" si="10"/>
        <v>0</v>
      </c>
      <c r="J22" s="176">
        <f t="shared" si="11"/>
        <v>0</v>
      </c>
      <c r="K22" s="180" t="e">
        <f t="shared" si="12"/>
        <v>#DIV/0!</v>
      </c>
      <c r="L22" s="197" t="e">
        <f>SUM(L16:L21)</f>
        <v>#DIV/0!</v>
      </c>
      <c r="O22" s="609"/>
      <c r="P22" s="204" t="s">
        <v>77</v>
      </c>
      <c r="Q22" s="205">
        <f t="shared" ref="Q22:V22" si="19">SUM(Q16:Q21)</f>
        <v>0</v>
      </c>
      <c r="R22" s="206">
        <f>SUM(R16:R21)</f>
        <v>0</v>
      </c>
      <c r="S22" s="207">
        <f t="shared" si="19"/>
        <v>0</v>
      </c>
      <c r="T22" s="205">
        <f t="shared" si="19"/>
        <v>0</v>
      </c>
      <c r="U22" s="208">
        <f t="shared" si="19"/>
        <v>0</v>
      </c>
      <c r="V22" s="205">
        <f t="shared" si="19"/>
        <v>0</v>
      </c>
      <c r="W22" s="205">
        <f t="shared" si="14"/>
        <v>0</v>
      </c>
      <c r="X22" s="205">
        <f t="shared" si="15"/>
        <v>0</v>
      </c>
      <c r="Y22" s="209" t="e">
        <f>W22/Q22</f>
        <v>#DIV/0!</v>
      </c>
      <c r="Z22" s="197" t="e">
        <f>SUM(Z16:Z21)</f>
        <v>#DIV/0!</v>
      </c>
    </row>
    <row r="23" spans="1:26" x14ac:dyDescent="0.35">
      <c r="B23" s="181" t="str">
        <f>$B$12</f>
        <v>TARGET Q4</v>
      </c>
      <c r="C23" s="182"/>
      <c r="D23" s="676"/>
      <c r="E23" s="677"/>
      <c r="F23" s="677"/>
      <c r="G23" s="677"/>
      <c r="H23" s="678"/>
      <c r="I23" s="182">
        <f>I22</f>
        <v>0</v>
      </c>
      <c r="J23" s="182">
        <f>I23-C23</f>
        <v>0</v>
      </c>
      <c r="K23" s="183" t="e">
        <f t="shared" si="12"/>
        <v>#DIV/0!</v>
      </c>
      <c r="L23" s="192" t="e">
        <f>IF(K23&gt;=1,3500000,IF(K23&gt;=0.9,2500000,0))</f>
        <v>#DIV/0!</v>
      </c>
      <c r="P23" s="181" t="str">
        <f>$B$12</f>
        <v>TARGET Q4</v>
      </c>
      <c r="Q23" s="182">
        <f>Q22*P24</f>
        <v>0</v>
      </c>
      <c r="R23" s="676"/>
      <c r="S23" s="677"/>
      <c r="T23" s="677"/>
      <c r="U23" s="677"/>
      <c r="V23" s="678"/>
      <c r="W23" s="182">
        <f>W22</f>
        <v>0</v>
      </c>
      <c r="X23" s="182">
        <f>W23-Q23</f>
        <v>0</v>
      </c>
      <c r="Y23" s="183" t="e">
        <f>W23/Q23</f>
        <v>#DIV/0!</v>
      </c>
      <c r="Z23" s="192" t="e">
        <f>IF(Y23&gt;=1,3500000,IF(Y23&gt;=0.9,2500000,0))</f>
        <v>#DIV/0!</v>
      </c>
    </row>
    <row r="24" spans="1:26" ht="15" thickBot="1" x14ac:dyDescent="0.4">
      <c r="C24" s="210" t="e">
        <f>C23/C22</f>
        <v>#DIV/0!</v>
      </c>
      <c r="P24" s="194">
        <f>80%</f>
        <v>0.8</v>
      </c>
      <c r="Q24" s="210" t="e">
        <f>Q23/Q22</f>
        <v>#DIV/0!</v>
      </c>
    </row>
    <row r="25" spans="1:26" ht="19.5" customHeight="1" x14ac:dyDescent="0.35">
      <c r="A25" s="623">
        <v>3</v>
      </c>
      <c r="B25" s="352" t="s">
        <v>57</v>
      </c>
      <c r="C25" s="353" t="s">
        <v>105</v>
      </c>
      <c r="D25" s="681" t="s">
        <v>91</v>
      </c>
      <c r="E25" s="616" t="s">
        <v>62</v>
      </c>
      <c r="F25" s="604" t="s">
        <v>138</v>
      </c>
      <c r="G25" s="605"/>
      <c r="H25" s="605"/>
      <c r="I25" s="606"/>
      <c r="J25" s="587" t="s">
        <v>65</v>
      </c>
      <c r="K25" s="352" t="s">
        <v>66</v>
      </c>
      <c r="O25" s="613">
        <v>3</v>
      </c>
      <c r="P25" s="354" t="s">
        <v>57</v>
      </c>
      <c r="Q25" s="355"/>
      <c r="R25" s="679" t="s">
        <v>91</v>
      </c>
      <c r="S25" s="591" t="s">
        <v>62</v>
      </c>
      <c r="T25" s="610" t="s">
        <v>139</v>
      </c>
      <c r="U25" s="611"/>
      <c r="V25" s="611"/>
      <c r="W25" s="612"/>
      <c r="X25" s="603" t="s">
        <v>65</v>
      </c>
      <c r="Y25" s="354" t="s">
        <v>66</v>
      </c>
    </row>
    <row r="26" spans="1:26" ht="36" customHeight="1" x14ac:dyDescent="0.35">
      <c r="A26" s="623"/>
      <c r="B26" s="352" t="s">
        <v>93</v>
      </c>
      <c r="C26" s="353" t="str">
        <f>C15</f>
        <v>TARGET 100%</v>
      </c>
      <c r="D26" s="682"/>
      <c r="E26" s="617"/>
      <c r="F26" s="163" t="str">
        <f>F4</f>
        <v>OMSET DEC
 (1-1)</v>
      </c>
      <c r="G26" s="163" t="str">
        <f>G4</f>
        <v>OMSET PRODUK</v>
      </c>
      <c r="H26" s="353" t="s">
        <v>63</v>
      </c>
      <c r="I26" s="353" t="s">
        <v>64</v>
      </c>
      <c r="J26" s="587"/>
      <c r="K26" s="164">
        <f>K15</f>
        <v>3.2258064516129031E-2</v>
      </c>
      <c r="O26" s="614"/>
      <c r="P26" s="354" t="s">
        <v>93</v>
      </c>
      <c r="Q26" s="355" t="str">
        <f>Q15</f>
        <v>TARGET 100%</v>
      </c>
      <c r="R26" s="680"/>
      <c r="S26" s="592"/>
      <c r="T26" s="200" t="str">
        <f>T4</f>
        <v>OMSET DEC
 (1-1)</v>
      </c>
      <c r="U26" s="200" t="str">
        <f>G4</f>
        <v>OMSET PRODUK</v>
      </c>
      <c r="V26" s="355" t="s">
        <v>63</v>
      </c>
      <c r="W26" s="355" t="s">
        <v>64</v>
      </c>
      <c r="X26" s="603"/>
      <c r="Y26" s="201">
        <f>K26</f>
        <v>3.2258064516129031E-2</v>
      </c>
    </row>
    <row r="27" spans="1:26" ht="14.5" customHeight="1" x14ac:dyDescent="0.35">
      <c r="A27" s="623"/>
      <c r="B27" s="165" t="s">
        <v>96</v>
      </c>
      <c r="C27" s="166"/>
      <c r="D27" s="167"/>
      <c r="E27" s="168"/>
      <c r="F27" s="169"/>
      <c r="G27" s="170"/>
      <c r="H27" s="166"/>
      <c r="I27" s="166">
        <f t="shared" ref="I27:I33" si="20">F27-G27</f>
        <v>0</v>
      </c>
      <c r="J27" s="171">
        <f t="shared" ref="J27:J33" si="21">I27-C27</f>
        <v>0</v>
      </c>
      <c r="K27" s="172" t="e">
        <f t="shared" ref="K27:K34" si="22">I27/C27</f>
        <v>#DIV/0!</v>
      </c>
      <c r="L27" s="192" t="e">
        <f t="shared" ref="L27:L32" si="23">IF(K27&gt;120%, I27*0.55%, IF(K27&gt;100%, I27*0.45%, IF(K27&gt;80%, I27*0.35%, IF(K27&gt;60%, I27*0.2%, 0))))</f>
        <v>#DIV/0!</v>
      </c>
      <c r="O27" s="614"/>
      <c r="P27" s="165" t="s">
        <v>96</v>
      </c>
      <c r="Q27" s="166"/>
      <c r="R27" s="167"/>
      <c r="S27" s="168"/>
      <c r="T27" s="169"/>
      <c r="U27" s="170"/>
      <c r="V27" s="166"/>
      <c r="W27" s="166">
        <f t="shared" ref="W27:W33" si="24">T27-U27</f>
        <v>0</v>
      </c>
      <c r="X27" s="171">
        <f t="shared" ref="X27:X33" si="25">W27-Q27</f>
        <v>0</v>
      </c>
      <c r="Y27" s="172" t="e">
        <f t="shared" ref="Y27:Y33" si="26">W27/Q27</f>
        <v>#DIV/0!</v>
      </c>
      <c r="Z27" s="192" t="e">
        <f t="shared" ref="Z27:Z32" si="27">IF(Y27&gt;120%, W27*0.55%, IF(Y27&gt;100%, W27*0.45%, IF(Y27&gt;80%, W27*0.35%, IF(Y27&gt;60%, W27*0.2%, 0))))</f>
        <v>#DIV/0!</v>
      </c>
    </row>
    <row r="28" spans="1:26" ht="14.5" customHeight="1" x14ac:dyDescent="0.35">
      <c r="A28" s="623"/>
      <c r="B28" s="165" t="s">
        <v>97</v>
      </c>
      <c r="C28" s="173"/>
      <c r="D28" s="167"/>
      <c r="E28" s="168"/>
      <c r="F28" s="169"/>
      <c r="G28" s="174"/>
      <c r="H28" s="173"/>
      <c r="I28" s="166">
        <f t="shared" si="20"/>
        <v>0</v>
      </c>
      <c r="J28" s="171">
        <f t="shared" si="21"/>
        <v>0</v>
      </c>
      <c r="K28" s="172" t="e">
        <f t="shared" si="22"/>
        <v>#DIV/0!</v>
      </c>
      <c r="L28" s="192" t="e">
        <f t="shared" si="23"/>
        <v>#DIV/0!</v>
      </c>
      <c r="O28" s="614"/>
      <c r="P28" s="165" t="s">
        <v>97</v>
      </c>
      <c r="Q28" s="173"/>
      <c r="R28" s="167"/>
      <c r="S28" s="168"/>
      <c r="T28" s="169"/>
      <c r="U28" s="174"/>
      <c r="V28" s="173"/>
      <c r="W28" s="166">
        <f t="shared" si="24"/>
        <v>0</v>
      </c>
      <c r="X28" s="171">
        <f t="shared" si="25"/>
        <v>0</v>
      </c>
      <c r="Y28" s="172" t="e">
        <f t="shared" si="26"/>
        <v>#DIV/0!</v>
      </c>
      <c r="Z28" s="192" t="e">
        <f t="shared" si="27"/>
        <v>#DIV/0!</v>
      </c>
    </row>
    <row r="29" spans="1:26" ht="14.5" customHeight="1" x14ac:dyDescent="0.35">
      <c r="A29" s="623"/>
      <c r="B29" s="165" t="s">
        <v>98</v>
      </c>
      <c r="C29" s="173"/>
      <c r="D29" s="167"/>
      <c r="E29" s="168"/>
      <c r="F29" s="169"/>
      <c r="G29" s="170"/>
      <c r="H29" s="173"/>
      <c r="I29" s="166">
        <f t="shared" si="20"/>
        <v>0</v>
      </c>
      <c r="J29" s="171">
        <f t="shared" si="21"/>
        <v>0</v>
      </c>
      <c r="K29" s="172" t="e">
        <f t="shared" si="22"/>
        <v>#DIV/0!</v>
      </c>
      <c r="L29" s="192" t="e">
        <f t="shared" si="23"/>
        <v>#DIV/0!</v>
      </c>
      <c r="O29" s="614"/>
      <c r="P29" s="165" t="s">
        <v>98</v>
      </c>
      <c r="Q29" s="173"/>
      <c r="R29" s="167"/>
      <c r="S29" s="168"/>
      <c r="T29" s="169"/>
      <c r="U29" s="170"/>
      <c r="V29" s="173"/>
      <c r="W29" s="166">
        <f t="shared" si="24"/>
        <v>0</v>
      </c>
      <c r="X29" s="171">
        <f t="shared" si="25"/>
        <v>0</v>
      </c>
      <c r="Y29" s="172" t="e">
        <f t="shared" si="26"/>
        <v>#DIV/0!</v>
      </c>
      <c r="Z29" s="192" t="e">
        <f t="shared" si="27"/>
        <v>#DIV/0!</v>
      </c>
    </row>
    <row r="30" spans="1:26" ht="14.5" customHeight="1" x14ac:dyDescent="0.35">
      <c r="A30" s="623"/>
      <c r="B30" s="165" t="s">
        <v>99</v>
      </c>
      <c r="C30" s="173"/>
      <c r="D30" s="167"/>
      <c r="E30" s="168"/>
      <c r="F30" s="169"/>
      <c r="G30" s="170"/>
      <c r="H30" s="173"/>
      <c r="I30" s="166">
        <f t="shared" si="20"/>
        <v>0</v>
      </c>
      <c r="J30" s="171">
        <f t="shared" si="21"/>
        <v>0</v>
      </c>
      <c r="K30" s="172" t="e">
        <f t="shared" si="22"/>
        <v>#DIV/0!</v>
      </c>
      <c r="L30" s="192" t="e">
        <f t="shared" si="23"/>
        <v>#DIV/0!</v>
      </c>
      <c r="O30" s="614"/>
      <c r="P30" s="165" t="s">
        <v>99</v>
      </c>
      <c r="Q30" s="173"/>
      <c r="R30" s="167"/>
      <c r="S30" s="168"/>
      <c r="T30" s="169"/>
      <c r="U30" s="170"/>
      <c r="V30" s="173"/>
      <c r="W30" s="166">
        <f t="shared" si="24"/>
        <v>0</v>
      </c>
      <c r="X30" s="171">
        <f t="shared" si="25"/>
        <v>0</v>
      </c>
      <c r="Y30" s="172" t="e">
        <f t="shared" si="26"/>
        <v>#DIV/0!</v>
      </c>
      <c r="Z30" s="192" t="e">
        <f t="shared" si="27"/>
        <v>#DIV/0!</v>
      </c>
    </row>
    <row r="31" spans="1:26" ht="14.5" customHeight="1" x14ac:dyDescent="0.35">
      <c r="A31" s="623"/>
      <c r="B31" s="165" t="s">
        <v>100</v>
      </c>
      <c r="C31" s="173"/>
      <c r="D31" s="167"/>
      <c r="E31" s="168"/>
      <c r="F31" s="169"/>
      <c r="G31" s="170"/>
      <c r="H31" s="173"/>
      <c r="I31" s="166">
        <f t="shared" si="20"/>
        <v>0</v>
      </c>
      <c r="J31" s="171">
        <f t="shared" si="21"/>
        <v>0</v>
      </c>
      <c r="K31" s="172" t="e">
        <f t="shared" si="22"/>
        <v>#DIV/0!</v>
      </c>
      <c r="L31" s="192" t="e">
        <f t="shared" si="23"/>
        <v>#DIV/0!</v>
      </c>
      <c r="O31" s="614"/>
      <c r="P31" s="165" t="s">
        <v>100</v>
      </c>
      <c r="Q31" s="173"/>
      <c r="R31" s="167"/>
      <c r="S31" s="168"/>
      <c r="T31" s="169"/>
      <c r="U31" s="170"/>
      <c r="V31" s="173"/>
      <c r="W31" s="166">
        <f t="shared" si="24"/>
        <v>0</v>
      </c>
      <c r="X31" s="171">
        <f t="shared" si="25"/>
        <v>0</v>
      </c>
      <c r="Y31" s="172" t="e">
        <f>W31/Q31</f>
        <v>#DIV/0!</v>
      </c>
      <c r="Z31" s="192" t="e">
        <f t="shared" si="27"/>
        <v>#DIV/0!</v>
      </c>
    </row>
    <row r="32" spans="1:26" ht="14.5" customHeight="1" x14ac:dyDescent="0.35">
      <c r="A32" s="623"/>
      <c r="B32" s="165" t="s">
        <v>101</v>
      </c>
      <c r="C32" s="173"/>
      <c r="D32" s="167"/>
      <c r="E32" s="168"/>
      <c r="F32" s="169"/>
      <c r="G32" s="170"/>
      <c r="H32" s="173"/>
      <c r="I32" s="166">
        <f t="shared" si="20"/>
        <v>0</v>
      </c>
      <c r="J32" s="171">
        <f t="shared" si="21"/>
        <v>0</v>
      </c>
      <c r="K32" s="172" t="e">
        <f t="shared" si="22"/>
        <v>#DIV/0!</v>
      </c>
      <c r="L32" s="192" t="e">
        <f t="shared" si="23"/>
        <v>#DIV/0!</v>
      </c>
      <c r="O32" s="614"/>
      <c r="P32" s="165" t="s">
        <v>101</v>
      </c>
      <c r="Q32" s="173"/>
      <c r="R32" s="167"/>
      <c r="S32" s="168"/>
      <c r="T32" s="169"/>
      <c r="U32" s="170"/>
      <c r="V32" s="173"/>
      <c r="W32" s="166">
        <f t="shared" si="24"/>
        <v>0</v>
      </c>
      <c r="X32" s="171">
        <f t="shared" si="25"/>
        <v>0</v>
      </c>
      <c r="Y32" s="172" t="e">
        <f t="shared" si="26"/>
        <v>#DIV/0!</v>
      </c>
      <c r="Z32" s="192" t="e">
        <f t="shared" si="27"/>
        <v>#DIV/0!</v>
      </c>
    </row>
    <row r="33" spans="1:26" ht="14.5" customHeight="1" thickBot="1" x14ac:dyDescent="0.4">
      <c r="A33" s="623"/>
      <c r="B33" s="175" t="s">
        <v>77</v>
      </c>
      <c r="C33" s="176">
        <f t="shared" ref="C33:H33" si="28">SUM(C27:C32)</f>
        <v>0</v>
      </c>
      <c r="D33" s="177">
        <f>SUM(D27:D32)</f>
        <v>0</v>
      </c>
      <c r="E33" s="178">
        <f>SUM(E27:E32)</f>
        <v>0</v>
      </c>
      <c r="F33" s="176">
        <f t="shared" si="28"/>
        <v>0</v>
      </c>
      <c r="G33" s="179">
        <f t="shared" si="28"/>
        <v>0</v>
      </c>
      <c r="H33" s="176">
        <f t="shared" si="28"/>
        <v>0</v>
      </c>
      <c r="I33" s="176">
        <f t="shared" si="20"/>
        <v>0</v>
      </c>
      <c r="J33" s="176">
        <f t="shared" si="21"/>
        <v>0</v>
      </c>
      <c r="K33" s="180" t="e">
        <f t="shared" si="22"/>
        <v>#DIV/0!</v>
      </c>
      <c r="L33" s="197" t="e">
        <f>SUM(L27:L32)</f>
        <v>#DIV/0!</v>
      </c>
      <c r="O33" s="615"/>
      <c r="P33" s="204" t="s">
        <v>77</v>
      </c>
      <c r="Q33" s="205">
        <f t="shared" ref="Q33:V33" si="29">SUM(Q27:Q32)</f>
        <v>0</v>
      </c>
      <c r="R33" s="206">
        <f>SUM(R27:R32)</f>
        <v>0</v>
      </c>
      <c r="S33" s="207">
        <f t="shared" si="29"/>
        <v>0</v>
      </c>
      <c r="T33" s="205">
        <f>SUM(T27:T32)</f>
        <v>0</v>
      </c>
      <c r="U33" s="208">
        <f t="shared" si="29"/>
        <v>0</v>
      </c>
      <c r="V33" s="205">
        <f t="shared" si="29"/>
        <v>0</v>
      </c>
      <c r="W33" s="205">
        <f t="shared" si="24"/>
        <v>0</v>
      </c>
      <c r="X33" s="205">
        <f t="shared" si="25"/>
        <v>0</v>
      </c>
      <c r="Y33" s="209" t="e">
        <f t="shared" si="26"/>
        <v>#DIV/0!</v>
      </c>
      <c r="Z33" s="197" t="e">
        <f>SUM(Z27:Z32)</f>
        <v>#DIV/0!</v>
      </c>
    </row>
    <row r="34" spans="1:26" x14ac:dyDescent="0.35">
      <c r="B34" s="181" t="str">
        <f>$B$12</f>
        <v>TARGET Q4</v>
      </c>
      <c r="C34" s="182">
        <f>B35*C33</f>
        <v>0</v>
      </c>
      <c r="D34" s="676"/>
      <c r="E34" s="677"/>
      <c r="F34" s="677"/>
      <c r="G34" s="677"/>
      <c r="H34" s="678"/>
      <c r="I34" s="182">
        <f>I33</f>
        <v>0</v>
      </c>
      <c r="J34" s="182">
        <f>I34-C34</f>
        <v>0</v>
      </c>
      <c r="K34" s="183" t="e">
        <f t="shared" si="22"/>
        <v>#DIV/0!</v>
      </c>
      <c r="L34" s="192" t="e">
        <f>IF(K34&gt;=1,3500000,IF(K34&gt;=0.9,2500000,0))</f>
        <v>#DIV/0!</v>
      </c>
      <c r="P34" s="181" t="str">
        <f>$B$12</f>
        <v>TARGET Q4</v>
      </c>
      <c r="Q34" s="182"/>
      <c r="R34" s="676"/>
      <c r="S34" s="677"/>
      <c r="T34" s="677"/>
      <c r="U34" s="677"/>
      <c r="V34" s="678"/>
      <c r="W34" s="182">
        <f>W33</f>
        <v>0</v>
      </c>
      <c r="X34" s="182">
        <f>W34-Q34</f>
        <v>0</v>
      </c>
      <c r="Y34" s="183" t="e">
        <f>W34/Q34</f>
        <v>#DIV/0!</v>
      </c>
      <c r="Z34" s="192" t="e">
        <f>IF(Y34&gt;=1,3500000,IF(Y34&gt;=0.9,2500000,0))</f>
        <v>#DIV/0!</v>
      </c>
    </row>
    <row r="35" spans="1:26" ht="15" thickBot="1" x14ac:dyDescent="0.4">
      <c r="B35" s="194">
        <f>80%</f>
        <v>0.8</v>
      </c>
      <c r="C35" s="210" t="e">
        <f>C34/C33</f>
        <v>#DIV/0!</v>
      </c>
      <c r="Q35" s="210" t="e">
        <f>Q34/Q33</f>
        <v>#DIV/0!</v>
      </c>
    </row>
    <row r="36" spans="1:26" ht="19.5" customHeight="1" x14ac:dyDescent="0.35">
      <c r="A36" s="623">
        <v>4</v>
      </c>
      <c r="B36" s="352" t="s">
        <v>57</v>
      </c>
      <c r="C36" s="353" t="s">
        <v>108</v>
      </c>
      <c r="D36" s="681" t="s">
        <v>91</v>
      </c>
      <c r="E36" s="616" t="s">
        <v>62</v>
      </c>
      <c r="F36" s="604" t="s">
        <v>109</v>
      </c>
      <c r="G36" s="605"/>
      <c r="H36" s="605"/>
      <c r="I36" s="606"/>
      <c r="J36" s="587" t="s">
        <v>65</v>
      </c>
      <c r="K36" s="352" t="s">
        <v>66</v>
      </c>
      <c r="O36" s="607">
        <v>4</v>
      </c>
      <c r="P36" s="354" t="s">
        <v>57</v>
      </c>
      <c r="Q36" s="355" t="s">
        <v>53</v>
      </c>
      <c r="R36" s="679" t="s">
        <v>91</v>
      </c>
      <c r="S36" s="591" t="s">
        <v>62</v>
      </c>
      <c r="T36" s="610" t="s">
        <v>109</v>
      </c>
      <c r="U36" s="611"/>
      <c r="V36" s="611"/>
      <c r="W36" s="612"/>
      <c r="X36" s="603" t="s">
        <v>65</v>
      </c>
      <c r="Y36" s="354" t="s">
        <v>66</v>
      </c>
    </row>
    <row r="37" spans="1:26" ht="36" customHeight="1" x14ac:dyDescent="0.35">
      <c r="A37" s="623"/>
      <c r="B37" s="352" t="s">
        <v>93</v>
      </c>
      <c r="C37" s="353" t="str">
        <f>C26</f>
        <v>TARGET 100%</v>
      </c>
      <c r="D37" s="682"/>
      <c r="E37" s="617"/>
      <c r="F37" s="163" t="str">
        <f>F4</f>
        <v>OMSET DEC
 (1-1)</v>
      </c>
      <c r="G37" s="163" t="str">
        <f>G4</f>
        <v>OMSET PRODUK</v>
      </c>
      <c r="H37" s="353" t="s">
        <v>63</v>
      </c>
      <c r="I37" s="353" t="s">
        <v>64</v>
      </c>
      <c r="J37" s="587"/>
      <c r="K37" s="164">
        <f>K26</f>
        <v>3.2258064516129031E-2</v>
      </c>
      <c r="L37" s="214"/>
      <c r="M37" s="212"/>
      <c r="O37" s="608"/>
      <c r="P37" s="354" t="s">
        <v>93</v>
      </c>
      <c r="Q37" s="355" t="str">
        <f>Q26</f>
        <v>TARGET 100%</v>
      </c>
      <c r="R37" s="680"/>
      <c r="S37" s="592"/>
      <c r="T37" s="200" t="str">
        <f>T4</f>
        <v>OMSET DEC
 (1-1)</v>
      </c>
      <c r="U37" s="200" t="str">
        <f>G4</f>
        <v>OMSET PRODUK</v>
      </c>
      <c r="V37" s="355" t="s">
        <v>63</v>
      </c>
      <c r="W37" s="355" t="s">
        <v>64</v>
      </c>
      <c r="X37" s="603"/>
      <c r="Y37" s="201">
        <f>K37</f>
        <v>3.2258064516129031E-2</v>
      </c>
    </row>
    <row r="38" spans="1:26" ht="14.5" customHeight="1" x14ac:dyDescent="0.35">
      <c r="A38" s="623"/>
      <c r="B38" s="165" t="s">
        <v>96</v>
      </c>
      <c r="C38" s="166"/>
      <c r="D38" s="167"/>
      <c r="E38" s="168"/>
      <c r="F38" s="169"/>
      <c r="G38" s="170"/>
      <c r="H38" s="166"/>
      <c r="I38" s="166">
        <f t="shared" ref="I38:I44" si="30">F38-G38</f>
        <v>0</v>
      </c>
      <c r="J38" s="171">
        <f t="shared" ref="J38:J44" si="31">I38-C38</f>
        <v>0</v>
      </c>
      <c r="K38" s="172" t="e">
        <f t="shared" ref="K38:K45" si="32">I38/C38</f>
        <v>#DIV/0!</v>
      </c>
      <c r="L38" s="192" t="e">
        <f t="shared" ref="L38:L43" si="33">IF(K38&gt;120%, I38*0.55%, IF(K38&gt;100%, I38*0.45%, IF(K38&gt;80%, I38*0.35%, IF(K38&gt;60%, I38*0.2%, 0))))</f>
        <v>#DIV/0!</v>
      </c>
      <c r="M38" s="215"/>
      <c r="N38" s="216"/>
      <c r="O38" s="608"/>
      <c r="P38" s="165" t="s">
        <v>96</v>
      </c>
      <c r="Q38" s="166"/>
      <c r="R38" s="167"/>
      <c r="S38" s="168"/>
      <c r="T38" s="169"/>
      <c r="U38" s="170"/>
      <c r="V38" s="166"/>
      <c r="W38" s="166">
        <f>T38-U38</f>
        <v>0</v>
      </c>
      <c r="X38" s="171">
        <f t="shared" ref="X38:X44" si="34">W38-Q38</f>
        <v>0</v>
      </c>
      <c r="Y38" s="172" t="e">
        <f t="shared" ref="Y38:Y44" si="35">W38/Q38</f>
        <v>#DIV/0!</v>
      </c>
      <c r="Z38" s="192" t="e">
        <f t="shared" ref="Z38:Z43" si="36">IF(Y38&gt;120%, W38*0.55%, IF(Y38&gt;100%, W38*0.45%, IF(Y38&gt;80%, W38*0.35%, IF(Y38&gt;60%, W38*0.2%, 0))))</f>
        <v>#DIV/0!</v>
      </c>
    </row>
    <row r="39" spans="1:26" ht="14.5" customHeight="1" x14ac:dyDescent="0.35">
      <c r="A39" s="623"/>
      <c r="B39" s="165" t="s">
        <v>97</v>
      </c>
      <c r="C39" s="173"/>
      <c r="D39" s="167"/>
      <c r="E39" s="168"/>
      <c r="F39" s="169"/>
      <c r="G39" s="174"/>
      <c r="H39" s="173"/>
      <c r="I39" s="166">
        <f t="shared" si="30"/>
        <v>0</v>
      </c>
      <c r="J39" s="171">
        <f t="shared" si="31"/>
        <v>0</v>
      </c>
      <c r="K39" s="172" t="e">
        <f t="shared" si="32"/>
        <v>#DIV/0!</v>
      </c>
      <c r="L39" s="192" t="e">
        <f t="shared" si="33"/>
        <v>#DIV/0!</v>
      </c>
      <c r="M39" s="215"/>
      <c r="N39" s="216"/>
      <c r="O39" s="608"/>
      <c r="P39" s="165" t="s">
        <v>97</v>
      </c>
      <c r="Q39" s="173"/>
      <c r="R39" s="167"/>
      <c r="S39" s="168"/>
      <c r="T39" s="169"/>
      <c r="U39" s="174"/>
      <c r="V39" s="173"/>
      <c r="W39" s="166">
        <f>T39-U39</f>
        <v>0</v>
      </c>
      <c r="X39" s="171">
        <f t="shared" si="34"/>
        <v>0</v>
      </c>
      <c r="Y39" s="172" t="e">
        <f t="shared" si="35"/>
        <v>#DIV/0!</v>
      </c>
      <c r="Z39" s="192" t="e">
        <f t="shared" si="36"/>
        <v>#DIV/0!</v>
      </c>
    </row>
    <row r="40" spans="1:26" ht="14.5" customHeight="1" x14ac:dyDescent="0.35">
      <c r="A40" s="623"/>
      <c r="B40" s="165" t="s">
        <v>98</v>
      </c>
      <c r="C40" s="173"/>
      <c r="D40" s="167"/>
      <c r="E40" s="168"/>
      <c r="F40" s="169"/>
      <c r="G40" s="170"/>
      <c r="H40" s="173"/>
      <c r="I40" s="166">
        <f t="shared" si="30"/>
        <v>0</v>
      </c>
      <c r="J40" s="171">
        <f t="shared" si="31"/>
        <v>0</v>
      </c>
      <c r="K40" s="172" t="e">
        <f t="shared" si="32"/>
        <v>#DIV/0!</v>
      </c>
      <c r="L40" s="192" t="e">
        <f t="shared" si="33"/>
        <v>#DIV/0!</v>
      </c>
      <c r="M40" s="215"/>
      <c r="N40" s="216"/>
      <c r="O40" s="608"/>
      <c r="P40" s="165" t="s">
        <v>98</v>
      </c>
      <c r="Q40" s="173"/>
      <c r="R40" s="167"/>
      <c r="S40" s="168"/>
      <c r="T40" s="169"/>
      <c r="U40" s="170"/>
      <c r="V40" s="173"/>
      <c r="W40" s="166">
        <f t="shared" ref="W40:W44" si="37">T40-U40</f>
        <v>0</v>
      </c>
      <c r="X40" s="171">
        <f t="shared" si="34"/>
        <v>0</v>
      </c>
      <c r="Y40" s="172" t="e">
        <f t="shared" si="35"/>
        <v>#DIV/0!</v>
      </c>
      <c r="Z40" s="192" t="e">
        <f t="shared" si="36"/>
        <v>#DIV/0!</v>
      </c>
    </row>
    <row r="41" spans="1:26" ht="14.5" customHeight="1" x14ac:dyDescent="0.35">
      <c r="A41" s="623"/>
      <c r="B41" s="165" t="s">
        <v>99</v>
      </c>
      <c r="C41" s="173"/>
      <c r="D41" s="167"/>
      <c r="E41" s="168"/>
      <c r="F41" s="169"/>
      <c r="G41" s="170"/>
      <c r="H41" s="173"/>
      <c r="I41" s="166">
        <f t="shared" si="30"/>
        <v>0</v>
      </c>
      <c r="J41" s="171">
        <f t="shared" si="31"/>
        <v>0</v>
      </c>
      <c r="K41" s="172" t="e">
        <f t="shared" si="32"/>
        <v>#DIV/0!</v>
      </c>
      <c r="L41" s="192" t="e">
        <f t="shared" si="33"/>
        <v>#DIV/0!</v>
      </c>
      <c r="M41" s="215"/>
      <c r="N41" s="216"/>
      <c r="O41" s="608"/>
      <c r="P41" s="165" t="s">
        <v>99</v>
      </c>
      <c r="Q41" s="173"/>
      <c r="R41" s="167"/>
      <c r="S41" s="168"/>
      <c r="T41" s="169"/>
      <c r="U41" s="170"/>
      <c r="V41" s="173"/>
      <c r="W41" s="166">
        <f t="shared" si="37"/>
        <v>0</v>
      </c>
      <c r="X41" s="171">
        <f t="shared" si="34"/>
        <v>0</v>
      </c>
      <c r="Y41" s="172" t="e">
        <f t="shared" si="35"/>
        <v>#DIV/0!</v>
      </c>
      <c r="Z41" s="192" t="e">
        <f t="shared" si="36"/>
        <v>#DIV/0!</v>
      </c>
    </row>
    <row r="42" spans="1:26" ht="14.5" customHeight="1" x14ac:dyDescent="0.35">
      <c r="A42" s="623"/>
      <c r="B42" s="165" t="s">
        <v>100</v>
      </c>
      <c r="C42" s="173"/>
      <c r="D42" s="167"/>
      <c r="E42" s="168"/>
      <c r="F42" s="169"/>
      <c r="G42" s="170"/>
      <c r="H42" s="173"/>
      <c r="I42" s="166">
        <f t="shared" si="30"/>
        <v>0</v>
      </c>
      <c r="J42" s="171">
        <f t="shared" si="31"/>
        <v>0</v>
      </c>
      <c r="K42" s="172" t="e">
        <f t="shared" si="32"/>
        <v>#DIV/0!</v>
      </c>
      <c r="L42" s="192" t="e">
        <f t="shared" si="33"/>
        <v>#DIV/0!</v>
      </c>
      <c r="M42" s="215"/>
      <c r="N42" s="216"/>
      <c r="O42" s="608"/>
      <c r="P42" s="165" t="s">
        <v>100</v>
      </c>
      <c r="Q42" s="173"/>
      <c r="R42" s="167"/>
      <c r="S42" s="168"/>
      <c r="T42" s="169"/>
      <c r="U42" s="170"/>
      <c r="V42" s="173"/>
      <c r="W42" s="166">
        <f t="shared" si="37"/>
        <v>0</v>
      </c>
      <c r="X42" s="171">
        <f t="shared" si="34"/>
        <v>0</v>
      </c>
      <c r="Y42" s="172" t="e">
        <f t="shared" si="35"/>
        <v>#DIV/0!</v>
      </c>
      <c r="Z42" s="192" t="e">
        <f t="shared" si="36"/>
        <v>#DIV/0!</v>
      </c>
    </row>
    <row r="43" spans="1:26" ht="14.5" customHeight="1" x14ac:dyDescent="0.35">
      <c r="A43" s="623"/>
      <c r="B43" s="165" t="s">
        <v>101</v>
      </c>
      <c r="C43" s="173"/>
      <c r="D43" s="167"/>
      <c r="E43" s="168"/>
      <c r="F43" s="169"/>
      <c r="G43" s="170"/>
      <c r="H43" s="173"/>
      <c r="I43" s="166">
        <f t="shared" si="30"/>
        <v>0</v>
      </c>
      <c r="J43" s="171">
        <f t="shared" si="31"/>
        <v>0</v>
      </c>
      <c r="K43" s="172" t="e">
        <f t="shared" si="32"/>
        <v>#DIV/0!</v>
      </c>
      <c r="L43" s="192" t="e">
        <f t="shared" si="33"/>
        <v>#DIV/0!</v>
      </c>
      <c r="M43" s="215"/>
      <c r="N43" s="216"/>
      <c r="O43" s="608"/>
      <c r="P43" s="165" t="s">
        <v>101</v>
      </c>
      <c r="Q43" s="173"/>
      <c r="R43" s="167"/>
      <c r="S43" s="168"/>
      <c r="T43" s="169"/>
      <c r="U43" s="170"/>
      <c r="V43" s="173"/>
      <c r="W43" s="166">
        <f t="shared" si="37"/>
        <v>0</v>
      </c>
      <c r="X43" s="171">
        <f t="shared" si="34"/>
        <v>0</v>
      </c>
      <c r="Y43" s="172" t="e">
        <f t="shared" si="35"/>
        <v>#DIV/0!</v>
      </c>
      <c r="Z43" s="192" t="e">
        <f t="shared" si="36"/>
        <v>#DIV/0!</v>
      </c>
    </row>
    <row r="44" spans="1:26" ht="14.5" customHeight="1" thickBot="1" x14ac:dyDescent="0.4">
      <c r="A44" s="623"/>
      <c r="B44" s="175" t="s">
        <v>77</v>
      </c>
      <c r="C44" s="176">
        <f>SUM(C38:C43)</f>
        <v>0</v>
      </c>
      <c r="D44" s="177">
        <f>SUM(D38:D43)</f>
        <v>0</v>
      </c>
      <c r="E44" s="178">
        <f t="shared" ref="E44:H44" si="38">SUM(E38:E43)</f>
        <v>0</v>
      </c>
      <c r="F44" s="176">
        <f>SUM(F38:F43)</f>
        <v>0</v>
      </c>
      <c r="G44" s="179">
        <f>SUM(G38:G43)</f>
        <v>0</v>
      </c>
      <c r="H44" s="176">
        <f t="shared" si="38"/>
        <v>0</v>
      </c>
      <c r="I44" s="176">
        <f t="shared" si="30"/>
        <v>0</v>
      </c>
      <c r="J44" s="176">
        <f t="shared" si="31"/>
        <v>0</v>
      </c>
      <c r="K44" s="180" t="e">
        <f t="shared" si="32"/>
        <v>#DIV/0!</v>
      </c>
      <c r="L44" s="197" t="e">
        <f>SUM(L38:L43)</f>
        <v>#DIV/0!</v>
      </c>
      <c r="O44" s="609"/>
      <c r="P44" s="204" t="s">
        <v>77</v>
      </c>
      <c r="Q44" s="205">
        <f t="shared" ref="Q44:V44" si="39">SUM(Q38:Q43)</f>
        <v>0</v>
      </c>
      <c r="R44" s="206">
        <f>SUM(R38:R43)</f>
        <v>0</v>
      </c>
      <c r="S44" s="207">
        <f t="shared" si="39"/>
        <v>0</v>
      </c>
      <c r="T44" s="205">
        <f t="shared" si="39"/>
        <v>0</v>
      </c>
      <c r="U44" s="208">
        <f>SUM(U38:U43)</f>
        <v>0</v>
      </c>
      <c r="V44" s="205">
        <f t="shared" si="39"/>
        <v>0</v>
      </c>
      <c r="W44" s="205">
        <f t="shared" si="37"/>
        <v>0</v>
      </c>
      <c r="X44" s="205">
        <f t="shared" si="34"/>
        <v>0</v>
      </c>
      <c r="Y44" s="209" t="e">
        <f t="shared" si="35"/>
        <v>#DIV/0!</v>
      </c>
      <c r="Z44" s="197" t="e">
        <f>SUM(Z38:Z43)</f>
        <v>#DIV/0!</v>
      </c>
    </row>
    <row r="45" spans="1:26" x14ac:dyDescent="0.35">
      <c r="B45" s="181" t="str">
        <f>$B$12</f>
        <v>TARGET Q4</v>
      </c>
      <c r="C45" s="182"/>
      <c r="D45" s="676"/>
      <c r="E45" s="677"/>
      <c r="F45" s="677"/>
      <c r="G45" s="677"/>
      <c r="H45" s="678"/>
      <c r="I45" s="182">
        <f>I44</f>
        <v>0</v>
      </c>
      <c r="J45" s="182">
        <f>I45-C45</f>
        <v>0</v>
      </c>
      <c r="K45" s="183" t="e">
        <f t="shared" si="32"/>
        <v>#DIV/0!</v>
      </c>
      <c r="L45" s="192" t="e">
        <f>IF(K45&gt;=1,3500000,IF(K45&gt;=0.9,2500000,0))</f>
        <v>#DIV/0!</v>
      </c>
      <c r="P45" s="181" t="str">
        <f>$B$12</f>
        <v>TARGET Q4</v>
      </c>
      <c r="Q45" s="182"/>
      <c r="R45" s="676"/>
      <c r="S45" s="677"/>
      <c r="T45" s="677"/>
      <c r="U45" s="677"/>
      <c r="V45" s="678"/>
      <c r="W45" s="182">
        <f>W44</f>
        <v>0</v>
      </c>
      <c r="X45" s="182">
        <f>W45-Q45</f>
        <v>0</v>
      </c>
      <c r="Y45" s="183" t="e">
        <f>W45/Q45</f>
        <v>#DIV/0!</v>
      </c>
      <c r="Z45" s="192" t="e">
        <f>IF(Y45&gt;=1,3500000,IF(Y45&gt;=0.9,2500000,0))</f>
        <v>#DIV/0!</v>
      </c>
    </row>
    <row r="46" spans="1:26" ht="15" thickBot="1" x14ac:dyDescent="0.4">
      <c r="C46" s="210" t="e">
        <f>C45/C44</f>
        <v>#DIV/0!</v>
      </c>
      <c r="Q46" s="210" t="e">
        <f>Q45/Q44</f>
        <v>#DIV/0!</v>
      </c>
    </row>
    <row r="47" spans="1:26" ht="19.5" customHeight="1" x14ac:dyDescent="0.35">
      <c r="A47" s="627">
        <v>5</v>
      </c>
      <c r="B47" s="352" t="s">
        <v>57</v>
      </c>
      <c r="C47" s="353" t="s">
        <v>35</v>
      </c>
      <c r="D47" s="681" t="s">
        <v>91</v>
      </c>
      <c r="E47" s="616" t="s">
        <v>62</v>
      </c>
      <c r="F47" s="604" t="s">
        <v>110</v>
      </c>
      <c r="G47" s="605"/>
      <c r="H47" s="605"/>
      <c r="I47" s="606"/>
      <c r="J47" s="587" t="s">
        <v>65</v>
      </c>
      <c r="K47" s="352" t="s">
        <v>66</v>
      </c>
      <c r="O47" s="613">
        <v>5</v>
      </c>
      <c r="P47" s="354" t="s">
        <v>57</v>
      </c>
      <c r="Q47" s="355"/>
      <c r="R47" s="679" t="s">
        <v>91</v>
      </c>
      <c r="S47" s="591" t="s">
        <v>62</v>
      </c>
      <c r="T47" s="610" t="s">
        <v>110</v>
      </c>
      <c r="U47" s="611"/>
      <c r="V47" s="611"/>
      <c r="W47" s="612"/>
      <c r="X47" s="603" t="s">
        <v>65</v>
      </c>
      <c r="Y47" s="354" t="s">
        <v>66</v>
      </c>
    </row>
    <row r="48" spans="1:26" ht="36" customHeight="1" x14ac:dyDescent="0.35">
      <c r="A48" s="628"/>
      <c r="B48" s="352" t="s">
        <v>93</v>
      </c>
      <c r="C48" s="353" t="str">
        <f>C37</f>
        <v>TARGET 100%</v>
      </c>
      <c r="D48" s="682"/>
      <c r="E48" s="617"/>
      <c r="F48" s="163" t="str">
        <f>F4</f>
        <v>OMSET DEC
 (1-1)</v>
      </c>
      <c r="G48" s="163" t="str">
        <f>G4</f>
        <v>OMSET PRODUK</v>
      </c>
      <c r="H48" s="353" t="s">
        <v>63</v>
      </c>
      <c r="I48" s="353" t="s">
        <v>64</v>
      </c>
      <c r="J48" s="587"/>
      <c r="K48" s="164">
        <f>K37</f>
        <v>3.2258064516129031E-2</v>
      </c>
      <c r="L48" s="211"/>
      <c r="M48" s="212"/>
      <c r="O48" s="614"/>
      <c r="P48" s="354" t="s">
        <v>93</v>
      </c>
      <c r="Q48" s="355" t="str">
        <f>Q37</f>
        <v>TARGET 100%</v>
      </c>
      <c r="R48" s="680"/>
      <c r="S48" s="592"/>
      <c r="T48" s="200" t="str">
        <f>T4</f>
        <v>OMSET DEC
 (1-1)</v>
      </c>
      <c r="U48" s="200" t="str">
        <f>G4</f>
        <v>OMSET PRODUK</v>
      </c>
      <c r="V48" s="355" t="s">
        <v>63</v>
      </c>
      <c r="W48" s="355" t="s">
        <v>64</v>
      </c>
      <c r="X48" s="603"/>
      <c r="Y48" s="201">
        <f>K48</f>
        <v>3.2258064516129031E-2</v>
      </c>
    </row>
    <row r="49" spans="1:26" ht="14.5" customHeight="1" x14ac:dyDescent="0.35">
      <c r="A49" s="628"/>
      <c r="B49" s="165" t="s">
        <v>96</v>
      </c>
      <c r="C49" s="166"/>
      <c r="D49" s="167"/>
      <c r="E49" s="168"/>
      <c r="F49" s="169"/>
      <c r="G49" s="170"/>
      <c r="H49" s="166"/>
      <c r="I49" s="166">
        <f t="shared" ref="I49:I55" si="40">F49-G49</f>
        <v>0</v>
      </c>
      <c r="J49" s="171">
        <f t="shared" ref="J49:J55" si="41">I49-C49</f>
        <v>0</v>
      </c>
      <c r="K49" s="172" t="e">
        <f t="shared" ref="K49:K56" si="42">I49/C49</f>
        <v>#DIV/0!</v>
      </c>
      <c r="L49" s="192" t="e">
        <f t="shared" ref="L49:L54" si="43">IF(K49&gt;120%, I49*0.55%, IF(K49&gt;100%, I49*0.45%, IF(K49&gt;80%, I49*0.35%, IF(K49&gt;60%, I49*0.2%, 0))))</f>
        <v>#DIV/0!</v>
      </c>
      <c r="O49" s="614"/>
      <c r="P49" s="165" t="s">
        <v>96</v>
      </c>
      <c r="Q49" s="166"/>
      <c r="R49" s="167"/>
      <c r="S49" s="168"/>
      <c r="T49" s="169"/>
      <c r="U49" s="170"/>
      <c r="V49" s="166"/>
      <c r="W49" s="166">
        <f t="shared" ref="W49:W55" si="44">T49-U49</f>
        <v>0</v>
      </c>
      <c r="X49" s="171">
        <f t="shared" ref="X49:X55" si="45">W49-Q49</f>
        <v>0</v>
      </c>
      <c r="Y49" s="172" t="e">
        <f t="shared" ref="Y49:Y55" si="46">W49/Q49</f>
        <v>#DIV/0!</v>
      </c>
      <c r="Z49" s="192" t="e">
        <f t="shared" ref="Z49:Z54" si="47">IF(Y49&gt;120%, W49*0.55%, IF(Y49&gt;100%, W49*0.45%, IF(Y49&gt;80%, W49*0.35%, IF(Y49&gt;60%, W49*0.2%, 0))))</f>
        <v>#DIV/0!</v>
      </c>
    </row>
    <row r="50" spans="1:26" ht="14.5" customHeight="1" x14ac:dyDescent="0.35">
      <c r="A50" s="628"/>
      <c r="B50" s="165" t="s">
        <v>97</v>
      </c>
      <c r="C50" s="173"/>
      <c r="D50" s="167"/>
      <c r="E50" s="168"/>
      <c r="F50" s="169"/>
      <c r="G50" s="174"/>
      <c r="H50" s="173"/>
      <c r="I50" s="166">
        <f t="shared" si="40"/>
        <v>0</v>
      </c>
      <c r="J50" s="171">
        <f t="shared" si="41"/>
        <v>0</v>
      </c>
      <c r="K50" s="172" t="e">
        <f t="shared" si="42"/>
        <v>#DIV/0!</v>
      </c>
      <c r="L50" s="192" t="e">
        <f t="shared" si="43"/>
        <v>#DIV/0!</v>
      </c>
      <c r="N50" s="216"/>
      <c r="O50" s="614"/>
      <c r="P50" s="165" t="s">
        <v>97</v>
      </c>
      <c r="Q50" s="173"/>
      <c r="R50" s="167"/>
      <c r="S50" s="168"/>
      <c r="T50" s="169"/>
      <c r="U50" s="174"/>
      <c r="V50" s="173"/>
      <c r="W50" s="166">
        <f t="shared" si="44"/>
        <v>0</v>
      </c>
      <c r="X50" s="171">
        <f t="shared" si="45"/>
        <v>0</v>
      </c>
      <c r="Y50" s="172" t="e">
        <f t="shared" si="46"/>
        <v>#DIV/0!</v>
      </c>
      <c r="Z50" s="192" t="e">
        <f t="shared" si="47"/>
        <v>#DIV/0!</v>
      </c>
    </row>
    <row r="51" spans="1:26" ht="14.5" customHeight="1" x14ac:dyDescent="0.35">
      <c r="A51" s="628"/>
      <c r="B51" s="165" t="s">
        <v>98</v>
      </c>
      <c r="C51" s="173"/>
      <c r="D51" s="167"/>
      <c r="E51" s="168"/>
      <c r="F51" s="169"/>
      <c r="G51" s="170"/>
      <c r="H51" s="173"/>
      <c r="I51" s="166">
        <f t="shared" si="40"/>
        <v>0</v>
      </c>
      <c r="J51" s="171">
        <f t="shared" si="41"/>
        <v>0</v>
      </c>
      <c r="K51" s="172" t="e">
        <f t="shared" si="42"/>
        <v>#DIV/0!</v>
      </c>
      <c r="L51" s="192" t="e">
        <f t="shared" si="43"/>
        <v>#DIV/0!</v>
      </c>
      <c r="M51" s="191"/>
      <c r="N51" s="216"/>
      <c r="O51" s="614"/>
      <c r="P51" s="165" t="s">
        <v>98</v>
      </c>
      <c r="Q51" s="173"/>
      <c r="R51" s="167"/>
      <c r="S51" s="168"/>
      <c r="T51" s="169"/>
      <c r="U51" s="170"/>
      <c r="V51" s="173"/>
      <c r="W51" s="166">
        <f t="shared" si="44"/>
        <v>0</v>
      </c>
      <c r="X51" s="171">
        <f t="shared" si="45"/>
        <v>0</v>
      </c>
      <c r="Y51" s="172" t="e">
        <f t="shared" si="46"/>
        <v>#DIV/0!</v>
      </c>
      <c r="Z51" s="192" t="e">
        <f t="shared" si="47"/>
        <v>#DIV/0!</v>
      </c>
    </row>
    <row r="52" spans="1:26" ht="14.5" customHeight="1" x14ac:dyDescent="0.35">
      <c r="A52" s="628"/>
      <c r="B52" s="165" t="s">
        <v>99</v>
      </c>
      <c r="C52" s="173"/>
      <c r="D52" s="167"/>
      <c r="E52" s="168"/>
      <c r="F52" s="169"/>
      <c r="G52" s="170"/>
      <c r="H52" s="173"/>
      <c r="I52" s="166">
        <f t="shared" si="40"/>
        <v>0</v>
      </c>
      <c r="J52" s="171">
        <f t="shared" si="41"/>
        <v>0</v>
      </c>
      <c r="K52" s="172" t="e">
        <f t="shared" si="42"/>
        <v>#DIV/0!</v>
      </c>
      <c r="L52" s="192" t="e">
        <f t="shared" si="43"/>
        <v>#DIV/0!</v>
      </c>
      <c r="N52" s="216"/>
      <c r="O52" s="614"/>
      <c r="P52" s="165" t="s">
        <v>99</v>
      </c>
      <c r="Q52" s="173"/>
      <c r="R52" s="167"/>
      <c r="S52" s="168"/>
      <c r="T52" s="169"/>
      <c r="U52" s="170"/>
      <c r="V52" s="173"/>
      <c r="W52" s="166">
        <f t="shared" si="44"/>
        <v>0</v>
      </c>
      <c r="X52" s="171">
        <f t="shared" si="45"/>
        <v>0</v>
      </c>
      <c r="Y52" s="172" t="e">
        <f t="shared" si="46"/>
        <v>#DIV/0!</v>
      </c>
      <c r="Z52" s="192" t="e">
        <f t="shared" si="47"/>
        <v>#DIV/0!</v>
      </c>
    </row>
    <row r="53" spans="1:26" ht="14.5" customHeight="1" x14ac:dyDescent="0.35">
      <c r="A53" s="628"/>
      <c r="B53" s="165" t="s">
        <v>100</v>
      </c>
      <c r="C53" s="173"/>
      <c r="D53" s="167"/>
      <c r="E53" s="168"/>
      <c r="F53" s="169"/>
      <c r="G53" s="170"/>
      <c r="H53" s="173"/>
      <c r="I53" s="166">
        <f t="shared" si="40"/>
        <v>0</v>
      </c>
      <c r="J53" s="171">
        <f t="shared" si="41"/>
        <v>0</v>
      </c>
      <c r="K53" s="172" t="e">
        <f t="shared" si="42"/>
        <v>#DIV/0!</v>
      </c>
      <c r="L53" s="192" t="e">
        <f t="shared" si="43"/>
        <v>#DIV/0!</v>
      </c>
      <c r="N53" s="216"/>
      <c r="O53" s="614"/>
      <c r="P53" s="165" t="s">
        <v>100</v>
      </c>
      <c r="Q53" s="173"/>
      <c r="R53" s="167"/>
      <c r="S53" s="168"/>
      <c r="T53" s="169"/>
      <c r="U53" s="170"/>
      <c r="V53" s="173"/>
      <c r="W53" s="166">
        <f t="shared" si="44"/>
        <v>0</v>
      </c>
      <c r="X53" s="171">
        <f t="shared" si="45"/>
        <v>0</v>
      </c>
      <c r="Y53" s="172" t="e">
        <f t="shared" si="46"/>
        <v>#DIV/0!</v>
      </c>
      <c r="Z53" s="192" t="e">
        <f t="shared" si="47"/>
        <v>#DIV/0!</v>
      </c>
    </row>
    <row r="54" spans="1:26" ht="14.5" customHeight="1" x14ac:dyDescent="0.35">
      <c r="A54" s="628"/>
      <c r="B54" s="165" t="s">
        <v>101</v>
      </c>
      <c r="C54" s="173"/>
      <c r="D54" s="167"/>
      <c r="E54" s="168"/>
      <c r="F54" s="169"/>
      <c r="G54" s="170"/>
      <c r="H54" s="173"/>
      <c r="I54" s="166">
        <f t="shared" si="40"/>
        <v>0</v>
      </c>
      <c r="J54" s="171">
        <f t="shared" si="41"/>
        <v>0</v>
      </c>
      <c r="K54" s="172" t="e">
        <f t="shared" si="42"/>
        <v>#DIV/0!</v>
      </c>
      <c r="L54" s="192" t="e">
        <f t="shared" si="43"/>
        <v>#DIV/0!</v>
      </c>
      <c r="N54" s="216"/>
      <c r="O54" s="614"/>
      <c r="P54" s="165" t="s">
        <v>101</v>
      </c>
      <c r="Q54" s="173"/>
      <c r="R54" s="167"/>
      <c r="S54" s="168"/>
      <c r="T54" s="169"/>
      <c r="U54" s="170"/>
      <c r="V54" s="173"/>
      <c r="W54" s="166">
        <f t="shared" si="44"/>
        <v>0</v>
      </c>
      <c r="X54" s="171">
        <f t="shared" si="45"/>
        <v>0</v>
      </c>
      <c r="Y54" s="172" t="e">
        <f t="shared" si="46"/>
        <v>#DIV/0!</v>
      </c>
      <c r="Z54" s="192" t="e">
        <f t="shared" si="47"/>
        <v>#DIV/0!</v>
      </c>
    </row>
    <row r="55" spans="1:26" ht="14.5" customHeight="1" thickBot="1" x14ac:dyDescent="0.4">
      <c r="A55" s="628"/>
      <c r="B55" s="175" t="s">
        <v>77</v>
      </c>
      <c r="C55" s="176">
        <f t="shared" ref="C55:H55" si="48">SUM(C49:C54)</f>
        <v>0</v>
      </c>
      <c r="D55" s="177">
        <f t="shared" si="48"/>
        <v>0</v>
      </c>
      <c r="E55" s="178">
        <f t="shared" si="48"/>
        <v>0</v>
      </c>
      <c r="F55" s="176">
        <f t="shared" si="48"/>
        <v>0</v>
      </c>
      <c r="G55" s="179">
        <f t="shared" si="48"/>
        <v>0</v>
      </c>
      <c r="H55" s="176">
        <f t="shared" si="48"/>
        <v>0</v>
      </c>
      <c r="I55" s="176">
        <f t="shared" si="40"/>
        <v>0</v>
      </c>
      <c r="J55" s="176">
        <f t="shared" si="41"/>
        <v>0</v>
      </c>
      <c r="K55" s="180" t="e">
        <f t="shared" si="42"/>
        <v>#DIV/0!</v>
      </c>
      <c r="L55" s="197" t="e">
        <f>SUM(L49:L54)</f>
        <v>#DIV/0!</v>
      </c>
      <c r="O55" s="615"/>
      <c r="P55" s="204" t="s">
        <v>77</v>
      </c>
      <c r="Q55" s="205">
        <f t="shared" ref="Q55:V55" si="49">SUM(Q49:Q54)</f>
        <v>0</v>
      </c>
      <c r="R55" s="206">
        <f>SUM(R49:R54)</f>
        <v>0</v>
      </c>
      <c r="S55" s="207">
        <f t="shared" si="49"/>
        <v>0</v>
      </c>
      <c r="T55" s="205">
        <f>SUM(T49:T54)</f>
        <v>0</v>
      </c>
      <c r="U55" s="208">
        <f t="shared" si="49"/>
        <v>0</v>
      </c>
      <c r="V55" s="205">
        <f t="shared" si="49"/>
        <v>0</v>
      </c>
      <c r="W55" s="205">
        <f t="shared" si="44"/>
        <v>0</v>
      </c>
      <c r="X55" s="205">
        <f t="shared" si="45"/>
        <v>0</v>
      </c>
      <c r="Y55" s="209" t="e">
        <f t="shared" si="46"/>
        <v>#DIV/0!</v>
      </c>
      <c r="Z55" s="197" t="e">
        <f>SUM(Z49:Z54)</f>
        <v>#DIV/0!</v>
      </c>
    </row>
    <row r="56" spans="1:26" x14ac:dyDescent="0.35">
      <c r="B56" s="181" t="str">
        <f>$B$12</f>
        <v>TARGET Q4</v>
      </c>
      <c r="C56" s="182"/>
      <c r="D56" s="676"/>
      <c r="E56" s="677"/>
      <c r="F56" s="677"/>
      <c r="G56" s="677"/>
      <c r="H56" s="678"/>
      <c r="I56" s="182">
        <f>I55</f>
        <v>0</v>
      </c>
      <c r="J56" s="182">
        <f>I56-C56</f>
        <v>0</v>
      </c>
      <c r="K56" s="183" t="e">
        <f t="shared" si="42"/>
        <v>#DIV/0!</v>
      </c>
      <c r="L56" s="192" t="e">
        <f>IF(K56&gt;=1,3500000,IF(K56&gt;=0.9,2500000,0))</f>
        <v>#DIV/0!</v>
      </c>
      <c r="P56" s="181" t="str">
        <f>$B$12</f>
        <v>TARGET Q4</v>
      </c>
      <c r="Q56" s="182"/>
      <c r="R56" s="676"/>
      <c r="S56" s="677"/>
      <c r="T56" s="677"/>
      <c r="U56" s="677"/>
      <c r="V56" s="678"/>
      <c r="W56" s="182">
        <f>W55</f>
        <v>0</v>
      </c>
      <c r="X56" s="182">
        <f>W56-Q56</f>
        <v>0</v>
      </c>
      <c r="Y56" s="183" t="e">
        <f>W56/Q56</f>
        <v>#DIV/0!</v>
      </c>
      <c r="Z56" s="192" t="e">
        <f>IF(Y56&gt;=1,3500000,IF(Y56&gt;=0.9,2500000,0))</f>
        <v>#DIV/0!</v>
      </c>
    </row>
    <row r="57" spans="1:26" ht="15" thickBot="1" x14ac:dyDescent="0.4">
      <c r="C57" s="210" t="e">
        <f>C56/C55</f>
        <v>#DIV/0!</v>
      </c>
      <c r="Q57" s="210" t="e">
        <f>Q56/Q55</f>
        <v>#DIV/0!</v>
      </c>
    </row>
    <row r="58" spans="1:26" ht="19.5" customHeight="1" x14ac:dyDescent="0.35">
      <c r="A58" s="626">
        <v>6</v>
      </c>
      <c r="B58" s="352" t="s">
        <v>57</v>
      </c>
      <c r="C58" s="353" t="s">
        <v>34</v>
      </c>
      <c r="D58" s="681" t="s">
        <v>91</v>
      </c>
      <c r="E58" s="616" t="s">
        <v>62</v>
      </c>
      <c r="F58" s="604" t="s">
        <v>112</v>
      </c>
      <c r="G58" s="605"/>
      <c r="H58" s="605"/>
      <c r="I58" s="606"/>
      <c r="J58" s="587" t="s">
        <v>65</v>
      </c>
      <c r="K58" s="352" t="s">
        <v>66</v>
      </c>
      <c r="O58" s="618">
        <v>6</v>
      </c>
      <c r="P58" s="354" t="s">
        <v>57</v>
      </c>
      <c r="Q58" s="355" t="s">
        <v>51</v>
      </c>
      <c r="R58" s="679" t="s">
        <v>91</v>
      </c>
      <c r="S58" s="591" t="s">
        <v>62</v>
      </c>
      <c r="T58" s="610" t="s">
        <v>112</v>
      </c>
      <c r="U58" s="611"/>
      <c r="V58" s="611"/>
      <c r="W58" s="612"/>
      <c r="X58" s="603" t="s">
        <v>65</v>
      </c>
      <c r="Y58" s="354" t="s">
        <v>66</v>
      </c>
    </row>
    <row r="59" spans="1:26" ht="36" customHeight="1" x14ac:dyDescent="0.35">
      <c r="A59" s="626"/>
      <c r="B59" s="352" t="s">
        <v>93</v>
      </c>
      <c r="C59" s="353" t="str">
        <f>C48</f>
        <v>TARGET 100%</v>
      </c>
      <c r="D59" s="682"/>
      <c r="E59" s="617"/>
      <c r="F59" s="163" t="str">
        <f>F4</f>
        <v>OMSET DEC
 (1-1)</v>
      </c>
      <c r="G59" s="163" t="str">
        <f>G4</f>
        <v>OMSET PRODUK</v>
      </c>
      <c r="H59" s="353" t="s">
        <v>63</v>
      </c>
      <c r="I59" s="353" t="s">
        <v>64</v>
      </c>
      <c r="J59" s="587"/>
      <c r="K59" s="164">
        <f>K48</f>
        <v>3.2258064516129031E-2</v>
      </c>
      <c r="O59" s="619"/>
      <c r="P59" s="354" t="s">
        <v>93</v>
      </c>
      <c r="Q59" s="355" t="str">
        <f>Q48</f>
        <v>TARGET 100%</v>
      </c>
      <c r="R59" s="680"/>
      <c r="S59" s="592"/>
      <c r="T59" s="200" t="str">
        <f>T4</f>
        <v>OMSET DEC
 (1-1)</v>
      </c>
      <c r="U59" s="200" t="str">
        <f>G4</f>
        <v>OMSET PRODUK</v>
      </c>
      <c r="V59" s="355" t="s">
        <v>63</v>
      </c>
      <c r="W59" s="355" t="s">
        <v>64</v>
      </c>
      <c r="X59" s="603"/>
      <c r="Y59" s="201">
        <f>K59</f>
        <v>3.2258064516129031E-2</v>
      </c>
    </row>
    <row r="60" spans="1:26" ht="14.5" customHeight="1" x14ac:dyDescent="0.35">
      <c r="A60" s="626"/>
      <c r="B60" s="165" t="s">
        <v>96</v>
      </c>
      <c r="C60" s="166"/>
      <c r="D60" s="167"/>
      <c r="E60" s="168"/>
      <c r="F60" s="169"/>
      <c r="G60" s="170"/>
      <c r="H60" s="166"/>
      <c r="I60" s="166">
        <f t="shared" ref="I60:I66" si="50">F60-G60</f>
        <v>0</v>
      </c>
      <c r="J60" s="171">
        <f t="shared" ref="J60:J66" si="51">I60-C60</f>
        <v>0</v>
      </c>
      <c r="K60" s="172" t="e">
        <f t="shared" ref="K60:K67" si="52">I60/C60</f>
        <v>#DIV/0!</v>
      </c>
      <c r="L60" s="192" t="e">
        <f t="shared" ref="L60:L65" si="53">IF(K60&gt;120%, I60*0.55%, IF(K60&gt;100%, I60*0.45%, IF(K60&gt;80%, I60*0.35%, IF(K60&gt;60%, I60*0.2%, 0))))</f>
        <v>#DIV/0!</v>
      </c>
      <c r="O60" s="619"/>
      <c r="P60" s="165" t="s">
        <v>96</v>
      </c>
      <c r="Q60" s="166"/>
      <c r="R60" s="167"/>
      <c r="S60" s="168"/>
      <c r="T60" s="169"/>
      <c r="U60" s="170"/>
      <c r="V60" s="166"/>
      <c r="W60" s="166">
        <f t="shared" ref="W60:W66" si="54">T60-U60</f>
        <v>0</v>
      </c>
      <c r="X60" s="171">
        <f t="shared" ref="X60:X66" si="55">W60-Q60</f>
        <v>0</v>
      </c>
      <c r="Y60" s="172" t="e">
        <f t="shared" ref="Y60:Y66" si="56">W60/Q60</f>
        <v>#DIV/0!</v>
      </c>
      <c r="Z60" s="192" t="e">
        <f t="shared" ref="Z60:Z65" si="57">IF(Y60&gt;120%, W60*0.55%, IF(Y60&gt;100%, W60*0.45%, IF(Y60&gt;80%, W60*0.35%, IF(Y60&gt;60%, W60*0.2%, 0))))</f>
        <v>#DIV/0!</v>
      </c>
    </row>
    <row r="61" spans="1:26" ht="14.5" customHeight="1" x14ac:dyDescent="0.35">
      <c r="A61" s="626"/>
      <c r="B61" s="165" t="s">
        <v>97</v>
      </c>
      <c r="C61" s="173"/>
      <c r="D61" s="167"/>
      <c r="E61" s="168"/>
      <c r="F61" s="169"/>
      <c r="G61" s="174"/>
      <c r="H61" s="173"/>
      <c r="I61" s="166">
        <f t="shared" si="50"/>
        <v>0</v>
      </c>
      <c r="J61" s="171">
        <f t="shared" si="51"/>
        <v>0</v>
      </c>
      <c r="K61" s="172" t="e">
        <f t="shared" si="52"/>
        <v>#DIV/0!</v>
      </c>
      <c r="L61" s="192" t="e">
        <f t="shared" si="53"/>
        <v>#DIV/0!</v>
      </c>
      <c r="O61" s="619"/>
      <c r="P61" s="165" t="s">
        <v>97</v>
      </c>
      <c r="Q61" s="173"/>
      <c r="R61" s="167"/>
      <c r="S61" s="168"/>
      <c r="T61" s="169"/>
      <c r="U61" s="174"/>
      <c r="V61" s="173"/>
      <c r="W61" s="166">
        <f t="shared" si="54"/>
        <v>0</v>
      </c>
      <c r="X61" s="171">
        <f t="shared" si="55"/>
        <v>0</v>
      </c>
      <c r="Y61" s="172" t="e">
        <f>W61/Q61</f>
        <v>#DIV/0!</v>
      </c>
      <c r="Z61" s="192" t="e">
        <f t="shared" si="57"/>
        <v>#DIV/0!</v>
      </c>
    </row>
    <row r="62" spans="1:26" ht="14.5" customHeight="1" x14ac:dyDescent="0.35">
      <c r="A62" s="626"/>
      <c r="B62" s="165" t="s">
        <v>98</v>
      </c>
      <c r="C62" s="173"/>
      <c r="D62" s="167"/>
      <c r="E62" s="168"/>
      <c r="F62" s="169"/>
      <c r="G62" s="170"/>
      <c r="H62" s="173"/>
      <c r="I62" s="166">
        <f t="shared" si="50"/>
        <v>0</v>
      </c>
      <c r="J62" s="171">
        <f t="shared" si="51"/>
        <v>0</v>
      </c>
      <c r="K62" s="172" t="e">
        <f t="shared" si="52"/>
        <v>#DIV/0!</v>
      </c>
      <c r="L62" s="192" t="e">
        <f t="shared" si="53"/>
        <v>#DIV/0!</v>
      </c>
      <c r="O62" s="619"/>
      <c r="P62" s="165" t="s">
        <v>98</v>
      </c>
      <c r="Q62" s="173"/>
      <c r="R62" s="167"/>
      <c r="S62" s="168"/>
      <c r="T62" s="169"/>
      <c r="U62" s="170"/>
      <c r="V62" s="173"/>
      <c r="W62" s="166">
        <f t="shared" si="54"/>
        <v>0</v>
      </c>
      <c r="X62" s="171">
        <f t="shared" si="55"/>
        <v>0</v>
      </c>
      <c r="Y62" s="172" t="e">
        <f t="shared" si="56"/>
        <v>#DIV/0!</v>
      </c>
      <c r="Z62" s="192" t="e">
        <f t="shared" si="57"/>
        <v>#DIV/0!</v>
      </c>
    </row>
    <row r="63" spans="1:26" ht="14.5" customHeight="1" x14ac:dyDescent="0.35">
      <c r="A63" s="626"/>
      <c r="B63" s="165" t="s">
        <v>99</v>
      </c>
      <c r="C63" s="173"/>
      <c r="D63" s="167"/>
      <c r="E63" s="168"/>
      <c r="F63" s="169"/>
      <c r="G63" s="170"/>
      <c r="H63" s="173"/>
      <c r="I63" s="166">
        <f t="shared" si="50"/>
        <v>0</v>
      </c>
      <c r="J63" s="171">
        <f t="shared" si="51"/>
        <v>0</v>
      </c>
      <c r="K63" s="172" t="e">
        <f t="shared" si="52"/>
        <v>#DIV/0!</v>
      </c>
      <c r="L63" s="192" t="e">
        <f t="shared" si="53"/>
        <v>#DIV/0!</v>
      </c>
      <c r="O63" s="619"/>
      <c r="P63" s="165" t="s">
        <v>99</v>
      </c>
      <c r="Q63" s="173"/>
      <c r="R63" s="167"/>
      <c r="S63" s="168"/>
      <c r="T63" s="169"/>
      <c r="U63" s="170"/>
      <c r="V63" s="173"/>
      <c r="W63" s="166">
        <f t="shared" si="54"/>
        <v>0</v>
      </c>
      <c r="X63" s="171">
        <f t="shared" si="55"/>
        <v>0</v>
      </c>
      <c r="Y63" s="172" t="e">
        <f t="shared" si="56"/>
        <v>#DIV/0!</v>
      </c>
      <c r="Z63" s="192" t="e">
        <f t="shared" si="57"/>
        <v>#DIV/0!</v>
      </c>
    </row>
    <row r="64" spans="1:26" ht="14.5" customHeight="1" x14ac:dyDescent="0.35">
      <c r="A64" s="626"/>
      <c r="B64" s="165" t="s">
        <v>100</v>
      </c>
      <c r="C64" s="173"/>
      <c r="D64" s="167"/>
      <c r="E64" s="168"/>
      <c r="F64" s="169"/>
      <c r="G64" s="170"/>
      <c r="H64" s="173"/>
      <c r="I64" s="166">
        <f t="shared" si="50"/>
        <v>0</v>
      </c>
      <c r="J64" s="171">
        <f t="shared" si="51"/>
        <v>0</v>
      </c>
      <c r="K64" s="172" t="e">
        <f t="shared" si="52"/>
        <v>#DIV/0!</v>
      </c>
      <c r="L64" s="192" t="e">
        <f t="shared" si="53"/>
        <v>#DIV/0!</v>
      </c>
      <c r="O64" s="619"/>
      <c r="P64" s="165" t="s">
        <v>100</v>
      </c>
      <c r="Q64" s="173"/>
      <c r="R64" s="167"/>
      <c r="S64" s="168"/>
      <c r="T64" s="169"/>
      <c r="U64" s="170"/>
      <c r="V64" s="173"/>
      <c r="W64" s="166">
        <f t="shared" si="54"/>
        <v>0</v>
      </c>
      <c r="X64" s="171">
        <f t="shared" si="55"/>
        <v>0</v>
      </c>
      <c r="Y64" s="172" t="e">
        <f t="shared" si="56"/>
        <v>#DIV/0!</v>
      </c>
      <c r="Z64" s="192" t="e">
        <f t="shared" si="57"/>
        <v>#DIV/0!</v>
      </c>
    </row>
    <row r="65" spans="1:26" ht="14.5" customHeight="1" x14ac:dyDescent="0.35">
      <c r="A65" s="626"/>
      <c r="B65" s="165" t="s">
        <v>101</v>
      </c>
      <c r="C65" s="173"/>
      <c r="D65" s="167"/>
      <c r="E65" s="168"/>
      <c r="F65" s="169"/>
      <c r="G65" s="170"/>
      <c r="H65" s="173"/>
      <c r="I65" s="166">
        <f t="shared" si="50"/>
        <v>0</v>
      </c>
      <c r="J65" s="171">
        <f t="shared" si="51"/>
        <v>0</v>
      </c>
      <c r="K65" s="172" t="e">
        <f t="shared" si="52"/>
        <v>#DIV/0!</v>
      </c>
      <c r="L65" s="192" t="e">
        <f t="shared" si="53"/>
        <v>#DIV/0!</v>
      </c>
      <c r="O65" s="619"/>
      <c r="P65" s="165" t="s">
        <v>101</v>
      </c>
      <c r="Q65" s="173"/>
      <c r="R65" s="167"/>
      <c r="S65" s="168"/>
      <c r="T65" s="169"/>
      <c r="U65" s="170"/>
      <c r="V65" s="173"/>
      <c r="W65" s="166">
        <f t="shared" si="54"/>
        <v>0</v>
      </c>
      <c r="X65" s="171">
        <f t="shared" si="55"/>
        <v>0</v>
      </c>
      <c r="Y65" s="172" t="e">
        <f t="shared" si="56"/>
        <v>#DIV/0!</v>
      </c>
      <c r="Z65" s="192" t="e">
        <f t="shared" si="57"/>
        <v>#DIV/0!</v>
      </c>
    </row>
    <row r="66" spans="1:26" ht="15" customHeight="1" thickBot="1" x14ac:dyDescent="0.4">
      <c r="A66" s="626"/>
      <c r="B66" s="175" t="s">
        <v>77</v>
      </c>
      <c r="C66" s="176">
        <f t="shared" ref="C66:H66" si="58">SUM(C60:C65)</f>
        <v>0</v>
      </c>
      <c r="D66" s="177">
        <f t="shared" si="58"/>
        <v>0</v>
      </c>
      <c r="E66" s="178">
        <f t="shared" si="58"/>
        <v>0</v>
      </c>
      <c r="F66" s="176">
        <f t="shared" si="58"/>
        <v>0</v>
      </c>
      <c r="G66" s="179">
        <f t="shared" si="58"/>
        <v>0</v>
      </c>
      <c r="H66" s="176">
        <f t="shared" si="58"/>
        <v>0</v>
      </c>
      <c r="I66" s="176">
        <f t="shared" si="50"/>
        <v>0</v>
      </c>
      <c r="J66" s="176">
        <f t="shared" si="51"/>
        <v>0</v>
      </c>
      <c r="K66" s="180" t="e">
        <f t="shared" si="52"/>
        <v>#DIV/0!</v>
      </c>
      <c r="L66" s="197" t="e">
        <f>SUM(L60:L65)</f>
        <v>#DIV/0!</v>
      </c>
      <c r="O66" s="620"/>
      <c r="P66" s="204" t="s">
        <v>77</v>
      </c>
      <c r="Q66" s="205">
        <f t="shared" ref="Q66:V66" si="59">SUM(Q60:Q65)</f>
        <v>0</v>
      </c>
      <c r="R66" s="206">
        <f>SUM(R60:R65)</f>
        <v>0</v>
      </c>
      <c r="S66" s="207">
        <f t="shared" si="59"/>
        <v>0</v>
      </c>
      <c r="T66" s="205">
        <f t="shared" si="59"/>
        <v>0</v>
      </c>
      <c r="U66" s="208">
        <f t="shared" si="59"/>
        <v>0</v>
      </c>
      <c r="V66" s="205">
        <f t="shared" si="59"/>
        <v>0</v>
      </c>
      <c r="W66" s="205">
        <f t="shared" si="54"/>
        <v>0</v>
      </c>
      <c r="X66" s="205">
        <f t="shared" si="55"/>
        <v>0</v>
      </c>
      <c r="Y66" s="209" t="e">
        <f t="shared" si="56"/>
        <v>#DIV/0!</v>
      </c>
      <c r="Z66" s="197" t="e">
        <f>SUM(Z60:Z65)</f>
        <v>#DIV/0!</v>
      </c>
    </row>
    <row r="67" spans="1:26" x14ac:dyDescent="0.35">
      <c r="B67" s="181" t="str">
        <f>$B$12</f>
        <v>TARGET Q4</v>
      </c>
      <c r="C67" s="182"/>
      <c r="D67" s="676"/>
      <c r="E67" s="677"/>
      <c r="F67" s="677"/>
      <c r="G67" s="677"/>
      <c r="H67" s="678"/>
      <c r="I67" s="182">
        <f>I66</f>
        <v>0</v>
      </c>
      <c r="J67" s="182">
        <f>I67-C67</f>
        <v>0</v>
      </c>
      <c r="K67" s="183" t="e">
        <f t="shared" si="52"/>
        <v>#DIV/0!</v>
      </c>
      <c r="L67" s="192" t="e">
        <f>IF(K67&gt;=1,3500000,IF(K67&gt;=0.9,2500000,0))</f>
        <v>#DIV/0!</v>
      </c>
      <c r="P67" s="181" t="str">
        <f>$B$12</f>
        <v>TARGET Q4</v>
      </c>
      <c r="Q67" s="182"/>
      <c r="R67" s="676"/>
      <c r="S67" s="677"/>
      <c r="T67" s="677"/>
      <c r="U67" s="677"/>
      <c r="V67" s="678"/>
      <c r="W67" s="182">
        <f>W66</f>
        <v>0</v>
      </c>
      <c r="X67" s="182">
        <f>W67-Q67</f>
        <v>0</v>
      </c>
      <c r="Y67" s="183" t="e">
        <f>W67/Q67</f>
        <v>#DIV/0!</v>
      </c>
      <c r="Z67" s="192" t="e">
        <f>IF(Y67&gt;=1,3500000,IF(Y67&gt;=0.9,2500000,0))</f>
        <v>#DIV/0!</v>
      </c>
    </row>
    <row r="68" spans="1:26" ht="15" thickBot="1" x14ac:dyDescent="0.4">
      <c r="C68" s="210" t="e">
        <f>C67/C66</f>
        <v>#DIV/0!</v>
      </c>
      <c r="Q68" s="210" t="e">
        <f>Q67/Q66</f>
        <v>#DIV/0!</v>
      </c>
    </row>
    <row r="69" spans="1:26" ht="19.5" customHeight="1" x14ac:dyDescent="0.35">
      <c r="A69" s="623">
        <v>7</v>
      </c>
      <c r="B69" s="352" t="s">
        <v>57</v>
      </c>
      <c r="C69" s="353" t="s">
        <v>41</v>
      </c>
      <c r="D69" s="681" t="s">
        <v>91</v>
      </c>
      <c r="E69" s="616" t="s">
        <v>62</v>
      </c>
      <c r="F69" s="604" t="s">
        <v>114</v>
      </c>
      <c r="G69" s="605"/>
      <c r="H69" s="605"/>
      <c r="I69" s="606"/>
      <c r="J69" s="587" t="s">
        <v>65</v>
      </c>
      <c r="K69" s="352" t="s">
        <v>66</v>
      </c>
      <c r="O69" s="607">
        <v>7</v>
      </c>
      <c r="P69" s="354" t="s">
        <v>57</v>
      </c>
      <c r="Q69" s="355" t="s">
        <v>115</v>
      </c>
      <c r="R69" s="679" t="s">
        <v>91</v>
      </c>
      <c r="S69" s="591" t="s">
        <v>62</v>
      </c>
      <c r="T69" s="610" t="s">
        <v>114</v>
      </c>
      <c r="U69" s="611"/>
      <c r="V69" s="611"/>
      <c r="W69" s="612"/>
      <c r="X69" s="603" t="s">
        <v>65</v>
      </c>
      <c r="Y69" s="354" t="s">
        <v>66</v>
      </c>
    </row>
    <row r="70" spans="1:26" ht="36" customHeight="1" x14ac:dyDescent="0.35">
      <c r="A70" s="623"/>
      <c r="B70" s="352" t="s">
        <v>93</v>
      </c>
      <c r="C70" s="353" t="str">
        <f>C59</f>
        <v>TARGET 100%</v>
      </c>
      <c r="D70" s="682"/>
      <c r="E70" s="617"/>
      <c r="F70" s="163" t="str">
        <f>F4</f>
        <v>OMSET DEC
 (1-1)</v>
      </c>
      <c r="G70" s="163" t="str">
        <f>G4</f>
        <v>OMSET PRODUK</v>
      </c>
      <c r="H70" s="353" t="s">
        <v>63</v>
      </c>
      <c r="I70" s="353" t="s">
        <v>64</v>
      </c>
      <c r="J70" s="587"/>
      <c r="K70" s="164">
        <f>K59</f>
        <v>3.2258064516129031E-2</v>
      </c>
      <c r="O70" s="608"/>
      <c r="P70" s="354" t="s">
        <v>93</v>
      </c>
      <c r="Q70" s="355" t="str">
        <f>Q59</f>
        <v>TARGET 100%</v>
      </c>
      <c r="R70" s="680"/>
      <c r="S70" s="592"/>
      <c r="T70" s="200" t="str">
        <f>T4</f>
        <v>OMSET DEC
 (1-1)</v>
      </c>
      <c r="U70" s="200" t="str">
        <f>G4</f>
        <v>OMSET PRODUK</v>
      </c>
      <c r="V70" s="355" t="s">
        <v>63</v>
      </c>
      <c r="W70" s="355" t="s">
        <v>64</v>
      </c>
      <c r="X70" s="603"/>
      <c r="Y70" s="201">
        <f>K70</f>
        <v>3.2258064516129031E-2</v>
      </c>
    </row>
    <row r="71" spans="1:26" ht="14.5" customHeight="1" x14ac:dyDescent="0.35">
      <c r="A71" s="623"/>
      <c r="B71" s="165" t="s">
        <v>96</v>
      </c>
      <c r="C71" s="166"/>
      <c r="D71" s="167"/>
      <c r="E71" s="168"/>
      <c r="F71" s="169"/>
      <c r="G71" s="170"/>
      <c r="H71" s="166"/>
      <c r="I71" s="166">
        <f t="shared" ref="I71:I77" si="60">F71-G71</f>
        <v>0</v>
      </c>
      <c r="J71" s="171">
        <f t="shared" ref="J71:J77" si="61">I71-C71</f>
        <v>0</v>
      </c>
      <c r="K71" s="172" t="e">
        <f t="shared" ref="K71:K78" si="62">I71/C71</f>
        <v>#DIV/0!</v>
      </c>
      <c r="L71" s="192" t="e">
        <f t="shared" ref="L71:L76" si="63">IF(K71&gt;120%, I71*0.55%, IF(K71&gt;100%, I71*0.45%, IF(K71&gt;80%, I71*0.35%, IF(K71&gt;60%, I71*0.2%, 0))))</f>
        <v>#DIV/0!</v>
      </c>
      <c r="M71" s="191"/>
      <c r="N71" s="191"/>
      <c r="O71" s="608"/>
      <c r="P71" s="165" t="s">
        <v>96</v>
      </c>
      <c r="Q71" s="166"/>
      <c r="R71" s="167"/>
      <c r="S71" s="168"/>
      <c r="T71" s="169"/>
      <c r="U71" s="170"/>
      <c r="V71" s="166"/>
      <c r="W71" s="166">
        <f>T71-U71</f>
        <v>0</v>
      </c>
      <c r="X71" s="171">
        <f t="shared" ref="X71:X77" si="64">W71-Q71</f>
        <v>0</v>
      </c>
      <c r="Y71" s="172" t="e">
        <f t="shared" ref="Y71:Y77" si="65">W71/Q71</f>
        <v>#DIV/0!</v>
      </c>
      <c r="Z71" s="192" t="e">
        <f t="shared" ref="Z71:Z76" si="66">IF(Y71&gt;120%, W71*0.55%, IF(Y71&gt;100%, W71*0.45%, IF(Y71&gt;80%, W71*0.35%, IF(Y71&gt;60%, W71*0.2%, 0))))</f>
        <v>#DIV/0!</v>
      </c>
    </row>
    <row r="72" spans="1:26" ht="14.5" customHeight="1" x14ac:dyDescent="0.35">
      <c r="A72" s="623"/>
      <c r="B72" s="165" t="s">
        <v>97</v>
      </c>
      <c r="C72" s="173"/>
      <c r="D72" s="167"/>
      <c r="E72" s="168"/>
      <c r="F72" s="169"/>
      <c r="G72" s="174"/>
      <c r="H72" s="173"/>
      <c r="I72" s="166">
        <f t="shared" si="60"/>
        <v>0</v>
      </c>
      <c r="J72" s="171">
        <f t="shared" si="61"/>
        <v>0</v>
      </c>
      <c r="K72" s="172" t="e">
        <f t="shared" si="62"/>
        <v>#DIV/0!</v>
      </c>
      <c r="L72" s="192" t="e">
        <f t="shared" si="63"/>
        <v>#DIV/0!</v>
      </c>
      <c r="M72" s="191"/>
      <c r="N72" s="191"/>
      <c r="O72" s="608"/>
      <c r="P72" s="165" t="s">
        <v>97</v>
      </c>
      <c r="Q72" s="173"/>
      <c r="R72" s="167"/>
      <c r="S72" s="168"/>
      <c r="T72" s="169"/>
      <c r="U72" s="174"/>
      <c r="V72" s="173"/>
      <c r="W72" s="166">
        <f t="shared" ref="W72:W77" si="67">T72-U72</f>
        <v>0</v>
      </c>
      <c r="X72" s="171">
        <f t="shared" si="64"/>
        <v>0</v>
      </c>
      <c r="Y72" s="172" t="e">
        <f t="shared" si="65"/>
        <v>#DIV/0!</v>
      </c>
      <c r="Z72" s="192" t="e">
        <f t="shared" si="66"/>
        <v>#DIV/0!</v>
      </c>
    </row>
    <row r="73" spans="1:26" ht="14.5" customHeight="1" x14ac:dyDescent="0.35">
      <c r="A73" s="623"/>
      <c r="B73" s="165" t="s">
        <v>98</v>
      </c>
      <c r="C73" s="173"/>
      <c r="D73" s="167"/>
      <c r="E73" s="168"/>
      <c r="F73" s="169"/>
      <c r="G73" s="170"/>
      <c r="H73" s="173"/>
      <c r="I73" s="166">
        <f t="shared" si="60"/>
        <v>0</v>
      </c>
      <c r="J73" s="171">
        <f t="shared" si="61"/>
        <v>0</v>
      </c>
      <c r="K73" s="172" t="e">
        <f t="shared" si="62"/>
        <v>#DIV/0!</v>
      </c>
      <c r="L73" s="192" t="e">
        <f t="shared" si="63"/>
        <v>#DIV/0!</v>
      </c>
      <c r="M73" s="191"/>
      <c r="N73" s="191"/>
      <c r="O73" s="608"/>
      <c r="P73" s="165" t="s">
        <v>98</v>
      </c>
      <c r="Q73" s="173"/>
      <c r="R73" s="167"/>
      <c r="S73" s="168"/>
      <c r="T73" s="169"/>
      <c r="U73" s="170"/>
      <c r="V73" s="173"/>
      <c r="W73" s="166">
        <f t="shared" si="67"/>
        <v>0</v>
      </c>
      <c r="X73" s="171">
        <f t="shared" si="64"/>
        <v>0</v>
      </c>
      <c r="Y73" s="172" t="e">
        <f t="shared" si="65"/>
        <v>#DIV/0!</v>
      </c>
      <c r="Z73" s="192" t="e">
        <f t="shared" si="66"/>
        <v>#DIV/0!</v>
      </c>
    </row>
    <row r="74" spans="1:26" ht="14.5" customHeight="1" x14ac:dyDescent="0.35">
      <c r="A74" s="623"/>
      <c r="B74" s="165" t="s">
        <v>99</v>
      </c>
      <c r="C74" s="173"/>
      <c r="D74" s="167"/>
      <c r="E74" s="168"/>
      <c r="F74" s="169"/>
      <c r="G74" s="170"/>
      <c r="H74" s="173"/>
      <c r="I74" s="166">
        <f t="shared" si="60"/>
        <v>0</v>
      </c>
      <c r="J74" s="171">
        <f t="shared" si="61"/>
        <v>0</v>
      </c>
      <c r="K74" s="172" t="e">
        <f t="shared" si="62"/>
        <v>#DIV/0!</v>
      </c>
      <c r="L74" s="192" t="e">
        <f t="shared" si="63"/>
        <v>#DIV/0!</v>
      </c>
      <c r="M74" s="191"/>
      <c r="N74" s="191"/>
      <c r="O74" s="608"/>
      <c r="P74" s="165" t="s">
        <v>99</v>
      </c>
      <c r="Q74" s="173"/>
      <c r="R74" s="167"/>
      <c r="S74" s="168"/>
      <c r="T74" s="169"/>
      <c r="U74" s="170"/>
      <c r="V74" s="173"/>
      <c r="W74" s="166">
        <f t="shared" si="67"/>
        <v>0</v>
      </c>
      <c r="X74" s="171">
        <f t="shared" si="64"/>
        <v>0</v>
      </c>
      <c r="Y74" s="172" t="e">
        <f t="shared" si="65"/>
        <v>#DIV/0!</v>
      </c>
      <c r="Z74" s="192" t="e">
        <f t="shared" si="66"/>
        <v>#DIV/0!</v>
      </c>
    </row>
    <row r="75" spans="1:26" ht="14.5" customHeight="1" x14ac:dyDescent="0.35">
      <c r="A75" s="623"/>
      <c r="B75" s="165" t="s">
        <v>100</v>
      </c>
      <c r="C75" s="173"/>
      <c r="D75" s="167"/>
      <c r="E75" s="168"/>
      <c r="F75" s="169"/>
      <c r="G75" s="170"/>
      <c r="H75" s="173"/>
      <c r="I75" s="166">
        <f t="shared" si="60"/>
        <v>0</v>
      </c>
      <c r="J75" s="171">
        <f t="shared" si="61"/>
        <v>0</v>
      </c>
      <c r="K75" s="172" t="e">
        <f t="shared" si="62"/>
        <v>#DIV/0!</v>
      </c>
      <c r="L75" s="192" t="e">
        <f t="shared" si="63"/>
        <v>#DIV/0!</v>
      </c>
      <c r="M75" s="191"/>
      <c r="N75" s="191"/>
      <c r="O75" s="608"/>
      <c r="P75" s="165" t="s">
        <v>100</v>
      </c>
      <c r="Q75" s="173"/>
      <c r="R75" s="167"/>
      <c r="S75" s="168"/>
      <c r="T75" s="169"/>
      <c r="U75" s="170"/>
      <c r="V75" s="173"/>
      <c r="W75" s="166">
        <f t="shared" si="67"/>
        <v>0</v>
      </c>
      <c r="X75" s="171">
        <f t="shared" si="64"/>
        <v>0</v>
      </c>
      <c r="Y75" s="172" t="e">
        <f t="shared" si="65"/>
        <v>#DIV/0!</v>
      </c>
      <c r="Z75" s="192" t="e">
        <f t="shared" si="66"/>
        <v>#DIV/0!</v>
      </c>
    </row>
    <row r="76" spans="1:26" ht="14.5" customHeight="1" x14ac:dyDescent="0.35">
      <c r="A76" s="623"/>
      <c r="B76" s="165" t="s">
        <v>101</v>
      </c>
      <c r="C76" s="173"/>
      <c r="D76" s="167"/>
      <c r="E76" s="168"/>
      <c r="F76" s="169"/>
      <c r="G76" s="170"/>
      <c r="H76" s="173"/>
      <c r="I76" s="166">
        <f t="shared" si="60"/>
        <v>0</v>
      </c>
      <c r="J76" s="171">
        <f t="shared" si="61"/>
        <v>0</v>
      </c>
      <c r="K76" s="172" t="e">
        <f t="shared" si="62"/>
        <v>#DIV/0!</v>
      </c>
      <c r="L76" s="192" t="e">
        <f t="shared" si="63"/>
        <v>#DIV/0!</v>
      </c>
      <c r="M76" s="191"/>
      <c r="N76" s="191"/>
      <c r="O76" s="608"/>
      <c r="P76" s="165" t="s">
        <v>101</v>
      </c>
      <c r="Q76" s="173"/>
      <c r="R76" s="167"/>
      <c r="S76" s="168"/>
      <c r="T76" s="169"/>
      <c r="U76" s="170"/>
      <c r="V76" s="173"/>
      <c r="W76" s="166">
        <f t="shared" si="67"/>
        <v>0</v>
      </c>
      <c r="X76" s="171">
        <f t="shared" si="64"/>
        <v>0</v>
      </c>
      <c r="Y76" s="172" t="e">
        <f t="shared" si="65"/>
        <v>#DIV/0!</v>
      </c>
      <c r="Z76" s="192" t="e">
        <f t="shared" si="66"/>
        <v>#DIV/0!</v>
      </c>
    </row>
    <row r="77" spans="1:26" ht="14.5" customHeight="1" thickBot="1" x14ac:dyDescent="0.4">
      <c r="A77" s="623"/>
      <c r="B77" s="175" t="s">
        <v>77</v>
      </c>
      <c r="C77" s="176">
        <f t="shared" ref="C77:H77" si="68">SUM(C71:C76)</f>
        <v>0</v>
      </c>
      <c r="D77" s="177">
        <f t="shared" si="68"/>
        <v>0</v>
      </c>
      <c r="E77" s="178">
        <f t="shared" si="68"/>
        <v>0</v>
      </c>
      <c r="F77" s="176">
        <f t="shared" si="68"/>
        <v>0</v>
      </c>
      <c r="G77" s="179">
        <f t="shared" si="68"/>
        <v>0</v>
      </c>
      <c r="H77" s="176">
        <f t="shared" si="68"/>
        <v>0</v>
      </c>
      <c r="I77" s="176">
        <f t="shared" si="60"/>
        <v>0</v>
      </c>
      <c r="J77" s="176">
        <f t="shared" si="61"/>
        <v>0</v>
      </c>
      <c r="K77" s="180" t="e">
        <f t="shared" si="62"/>
        <v>#DIV/0!</v>
      </c>
      <c r="L77" s="197" t="e">
        <f>SUM(L71:L76)</f>
        <v>#DIV/0!</v>
      </c>
      <c r="N77" s="191"/>
      <c r="O77" s="609"/>
      <c r="P77" s="204" t="s">
        <v>77</v>
      </c>
      <c r="Q77" s="205">
        <f t="shared" ref="Q77:V77" si="69">SUM(Q71:Q76)</f>
        <v>0</v>
      </c>
      <c r="R77" s="206">
        <f>SUM(R71:R76)</f>
        <v>0</v>
      </c>
      <c r="S77" s="207">
        <f t="shared" si="69"/>
        <v>0</v>
      </c>
      <c r="T77" s="205">
        <f t="shared" si="69"/>
        <v>0</v>
      </c>
      <c r="U77" s="208">
        <f t="shared" si="69"/>
        <v>0</v>
      </c>
      <c r="V77" s="205">
        <f t="shared" si="69"/>
        <v>0</v>
      </c>
      <c r="W77" s="205">
        <f t="shared" si="67"/>
        <v>0</v>
      </c>
      <c r="X77" s="205">
        <f t="shared" si="64"/>
        <v>0</v>
      </c>
      <c r="Y77" s="209" t="e">
        <f t="shared" si="65"/>
        <v>#DIV/0!</v>
      </c>
      <c r="Z77" s="197" t="e">
        <f>SUM(Z71:Z76)</f>
        <v>#DIV/0!</v>
      </c>
    </row>
    <row r="78" spans="1:26" ht="14.5" customHeight="1" x14ac:dyDescent="0.35">
      <c r="B78" s="181" t="str">
        <f>$B$12</f>
        <v>TARGET Q4</v>
      </c>
      <c r="C78" s="182"/>
      <c r="D78" s="676"/>
      <c r="E78" s="677"/>
      <c r="F78" s="677"/>
      <c r="G78" s="677"/>
      <c r="H78" s="678"/>
      <c r="I78" s="182">
        <f>I77</f>
        <v>0</v>
      </c>
      <c r="J78" s="182">
        <f>I78-C78</f>
        <v>0</v>
      </c>
      <c r="K78" s="183" t="e">
        <f t="shared" si="62"/>
        <v>#DIV/0!</v>
      </c>
      <c r="L78" s="192" t="e">
        <f>IF(K78&gt;=1,3500000,IF(K78&gt;=0.9,2500000,0))</f>
        <v>#DIV/0!</v>
      </c>
      <c r="P78" s="181" t="str">
        <f>$B$12</f>
        <v>TARGET Q4</v>
      </c>
      <c r="Q78" s="182"/>
      <c r="R78" s="676"/>
      <c r="S78" s="677"/>
      <c r="T78" s="677"/>
      <c r="U78" s="677"/>
      <c r="V78" s="678"/>
      <c r="W78" s="182">
        <f>W77</f>
        <v>0</v>
      </c>
      <c r="X78" s="182">
        <f>W78-Q78</f>
        <v>0</v>
      </c>
      <c r="Y78" s="183" t="e">
        <f>W78/Q78</f>
        <v>#DIV/0!</v>
      </c>
      <c r="Z78" s="192" t="e">
        <f>IF(Y78&gt;=1,3500000,IF(Y78&gt;=0.9,2500000,0))</f>
        <v>#DIV/0!</v>
      </c>
    </row>
    <row r="79" spans="1:26" ht="14.5" customHeight="1" thickBot="1" x14ac:dyDescent="0.4">
      <c r="C79" s="210" t="e">
        <f>C78/C77</f>
        <v>#DIV/0!</v>
      </c>
      <c r="Q79" s="210" t="e">
        <f>Q78/Q77</f>
        <v>#DIV/0!</v>
      </c>
    </row>
    <row r="80" spans="1:26" ht="20.149999999999999" customHeight="1" x14ac:dyDescent="0.35">
      <c r="A80" s="623">
        <v>8</v>
      </c>
      <c r="B80" s="352" t="s">
        <v>57</v>
      </c>
      <c r="C80" s="353" t="s">
        <v>37</v>
      </c>
      <c r="D80" s="681" t="s">
        <v>91</v>
      </c>
      <c r="E80" s="616" t="s">
        <v>62</v>
      </c>
      <c r="F80" s="604" t="s">
        <v>117</v>
      </c>
      <c r="G80" s="605"/>
      <c r="H80" s="605"/>
      <c r="I80" s="606"/>
      <c r="J80" s="587" t="s">
        <v>65</v>
      </c>
      <c r="K80" s="352" t="s">
        <v>66</v>
      </c>
      <c r="O80" s="607">
        <v>8</v>
      </c>
      <c r="P80" s="354" t="s">
        <v>57</v>
      </c>
      <c r="Q80" s="355" t="s">
        <v>55</v>
      </c>
      <c r="R80" s="679" t="s">
        <v>91</v>
      </c>
      <c r="S80" s="591" t="s">
        <v>62</v>
      </c>
      <c r="T80" s="610" t="s">
        <v>117</v>
      </c>
      <c r="U80" s="611"/>
      <c r="V80" s="611"/>
      <c r="W80" s="612"/>
      <c r="X80" s="603" t="s">
        <v>65</v>
      </c>
      <c r="Y80" s="354" t="s">
        <v>66</v>
      </c>
    </row>
    <row r="81" spans="1:26" ht="33" customHeight="1" x14ac:dyDescent="0.35">
      <c r="A81" s="623"/>
      <c r="B81" s="352" t="s">
        <v>93</v>
      </c>
      <c r="C81" s="353" t="str">
        <f>C70</f>
        <v>TARGET 100%</v>
      </c>
      <c r="D81" s="682"/>
      <c r="E81" s="617"/>
      <c r="F81" s="163" t="str">
        <f>F4</f>
        <v>OMSET DEC
 (1-1)</v>
      </c>
      <c r="G81" s="163" t="str">
        <f>G4</f>
        <v>OMSET PRODUK</v>
      </c>
      <c r="H81" s="353" t="s">
        <v>63</v>
      </c>
      <c r="I81" s="353" t="s">
        <v>64</v>
      </c>
      <c r="J81" s="587"/>
      <c r="K81" s="164">
        <f>K70</f>
        <v>3.2258064516129031E-2</v>
      </c>
      <c r="O81" s="608"/>
      <c r="P81" s="354" t="s">
        <v>93</v>
      </c>
      <c r="Q81" s="355" t="str">
        <f>Q70</f>
        <v>TARGET 100%</v>
      </c>
      <c r="R81" s="680"/>
      <c r="S81" s="592"/>
      <c r="T81" s="200" t="str">
        <f>T4</f>
        <v>OMSET DEC
 (1-1)</v>
      </c>
      <c r="U81" s="200" t="str">
        <f>G4</f>
        <v>OMSET PRODUK</v>
      </c>
      <c r="V81" s="355" t="s">
        <v>63</v>
      </c>
      <c r="W81" s="355" t="s">
        <v>64</v>
      </c>
      <c r="X81" s="603"/>
      <c r="Y81" s="201">
        <f>K81</f>
        <v>3.2258064516129031E-2</v>
      </c>
    </row>
    <row r="82" spans="1:26" ht="14.5" customHeight="1" x14ac:dyDescent="0.35">
      <c r="A82" s="623"/>
      <c r="B82" s="165" t="s">
        <v>96</v>
      </c>
      <c r="C82" s="166"/>
      <c r="D82" s="167"/>
      <c r="E82" s="168"/>
      <c r="F82" s="169"/>
      <c r="G82" s="170"/>
      <c r="H82" s="166"/>
      <c r="I82" s="166">
        <f>F82-G82</f>
        <v>0</v>
      </c>
      <c r="J82" s="171">
        <f t="shared" ref="J82:J88" si="70">I82-C82</f>
        <v>0</v>
      </c>
      <c r="K82" s="172" t="e">
        <f t="shared" ref="K82:K89" si="71">I82/C82</f>
        <v>#DIV/0!</v>
      </c>
      <c r="L82" s="192" t="e">
        <f t="shared" ref="L82:L87" si="72">IF(K82&gt;120%, I82*0.55%, IF(K82&gt;100%, I82*0.45%, IF(K82&gt;80%, I82*0.35%, IF(K82&gt;60%, I82*0.2%, 0))))</f>
        <v>#DIV/0!</v>
      </c>
      <c r="O82" s="608"/>
      <c r="P82" s="165" t="s">
        <v>96</v>
      </c>
      <c r="Q82" s="166"/>
      <c r="R82" s="167"/>
      <c r="S82" s="168"/>
      <c r="T82" s="169"/>
      <c r="U82" s="170"/>
      <c r="V82" s="166"/>
      <c r="W82" s="166">
        <f t="shared" ref="W82:W88" si="73">T82-U82</f>
        <v>0</v>
      </c>
      <c r="X82" s="171">
        <f t="shared" ref="X82:X87" si="74">T82-Q82</f>
        <v>0</v>
      </c>
      <c r="Y82" s="172" t="e">
        <f t="shared" ref="Y82:Y88" si="75">W82/Q82</f>
        <v>#DIV/0!</v>
      </c>
      <c r="Z82" s="192" t="e">
        <f t="shared" ref="Z82:Z87" si="76">IF(Y82&gt;120%, W82*0.55%, IF(Y82&gt;100%, W82*0.45%, IF(Y82&gt;80%, W82*0.35%, IF(Y82&gt;60%, W82*0.2%, 0))))</f>
        <v>#DIV/0!</v>
      </c>
    </row>
    <row r="83" spans="1:26" ht="16" customHeight="1" x14ac:dyDescent="0.35">
      <c r="A83" s="623"/>
      <c r="B83" s="165" t="s">
        <v>97</v>
      </c>
      <c r="C83" s="173"/>
      <c r="D83" s="167"/>
      <c r="E83" s="168"/>
      <c r="F83" s="169"/>
      <c r="G83" s="174"/>
      <c r="H83" s="173"/>
      <c r="I83" s="166">
        <f t="shared" ref="I83:I88" si="77">F83-G83</f>
        <v>0</v>
      </c>
      <c r="J83" s="171">
        <f t="shared" si="70"/>
        <v>0</v>
      </c>
      <c r="K83" s="172" t="e">
        <f t="shared" si="71"/>
        <v>#DIV/0!</v>
      </c>
      <c r="L83" s="192" t="e">
        <f t="shared" si="72"/>
        <v>#DIV/0!</v>
      </c>
      <c r="O83" s="608"/>
      <c r="P83" s="165" t="s">
        <v>97</v>
      </c>
      <c r="Q83" s="173"/>
      <c r="R83" s="167"/>
      <c r="S83" s="168"/>
      <c r="T83" s="169"/>
      <c r="U83" s="174"/>
      <c r="V83" s="173"/>
      <c r="W83" s="166">
        <f t="shared" si="73"/>
        <v>0</v>
      </c>
      <c r="X83" s="171">
        <f t="shared" si="74"/>
        <v>0</v>
      </c>
      <c r="Y83" s="172" t="e">
        <f>W83/Q83</f>
        <v>#DIV/0!</v>
      </c>
      <c r="Z83" s="192" t="e">
        <f t="shared" si="76"/>
        <v>#DIV/0!</v>
      </c>
    </row>
    <row r="84" spans="1:26" ht="14.5" customHeight="1" x14ac:dyDescent="0.35">
      <c r="A84" s="623"/>
      <c r="B84" s="165" t="s">
        <v>98</v>
      </c>
      <c r="C84" s="173"/>
      <c r="D84" s="167"/>
      <c r="E84" s="168"/>
      <c r="F84" s="169"/>
      <c r="G84" s="170"/>
      <c r="H84" s="173"/>
      <c r="I84" s="166">
        <f t="shared" si="77"/>
        <v>0</v>
      </c>
      <c r="J84" s="171">
        <f t="shared" si="70"/>
        <v>0</v>
      </c>
      <c r="K84" s="172" t="e">
        <f t="shared" si="71"/>
        <v>#DIV/0!</v>
      </c>
      <c r="L84" s="192" t="e">
        <f t="shared" si="72"/>
        <v>#DIV/0!</v>
      </c>
      <c r="O84" s="608"/>
      <c r="P84" s="165" t="s">
        <v>98</v>
      </c>
      <c r="Q84" s="173"/>
      <c r="R84" s="167"/>
      <c r="S84" s="168"/>
      <c r="T84" s="169"/>
      <c r="U84" s="170"/>
      <c r="V84" s="173"/>
      <c r="W84" s="166">
        <f t="shared" si="73"/>
        <v>0</v>
      </c>
      <c r="X84" s="171">
        <f t="shared" si="74"/>
        <v>0</v>
      </c>
      <c r="Y84" s="172" t="e">
        <f t="shared" si="75"/>
        <v>#DIV/0!</v>
      </c>
      <c r="Z84" s="192" t="e">
        <f t="shared" si="76"/>
        <v>#DIV/0!</v>
      </c>
    </row>
    <row r="85" spans="1:26" ht="14.5" customHeight="1" x14ac:dyDescent="0.35">
      <c r="A85" s="623"/>
      <c r="B85" s="165" t="s">
        <v>99</v>
      </c>
      <c r="C85" s="173"/>
      <c r="D85" s="167"/>
      <c r="E85" s="168"/>
      <c r="F85" s="169"/>
      <c r="G85" s="170"/>
      <c r="H85" s="173"/>
      <c r="I85" s="166">
        <f t="shared" si="77"/>
        <v>0</v>
      </c>
      <c r="J85" s="171">
        <f t="shared" si="70"/>
        <v>0</v>
      </c>
      <c r="K85" s="172" t="e">
        <f t="shared" si="71"/>
        <v>#DIV/0!</v>
      </c>
      <c r="L85" s="192" t="e">
        <f t="shared" si="72"/>
        <v>#DIV/0!</v>
      </c>
      <c r="O85" s="608"/>
      <c r="P85" s="165" t="s">
        <v>99</v>
      </c>
      <c r="Q85" s="173"/>
      <c r="R85" s="167"/>
      <c r="S85" s="168"/>
      <c r="T85" s="169"/>
      <c r="U85" s="170"/>
      <c r="V85" s="173"/>
      <c r="W85" s="166">
        <f t="shared" si="73"/>
        <v>0</v>
      </c>
      <c r="X85" s="171">
        <f t="shared" si="74"/>
        <v>0</v>
      </c>
      <c r="Y85" s="172" t="e">
        <f t="shared" si="75"/>
        <v>#DIV/0!</v>
      </c>
      <c r="Z85" s="192" t="e">
        <f t="shared" si="76"/>
        <v>#DIV/0!</v>
      </c>
    </row>
    <row r="86" spans="1:26" ht="14.5" customHeight="1" x14ac:dyDescent="0.35">
      <c r="A86" s="623"/>
      <c r="B86" s="165" t="s">
        <v>100</v>
      </c>
      <c r="C86" s="173"/>
      <c r="D86" s="167"/>
      <c r="E86" s="168"/>
      <c r="F86" s="169"/>
      <c r="G86" s="170"/>
      <c r="H86" s="173"/>
      <c r="I86" s="166">
        <f t="shared" si="77"/>
        <v>0</v>
      </c>
      <c r="J86" s="171">
        <f t="shared" si="70"/>
        <v>0</v>
      </c>
      <c r="K86" s="172" t="e">
        <f t="shared" si="71"/>
        <v>#DIV/0!</v>
      </c>
      <c r="L86" s="192" t="e">
        <f t="shared" si="72"/>
        <v>#DIV/0!</v>
      </c>
      <c r="O86" s="608"/>
      <c r="P86" s="165" t="s">
        <v>100</v>
      </c>
      <c r="Q86" s="173"/>
      <c r="R86" s="167"/>
      <c r="S86" s="168"/>
      <c r="T86" s="169"/>
      <c r="U86" s="170"/>
      <c r="V86" s="173"/>
      <c r="W86" s="166">
        <f t="shared" si="73"/>
        <v>0</v>
      </c>
      <c r="X86" s="171">
        <f t="shared" si="74"/>
        <v>0</v>
      </c>
      <c r="Y86" s="172" t="e">
        <f t="shared" si="75"/>
        <v>#DIV/0!</v>
      </c>
      <c r="Z86" s="192" t="e">
        <f t="shared" si="76"/>
        <v>#DIV/0!</v>
      </c>
    </row>
    <row r="87" spans="1:26" ht="14.5" customHeight="1" x14ac:dyDescent="0.35">
      <c r="A87" s="623"/>
      <c r="B87" s="165" t="s">
        <v>101</v>
      </c>
      <c r="C87" s="173"/>
      <c r="D87" s="167"/>
      <c r="E87" s="168"/>
      <c r="F87" s="169"/>
      <c r="G87" s="170"/>
      <c r="H87" s="173"/>
      <c r="I87" s="166">
        <f t="shared" si="77"/>
        <v>0</v>
      </c>
      <c r="J87" s="171">
        <f t="shared" si="70"/>
        <v>0</v>
      </c>
      <c r="K87" s="172" t="e">
        <f t="shared" si="71"/>
        <v>#DIV/0!</v>
      </c>
      <c r="L87" s="192" t="e">
        <f t="shared" si="72"/>
        <v>#DIV/0!</v>
      </c>
      <c r="O87" s="608"/>
      <c r="P87" s="165" t="s">
        <v>101</v>
      </c>
      <c r="Q87" s="173"/>
      <c r="R87" s="167"/>
      <c r="S87" s="168"/>
      <c r="T87" s="169"/>
      <c r="U87" s="170"/>
      <c r="V87" s="173"/>
      <c r="W87" s="166">
        <f t="shared" si="73"/>
        <v>0</v>
      </c>
      <c r="X87" s="171">
        <f t="shared" si="74"/>
        <v>0</v>
      </c>
      <c r="Y87" s="172" t="e">
        <f>W87/Q87</f>
        <v>#DIV/0!</v>
      </c>
      <c r="Z87" s="192" t="e">
        <f t="shared" si="76"/>
        <v>#DIV/0!</v>
      </c>
    </row>
    <row r="88" spans="1:26" ht="14.5" customHeight="1" thickBot="1" x14ac:dyDescent="0.4">
      <c r="A88" s="623"/>
      <c r="B88" s="175" t="s">
        <v>77</v>
      </c>
      <c r="C88" s="176">
        <f t="shared" ref="C88:H88" si="78">SUM(C82:C87)</f>
        <v>0</v>
      </c>
      <c r="D88" s="177">
        <f t="shared" si="78"/>
        <v>0</v>
      </c>
      <c r="E88" s="178">
        <f t="shared" si="78"/>
        <v>0</v>
      </c>
      <c r="F88" s="176">
        <f t="shared" si="78"/>
        <v>0</v>
      </c>
      <c r="G88" s="179">
        <f t="shared" si="78"/>
        <v>0</v>
      </c>
      <c r="H88" s="176">
        <f t="shared" si="78"/>
        <v>0</v>
      </c>
      <c r="I88" s="176">
        <f t="shared" si="77"/>
        <v>0</v>
      </c>
      <c r="J88" s="176">
        <f t="shared" si="70"/>
        <v>0</v>
      </c>
      <c r="K88" s="180" t="e">
        <f>I88/C88</f>
        <v>#DIV/0!</v>
      </c>
      <c r="L88" s="197" t="e">
        <f>SUM(L82:L87)</f>
        <v>#DIV/0!</v>
      </c>
      <c r="O88" s="609"/>
      <c r="P88" s="204" t="s">
        <v>77</v>
      </c>
      <c r="Q88" s="205">
        <f t="shared" ref="Q88:V88" si="79">SUM(Q82:Q87)</f>
        <v>0</v>
      </c>
      <c r="R88" s="206">
        <f>SUM(R82:R87)</f>
        <v>0</v>
      </c>
      <c r="S88" s="207">
        <f t="shared" si="79"/>
        <v>0</v>
      </c>
      <c r="T88" s="205">
        <f t="shared" si="79"/>
        <v>0</v>
      </c>
      <c r="U88" s="208">
        <f t="shared" si="79"/>
        <v>0</v>
      </c>
      <c r="V88" s="205">
        <f t="shared" si="79"/>
        <v>0</v>
      </c>
      <c r="W88" s="205">
        <f t="shared" si="73"/>
        <v>0</v>
      </c>
      <c r="X88" s="205">
        <f>W88-Q88</f>
        <v>0</v>
      </c>
      <c r="Y88" s="209" t="e">
        <f t="shared" si="75"/>
        <v>#DIV/0!</v>
      </c>
      <c r="Z88" s="197" t="e">
        <f>SUM(Z82:Z87)</f>
        <v>#DIV/0!</v>
      </c>
    </row>
    <row r="89" spans="1:26" x14ac:dyDescent="0.35">
      <c r="B89" s="181" t="str">
        <f>$B$12</f>
        <v>TARGET Q4</v>
      </c>
      <c r="C89" s="182"/>
      <c r="D89" s="676"/>
      <c r="E89" s="677"/>
      <c r="F89" s="677"/>
      <c r="G89" s="677"/>
      <c r="H89" s="678"/>
      <c r="I89" s="182">
        <f>I88</f>
        <v>0</v>
      </c>
      <c r="J89" s="182">
        <f>I89-C89</f>
        <v>0</v>
      </c>
      <c r="K89" s="183" t="e">
        <f t="shared" si="71"/>
        <v>#DIV/0!</v>
      </c>
      <c r="L89" s="192" t="e">
        <f>IF(K89&gt;=1,3500000,IF(K89&gt;=0.9,2500000,0))</f>
        <v>#DIV/0!</v>
      </c>
      <c r="P89" s="181" t="str">
        <f>$B$12</f>
        <v>TARGET Q4</v>
      </c>
      <c r="Q89" s="182"/>
      <c r="R89" s="676"/>
      <c r="S89" s="677"/>
      <c r="T89" s="677"/>
      <c r="U89" s="677"/>
      <c r="V89" s="678"/>
      <c r="W89" s="182">
        <f>W88</f>
        <v>0</v>
      </c>
      <c r="X89" s="182">
        <f>W89-Q89</f>
        <v>0</v>
      </c>
      <c r="Y89" s="183" t="e">
        <f>W89/Q89</f>
        <v>#DIV/0!</v>
      </c>
      <c r="Z89" s="192" t="e">
        <f>IF(Y89&gt;=1,3500000,IF(Y89&gt;=0.9,2500000,0))</f>
        <v>#DIV/0!</v>
      </c>
    </row>
    <row r="90" spans="1:26" ht="15" thickBot="1" x14ac:dyDescent="0.4">
      <c r="C90" s="210" t="e">
        <f>C89/C88</f>
        <v>#DIV/0!</v>
      </c>
      <c r="Q90" s="210" t="e">
        <f>Q89/Q88</f>
        <v>#DIV/0!</v>
      </c>
    </row>
    <row r="91" spans="1:26" ht="20.5" customHeight="1" x14ac:dyDescent="0.35">
      <c r="A91" s="624">
        <v>9</v>
      </c>
      <c r="B91" s="352" t="s">
        <v>57</v>
      </c>
      <c r="C91" s="353" t="s">
        <v>43</v>
      </c>
      <c r="D91" s="681" t="s">
        <v>91</v>
      </c>
      <c r="E91" s="616" t="s">
        <v>62</v>
      </c>
      <c r="F91" s="604" t="s">
        <v>119</v>
      </c>
      <c r="G91" s="605"/>
      <c r="H91" s="605"/>
      <c r="I91" s="606"/>
      <c r="J91" s="587" t="s">
        <v>65</v>
      </c>
      <c r="K91" s="352" t="s">
        <v>66</v>
      </c>
      <c r="O91" s="607">
        <v>9</v>
      </c>
      <c r="P91" s="354" t="s">
        <v>57</v>
      </c>
      <c r="Q91" s="355"/>
      <c r="R91" s="679" t="s">
        <v>91</v>
      </c>
      <c r="S91" s="591" t="s">
        <v>62</v>
      </c>
      <c r="T91" s="610" t="s">
        <v>119</v>
      </c>
      <c r="U91" s="611"/>
      <c r="V91" s="611"/>
      <c r="W91" s="612"/>
      <c r="X91" s="603" t="s">
        <v>65</v>
      </c>
      <c r="Y91" s="354" t="s">
        <v>66</v>
      </c>
    </row>
    <row r="92" spans="1:26" ht="33.65" customHeight="1" x14ac:dyDescent="0.35">
      <c r="A92" s="625"/>
      <c r="B92" s="352" t="s">
        <v>93</v>
      </c>
      <c r="C92" s="353" t="str">
        <f>C81</f>
        <v>TARGET 100%</v>
      </c>
      <c r="D92" s="682"/>
      <c r="E92" s="617"/>
      <c r="F92" s="163" t="str">
        <f>F4</f>
        <v>OMSET DEC
 (1-1)</v>
      </c>
      <c r="G92" s="163" t="str">
        <f>G4</f>
        <v>OMSET PRODUK</v>
      </c>
      <c r="H92" s="353" t="s">
        <v>63</v>
      </c>
      <c r="I92" s="353" t="s">
        <v>64</v>
      </c>
      <c r="J92" s="587"/>
      <c r="K92" s="164">
        <f>K81</f>
        <v>3.2258064516129031E-2</v>
      </c>
      <c r="O92" s="608"/>
      <c r="P92" s="354" t="s">
        <v>93</v>
      </c>
      <c r="Q92" s="355" t="str">
        <f>Q81</f>
        <v>TARGET 100%</v>
      </c>
      <c r="R92" s="680"/>
      <c r="S92" s="592"/>
      <c r="T92" s="200" t="str">
        <f>T15</f>
        <v>OMSET DEC
 (1-1)</v>
      </c>
      <c r="U92" s="200" t="str">
        <f>G4</f>
        <v>OMSET PRODUK</v>
      </c>
      <c r="V92" s="355" t="s">
        <v>63</v>
      </c>
      <c r="W92" s="355" t="s">
        <v>64</v>
      </c>
      <c r="X92" s="603"/>
      <c r="Y92" s="201">
        <f>K92</f>
        <v>3.2258064516129031E-2</v>
      </c>
    </row>
    <row r="93" spans="1:26" ht="14.5" customHeight="1" x14ac:dyDescent="0.35">
      <c r="A93" s="625"/>
      <c r="B93" s="165" t="s">
        <v>96</v>
      </c>
      <c r="C93" s="166"/>
      <c r="D93" s="167"/>
      <c r="E93" s="168"/>
      <c r="F93" s="169"/>
      <c r="G93" s="170"/>
      <c r="H93" s="166"/>
      <c r="I93" s="166">
        <f t="shared" ref="I93:I99" si="80">F93-G93</f>
        <v>0</v>
      </c>
      <c r="J93" s="171">
        <f t="shared" ref="J93:J99" si="81">I93-C93</f>
        <v>0</v>
      </c>
      <c r="K93" s="172" t="e">
        <f t="shared" ref="K93:K100" si="82">I93/C93</f>
        <v>#DIV/0!</v>
      </c>
      <c r="L93" s="192" t="e">
        <f t="shared" ref="L93:L98" si="83">IF(K93&gt;120%, I93*0.55%, IF(K93&gt;100%, I93*0.45%, IF(K93&gt;80%, I93*0.35%, IF(K93&gt;60%, I93*0.2%, 0))))</f>
        <v>#DIV/0!</v>
      </c>
      <c r="O93" s="608"/>
      <c r="P93" s="165" t="s">
        <v>96</v>
      </c>
      <c r="Q93" s="166"/>
      <c r="R93" s="167"/>
      <c r="S93" s="168"/>
      <c r="T93" s="169"/>
      <c r="U93" s="170"/>
      <c r="V93" s="166"/>
      <c r="W93" s="166">
        <f t="shared" ref="W93:W99" si="84">T93-U93</f>
        <v>0</v>
      </c>
      <c r="X93" s="171">
        <f t="shared" ref="X93:X98" si="85">T93-Q93</f>
        <v>0</v>
      </c>
      <c r="Y93" s="172" t="e">
        <f t="shared" ref="Y93:Y99" si="86">W93/Q93</f>
        <v>#DIV/0!</v>
      </c>
      <c r="Z93" s="192" t="e">
        <f t="shared" ref="Z93:Z98" si="87">IF(Y93&gt;120%, W93*0.55%, IF(Y93&gt;100%, W93*0.45%, IF(Y93&gt;80%, W93*0.35%, IF(Y93&gt;60%, W93*0.2%, 0))))</f>
        <v>#DIV/0!</v>
      </c>
    </row>
    <row r="94" spans="1:26" ht="14.5" customHeight="1" x14ac:dyDescent="0.35">
      <c r="A94" s="625"/>
      <c r="B94" s="165" t="s">
        <v>97</v>
      </c>
      <c r="C94" s="173"/>
      <c r="D94" s="167"/>
      <c r="E94" s="168"/>
      <c r="F94" s="169"/>
      <c r="G94" s="174"/>
      <c r="H94" s="173"/>
      <c r="I94" s="166">
        <f t="shared" si="80"/>
        <v>0</v>
      </c>
      <c r="J94" s="171">
        <f t="shared" si="81"/>
        <v>0</v>
      </c>
      <c r="K94" s="172" t="e">
        <f t="shared" si="82"/>
        <v>#DIV/0!</v>
      </c>
      <c r="L94" s="192" t="e">
        <f t="shared" si="83"/>
        <v>#DIV/0!</v>
      </c>
      <c r="O94" s="608"/>
      <c r="P94" s="165" t="s">
        <v>97</v>
      </c>
      <c r="Q94" s="173"/>
      <c r="R94" s="167"/>
      <c r="S94" s="168"/>
      <c r="T94" s="169"/>
      <c r="U94" s="174"/>
      <c r="V94" s="173"/>
      <c r="W94" s="166">
        <f t="shared" si="84"/>
        <v>0</v>
      </c>
      <c r="X94" s="171">
        <f t="shared" si="85"/>
        <v>0</v>
      </c>
      <c r="Y94" s="172" t="e">
        <f t="shared" si="86"/>
        <v>#DIV/0!</v>
      </c>
      <c r="Z94" s="192" t="e">
        <f t="shared" si="87"/>
        <v>#DIV/0!</v>
      </c>
    </row>
    <row r="95" spans="1:26" ht="14.5" customHeight="1" x14ac:dyDescent="0.35">
      <c r="A95" s="625"/>
      <c r="B95" s="165" t="s">
        <v>98</v>
      </c>
      <c r="C95" s="173"/>
      <c r="D95" s="167"/>
      <c r="E95" s="168"/>
      <c r="F95" s="169"/>
      <c r="G95" s="170"/>
      <c r="H95" s="173"/>
      <c r="I95" s="166">
        <f>F95-G95</f>
        <v>0</v>
      </c>
      <c r="J95" s="171">
        <f t="shared" si="81"/>
        <v>0</v>
      </c>
      <c r="K95" s="172" t="e">
        <f t="shared" si="82"/>
        <v>#DIV/0!</v>
      </c>
      <c r="L95" s="192" t="e">
        <f t="shared" si="83"/>
        <v>#DIV/0!</v>
      </c>
      <c r="O95" s="608"/>
      <c r="P95" s="165" t="s">
        <v>98</v>
      </c>
      <c r="Q95" s="173"/>
      <c r="R95" s="167"/>
      <c r="S95" s="168"/>
      <c r="T95" s="169"/>
      <c r="U95" s="170"/>
      <c r="V95" s="173"/>
      <c r="W95" s="166">
        <f t="shared" si="84"/>
        <v>0</v>
      </c>
      <c r="X95" s="171">
        <f t="shared" si="85"/>
        <v>0</v>
      </c>
      <c r="Y95" s="172" t="e">
        <f t="shared" si="86"/>
        <v>#DIV/0!</v>
      </c>
      <c r="Z95" s="192" t="e">
        <f t="shared" si="87"/>
        <v>#DIV/0!</v>
      </c>
    </row>
    <row r="96" spans="1:26" ht="14.5" customHeight="1" x14ac:dyDescent="0.35">
      <c r="A96" s="625"/>
      <c r="B96" s="165" t="s">
        <v>99</v>
      </c>
      <c r="C96" s="173"/>
      <c r="D96" s="167"/>
      <c r="E96" s="168"/>
      <c r="F96" s="169"/>
      <c r="G96" s="170"/>
      <c r="H96" s="173"/>
      <c r="I96" s="166">
        <f>F96-G96</f>
        <v>0</v>
      </c>
      <c r="J96" s="171">
        <f t="shared" si="81"/>
        <v>0</v>
      </c>
      <c r="K96" s="172" t="e">
        <f t="shared" si="82"/>
        <v>#DIV/0!</v>
      </c>
      <c r="L96" s="192" t="e">
        <f t="shared" si="83"/>
        <v>#DIV/0!</v>
      </c>
      <c r="O96" s="608"/>
      <c r="P96" s="165" t="s">
        <v>99</v>
      </c>
      <c r="Q96" s="173"/>
      <c r="R96" s="167"/>
      <c r="S96" s="168"/>
      <c r="T96" s="169"/>
      <c r="U96" s="170"/>
      <c r="V96" s="173"/>
      <c r="W96" s="166">
        <f t="shared" si="84"/>
        <v>0</v>
      </c>
      <c r="X96" s="171">
        <f t="shared" si="85"/>
        <v>0</v>
      </c>
      <c r="Y96" s="172" t="e">
        <f t="shared" si="86"/>
        <v>#DIV/0!</v>
      </c>
      <c r="Z96" s="192" t="e">
        <f t="shared" si="87"/>
        <v>#DIV/0!</v>
      </c>
    </row>
    <row r="97" spans="1:27" ht="14.5" customHeight="1" x14ac:dyDescent="0.35">
      <c r="A97" s="625"/>
      <c r="B97" s="165" t="s">
        <v>100</v>
      </c>
      <c r="C97" s="173"/>
      <c r="D97" s="167"/>
      <c r="E97" s="168"/>
      <c r="F97" s="169"/>
      <c r="G97" s="170"/>
      <c r="H97" s="173"/>
      <c r="I97" s="166">
        <f t="shared" si="80"/>
        <v>0</v>
      </c>
      <c r="J97" s="171">
        <f t="shared" si="81"/>
        <v>0</v>
      </c>
      <c r="K97" s="172" t="e">
        <f t="shared" si="82"/>
        <v>#DIV/0!</v>
      </c>
      <c r="L97" s="192" t="e">
        <f t="shared" si="83"/>
        <v>#DIV/0!</v>
      </c>
      <c r="O97" s="608"/>
      <c r="P97" s="165" t="s">
        <v>100</v>
      </c>
      <c r="Q97" s="173"/>
      <c r="R97" s="167"/>
      <c r="S97" s="168"/>
      <c r="T97" s="169"/>
      <c r="U97" s="170"/>
      <c r="V97" s="173"/>
      <c r="W97" s="166">
        <f t="shared" si="84"/>
        <v>0</v>
      </c>
      <c r="X97" s="171">
        <f t="shared" si="85"/>
        <v>0</v>
      </c>
      <c r="Y97" s="172" t="e">
        <f t="shared" si="86"/>
        <v>#DIV/0!</v>
      </c>
      <c r="Z97" s="192" t="e">
        <f t="shared" si="87"/>
        <v>#DIV/0!</v>
      </c>
    </row>
    <row r="98" spans="1:27" ht="14.5" customHeight="1" x14ac:dyDescent="0.35">
      <c r="A98" s="625"/>
      <c r="B98" s="165" t="s">
        <v>101</v>
      </c>
      <c r="C98" s="173"/>
      <c r="D98" s="167"/>
      <c r="E98" s="168"/>
      <c r="F98" s="169"/>
      <c r="G98" s="170"/>
      <c r="H98" s="173"/>
      <c r="I98" s="166">
        <f t="shared" si="80"/>
        <v>0</v>
      </c>
      <c r="J98" s="171">
        <f t="shared" si="81"/>
        <v>0</v>
      </c>
      <c r="K98" s="172" t="e">
        <f t="shared" si="82"/>
        <v>#DIV/0!</v>
      </c>
      <c r="L98" s="192" t="e">
        <f t="shared" si="83"/>
        <v>#DIV/0!</v>
      </c>
      <c r="O98" s="608"/>
      <c r="P98" s="165" t="s">
        <v>101</v>
      </c>
      <c r="Q98" s="173"/>
      <c r="R98" s="167"/>
      <c r="S98" s="168"/>
      <c r="T98" s="169"/>
      <c r="U98" s="170"/>
      <c r="V98" s="173"/>
      <c r="W98" s="166">
        <f t="shared" si="84"/>
        <v>0</v>
      </c>
      <c r="X98" s="171">
        <f t="shared" si="85"/>
        <v>0</v>
      </c>
      <c r="Y98" s="172" t="e">
        <f t="shared" si="86"/>
        <v>#DIV/0!</v>
      </c>
      <c r="Z98" s="192" t="e">
        <f t="shared" si="87"/>
        <v>#DIV/0!</v>
      </c>
    </row>
    <row r="99" spans="1:27" s="187" customFormat="1" ht="14.5" customHeight="1" thickBot="1" x14ac:dyDescent="0.4">
      <c r="A99" s="625"/>
      <c r="B99" s="175" t="s">
        <v>77</v>
      </c>
      <c r="C99" s="176">
        <f t="shared" ref="C99:H99" si="88">SUM(C93:C98)</f>
        <v>0</v>
      </c>
      <c r="D99" s="177">
        <f t="shared" si="88"/>
        <v>0</v>
      </c>
      <c r="E99" s="178">
        <f t="shared" si="88"/>
        <v>0</v>
      </c>
      <c r="F99" s="176">
        <f t="shared" si="88"/>
        <v>0</v>
      </c>
      <c r="G99" s="179">
        <f t="shared" si="88"/>
        <v>0</v>
      </c>
      <c r="H99" s="176">
        <f t="shared" si="88"/>
        <v>0</v>
      </c>
      <c r="I99" s="176">
        <f t="shared" si="80"/>
        <v>0</v>
      </c>
      <c r="J99" s="176">
        <f t="shared" si="81"/>
        <v>0</v>
      </c>
      <c r="K99" s="180" t="e">
        <f t="shared" si="82"/>
        <v>#DIV/0!</v>
      </c>
      <c r="L99" s="197" t="e">
        <f>SUM(L93:L98)</f>
        <v>#DIV/0!</v>
      </c>
      <c r="M99" s="217"/>
      <c r="O99" s="609"/>
      <c r="P99" s="204" t="s">
        <v>77</v>
      </c>
      <c r="Q99" s="205">
        <f t="shared" ref="Q99:V99" si="89">SUM(Q93:Q98)</f>
        <v>0</v>
      </c>
      <c r="R99" s="206">
        <f t="shared" si="89"/>
        <v>0</v>
      </c>
      <c r="S99" s="207">
        <f>SUM(S93:S98)</f>
        <v>0</v>
      </c>
      <c r="T99" s="205">
        <f t="shared" si="89"/>
        <v>0</v>
      </c>
      <c r="U99" s="208">
        <f t="shared" si="89"/>
        <v>0</v>
      </c>
      <c r="V99" s="205">
        <f t="shared" si="89"/>
        <v>0</v>
      </c>
      <c r="W99" s="205">
        <f t="shared" si="84"/>
        <v>0</v>
      </c>
      <c r="X99" s="205">
        <f>W99-Q99</f>
        <v>0</v>
      </c>
      <c r="Y99" s="209" t="e">
        <f t="shared" si="86"/>
        <v>#DIV/0!</v>
      </c>
      <c r="Z99" s="197" t="e">
        <f>SUM(Z93:Z98)</f>
        <v>#DIV/0!</v>
      </c>
      <c r="AA99" s="218"/>
    </row>
    <row r="100" spans="1:27" ht="15" customHeight="1" x14ac:dyDescent="0.35">
      <c r="A100" s="219"/>
      <c r="B100" s="181" t="str">
        <f>$B$12</f>
        <v>TARGET Q4</v>
      </c>
      <c r="C100" s="182"/>
      <c r="D100" s="676"/>
      <c r="E100" s="677"/>
      <c r="F100" s="677"/>
      <c r="G100" s="677"/>
      <c r="H100" s="678"/>
      <c r="I100" s="182">
        <f>I99</f>
        <v>0</v>
      </c>
      <c r="J100" s="182">
        <f>I100-C100</f>
        <v>0</v>
      </c>
      <c r="K100" s="183" t="e">
        <f t="shared" si="82"/>
        <v>#DIV/0!</v>
      </c>
      <c r="L100" s="192" t="e">
        <f>IF(K100&gt;=1,3500000,IF(K100&gt;=0.9,2500000,0))</f>
        <v>#DIV/0!</v>
      </c>
      <c r="P100" s="181" t="str">
        <f>$B$12</f>
        <v>TARGET Q4</v>
      </c>
      <c r="Q100" s="182"/>
      <c r="R100" s="676"/>
      <c r="S100" s="677"/>
      <c r="T100" s="677"/>
      <c r="U100" s="677"/>
      <c r="V100" s="678"/>
      <c r="W100" s="182">
        <f>W99</f>
        <v>0</v>
      </c>
      <c r="X100" s="182">
        <f>W100-Q100</f>
        <v>0</v>
      </c>
      <c r="Y100" s="183" t="e">
        <f>W100/Q100</f>
        <v>#DIV/0!</v>
      </c>
      <c r="Z100" s="192" t="e">
        <f>IF(Y100&gt;=1,3500000,IF(Y100&gt;=0.9,2500000,0))</f>
        <v>#DIV/0!</v>
      </c>
    </row>
    <row r="101" spans="1:27" ht="15" thickBot="1" x14ac:dyDescent="0.4">
      <c r="C101" s="210" t="e">
        <f>C100/C99</f>
        <v>#DIV/0!</v>
      </c>
      <c r="Q101" s="210" t="e">
        <f>Q100/Q99</f>
        <v>#DIV/0!</v>
      </c>
    </row>
    <row r="102" spans="1:27" ht="17.149999999999999" customHeight="1" x14ac:dyDescent="0.35">
      <c r="A102" s="623">
        <v>10</v>
      </c>
      <c r="B102" s="352" t="s">
        <v>57</v>
      </c>
      <c r="C102" s="353"/>
      <c r="D102" s="681" t="s">
        <v>91</v>
      </c>
      <c r="E102" s="616" t="s">
        <v>62</v>
      </c>
      <c r="F102" s="604" t="s">
        <v>121</v>
      </c>
      <c r="G102" s="605"/>
      <c r="H102" s="605"/>
      <c r="I102" s="606"/>
      <c r="J102" s="587" t="s">
        <v>65</v>
      </c>
      <c r="K102" s="352" t="s">
        <v>66</v>
      </c>
      <c r="O102" s="613">
        <v>10</v>
      </c>
      <c r="P102" s="354" t="s">
        <v>57</v>
      </c>
      <c r="Q102" s="355"/>
      <c r="R102" s="679" t="s">
        <v>91</v>
      </c>
      <c r="S102" s="591" t="s">
        <v>62</v>
      </c>
      <c r="T102" s="610" t="s">
        <v>121</v>
      </c>
      <c r="U102" s="611"/>
      <c r="V102" s="611"/>
      <c r="W102" s="612"/>
      <c r="X102" s="603" t="s">
        <v>65</v>
      </c>
      <c r="Y102" s="354" t="s">
        <v>66</v>
      </c>
    </row>
    <row r="103" spans="1:27" ht="37.5" customHeight="1" x14ac:dyDescent="0.35">
      <c r="A103" s="623"/>
      <c r="B103" s="352" t="s">
        <v>93</v>
      </c>
      <c r="C103" s="353" t="str">
        <f>C92</f>
        <v>TARGET 100%</v>
      </c>
      <c r="D103" s="682"/>
      <c r="E103" s="617"/>
      <c r="F103" s="163" t="str">
        <f>F4</f>
        <v>OMSET DEC
 (1-1)</v>
      </c>
      <c r="G103" s="163" t="str">
        <f>G4</f>
        <v>OMSET PRODUK</v>
      </c>
      <c r="H103" s="353" t="s">
        <v>63</v>
      </c>
      <c r="I103" s="353" t="s">
        <v>64</v>
      </c>
      <c r="J103" s="587"/>
      <c r="K103" s="164">
        <f>K92</f>
        <v>3.2258064516129031E-2</v>
      </c>
      <c r="O103" s="614"/>
      <c r="P103" s="354" t="s">
        <v>93</v>
      </c>
      <c r="Q103" s="355" t="str">
        <f>Q92</f>
        <v>TARGET 100%</v>
      </c>
      <c r="R103" s="680"/>
      <c r="S103" s="592"/>
      <c r="T103" s="200" t="str">
        <f>T4</f>
        <v>OMSET DEC
 (1-1)</v>
      </c>
      <c r="U103" s="200" t="str">
        <f>G4</f>
        <v>OMSET PRODUK</v>
      </c>
      <c r="V103" s="355" t="s">
        <v>63</v>
      </c>
      <c r="W103" s="355" t="s">
        <v>64</v>
      </c>
      <c r="X103" s="603"/>
      <c r="Y103" s="201">
        <f>K103</f>
        <v>3.2258064516129031E-2</v>
      </c>
    </row>
    <row r="104" spans="1:27" ht="14.5" customHeight="1" x14ac:dyDescent="0.35">
      <c r="A104" s="623"/>
      <c r="B104" s="165" t="s">
        <v>96</v>
      </c>
      <c r="C104" s="166"/>
      <c r="D104" s="167"/>
      <c r="E104" s="168"/>
      <c r="F104" s="169"/>
      <c r="G104" s="170"/>
      <c r="H104" s="166"/>
      <c r="I104" s="166">
        <f t="shared" ref="I104:I110" si="90">F104-G104</f>
        <v>0</v>
      </c>
      <c r="J104" s="171">
        <f t="shared" ref="J104:J110" si="91">I104-C104</f>
        <v>0</v>
      </c>
      <c r="K104" s="172" t="e">
        <f>I104/C104</f>
        <v>#DIV/0!</v>
      </c>
      <c r="L104" s="192" t="e">
        <f t="shared" ref="L104:L109" si="92">IF(K104&gt;120%, I104*0.55%, IF(K104&gt;100%, I104*0.45%, IF(K104&gt;80%, I104*0.35%, IF(K104&gt;60%, I104*0.2%, 0))))</f>
        <v>#DIV/0!</v>
      </c>
      <c r="O104" s="614"/>
      <c r="P104" s="165" t="s">
        <v>96</v>
      </c>
      <c r="Q104" s="166"/>
      <c r="R104" s="167"/>
      <c r="S104" s="168"/>
      <c r="T104" s="169"/>
      <c r="U104" s="170"/>
      <c r="V104" s="166"/>
      <c r="W104" s="166">
        <f t="shared" ref="W104:W110" si="93">T104-U104</f>
        <v>0</v>
      </c>
      <c r="X104" s="171">
        <f t="shared" ref="X104:X109" si="94">T104-Q104</f>
        <v>0</v>
      </c>
      <c r="Y104" s="172" t="e">
        <f t="shared" ref="Y104:Y111" si="95">W104/Q104</f>
        <v>#DIV/0!</v>
      </c>
      <c r="Z104" s="192" t="e">
        <f t="shared" ref="Z104:Z109" si="96">IF(Y104&gt;120%, W104*0.55%, IF(Y104&gt;100%, W104*0.45%, IF(Y104&gt;80%, W104*0.35%, IF(Y104&gt;60%, W104*0.2%, 0))))</f>
        <v>#DIV/0!</v>
      </c>
    </row>
    <row r="105" spans="1:27" ht="14.5" customHeight="1" x14ac:dyDescent="0.35">
      <c r="A105" s="623"/>
      <c r="B105" s="165" t="s">
        <v>97</v>
      </c>
      <c r="C105" s="173"/>
      <c r="D105" s="167"/>
      <c r="E105" s="168"/>
      <c r="F105" s="169"/>
      <c r="G105" s="174"/>
      <c r="H105" s="173"/>
      <c r="I105" s="166">
        <f t="shared" si="90"/>
        <v>0</v>
      </c>
      <c r="J105" s="171">
        <f t="shared" si="91"/>
        <v>0</v>
      </c>
      <c r="K105" s="172" t="e">
        <f>I105/C105</f>
        <v>#DIV/0!</v>
      </c>
      <c r="L105" s="192" t="e">
        <f t="shared" si="92"/>
        <v>#DIV/0!</v>
      </c>
      <c r="O105" s="614"/>
      <c r="P105" s="165" t="s">
        <v>97</v>
      </c>
      <c r="Q105" s="173"/>
      <c r="R105" s="167"/>
      <c r="S105" s="168"/>
      <c r="T105" s="169"/>
      <c r="U105" s="174"/>
      <c r="V105" s="173"/>
      <c r="W105" s="166">
        <f>T105-U105</f>
        <v>0</v>
      </c>
      <c r="X105" s="171">
        <f>T105-Q105</f>
        <v>0</v>
      </c>
      <c r="Y105" s="172" t="e">
        <f t="shared" si="95"/>
        <v>#DIV/0!</v>
      </c>
      <c r="Z105" s="192" t="e">
        <f t="shared" si="96"/>
        <v>#DIV/0!</v>
      </c>
    </row>
    <row r="106" spans="1:27" ht="14.5" customHeight="1" x14ac:dyDescent="0.35">
      <c r="A106" s="623"/>
      <c r="B106" s="165" t="s">
        <v>98</v>
      </c>
      <c r="C106" s="173"/>
      <c r="D106" s="167"/>
      <c r="E106" s="168"/>
      <c r="F106" s="169"/>
      <c r="G106" s="170"/>
      <c r="H106" s="173"/>
      <c r="I106" s="166">
        <f t="shared" si="90"/>
        <v>0</v>
      </c>
      <c r="J106" s="171">
        <f t="shared" si="91"/>
        <v>0</v>
      </c>
      <c r="K106" s="172" t="e">
        <f t="shared" ref="K106:K109" si="97">I106/C106</f>
        <v>#DIV/0!</v>
      </c>
      <c r="L106" s="192" t="e">
        <f t="shared" si="92"/>
        <v>#DIV/0!</v>
      </c>
      <c r="O106" s="614"/>
      <c r="P106" s="165" t="s">
        <v>98</v>
      </c>
      <c r="Q106" s="173"/>
      <c r="R106" s="167"/>
      <c r="S106" s="168"/>
      <c r="T106" s="169"/>
      <c r="U106" s="170"/>
      <c r="V106" s="173"/>
      <c r="W106" s="166">
        <f t="shared" si="93"/>
        <v>0</v>
      </c>
      <c r="X106" s="171">
        <f t="shared" si="94"/>
        <v>0</v>
      </c>
      <c r="Y106" s="172" t="e">
        <f t="shared" si="95"/>
        <v>#DIV/0!</v>
      </c>
      <c r="Z106" s="192" t="e">
        <f t="shared" si="96"/>
        <v>#DIV/0!</v>
      </c>
    </row>
    <row r="107" spans="1:27" ht="14.5" customHeight="1" x14ac:dyDescent="0.35">
      <c r="A107" s="623"/>
      <c r="B107" s="165" t="s">
        <v>99</v>
      </c>
      <c r="C107" s="173"/>
      <c r="D107" s="167"/>
      <c r="E107" s="168"/>
      <c r="F107" s="169"/>
      <c r="G107" s="170"/>
      <c r="H107" s="173"/>
      <c r="I107" s="166">
        <f t="shared" si="90"/>
        <v>0</v>
      </c>
      <c r="J107" s="171">
        <f t="shared" si="91"/>
        <v>0</v>
      </c>
      <c r="K107" s="172" t="e">
        <f t="shared" si="97"/>
        <v>#DIV/0!</v>
      </c>
      <c r="L107" s="192" t="e">
        <f t="shared" si="92"/>
        <v>#DIV/0!</v>
      </c>
      <c r="O107" s="614"/>
      <c r="P107" s="165" t="s">
        <v>99</v>
      </c>
      <c r="Q107" s="173"/>
      <c r="R107" s="167"/>
      <c r="S107" s="168"/>
      <c r="T107" s="169"/>
      <c r="U107" s="170"/>
      <c r="V107" s="173"/>
      <c r="W107" s="166">
        <f t="shared" si="93"/>
        <v>0</v>
      </c>
      <c r="X107" s="171">
        <f t="shared" si="94"/>
        <v>0</v>
      </c>
      <c r="Y107" s="172" t="e">
        <f t="shared" si="95"/>
        <v>#DIV/0!</v>
      </c>
      <c r="Z107" s="192" t="e">
        <f t="shared" si="96"/>
        <v>#DIV/0!</v>
      </c>
    </row>
    <row r="108" spans="1:27" ht="14.5" customHeight="1" x14ac:dyDescent="0.35">
      <c r="A108" s="623"/>
      <c r="B108" s="165" t="s">
        <v>100</v>
      </c>
      <c r="C108" s="173"/>
      <c r="D108" s="167"/>
      <c r="E108" s="168"/>
      <c r="F108" s="169"/>
      <c r="G108" s="170"/>
      <c r="H108" s="173"/>
      <c r="I108" s="166">
        <f t="shared" si="90"/>
        <v>0</v>
      </c>
      <c r="J108" s="171">
        <f t="shared" si="91"/>
        <v>0</v>
      </c>
      <c r="K108" s="172" t="e">
        <f t="shared" si="97"/>
        <v>#DIV/0!</v>
      </c>
      <c r="L108" s="192" t="e">
        <f t="shared" si="92"/>
        <v>#DIV/0!</v>
      </c>
      <c r="O108" s="614"/>
      <c r="P108" s="165" t="s">
        <v>100</v>
      </c>
      <c r="Q108" s="173"/>
      <c r="R108" s="167"/>
      <c r="S108" s="168"/>
      <c r="T108" s="169"/>
      <c r="U108" s="170"/>
      <c r="V108" s="173"/>
      <c r="W108" s="166">
        <f t="shared" si="93"/>
        <v>0</v>
      </c>
      <c r="X108" s="171">
        <f t="shared" si="94"/>
        <v>0</v>
      </c>
      <c r="Y108" s="172" t="e">
        <f t="shared" si="95"/>
        <v>#DIV/0!</v>
      </c>
      <c r="Z108" s="192" t="e">
        <f t="shared" si="96"/>
        <v>#DIV/0!</v>
      </c>
    </row>
    <row r="109" spans="1:27" ht="14.5" customHeight="1" x14ac:dyDescent="0.35">
      <c r="A109" s="623"/>
      <c r="B109" s="165" t="s">
        <v>101</v>
      </c>
      <c r="C109" s="173"/>
      <c r="D109" s="167"/>
      <c r="E109" s="168"/>
      <c r="F109" s="169"/>
      <c r="G109" s="170"/>
      <c r="H109" s="173"/>
      <c r="I109" s="166">
        <f t="shared" si="90"/>
        <v>0</v>
      </c>
      <c r="J109" s="171">
        <f t="shared" si="91"/>
        <v>0</v>
      </c>
      <c r="K109" s="172" t="e">
        <f t="shared" si="97"/>
        <v>#DIV/0!</v>
      </c>
      <c r="L109" s="192" t="e">
        <f t="shared" si="92"/>
        <v>#DIV/0!</v>
      </c>
      <c r="O109" s="614"/>
      <c r="P109" s="165" t="s">
        <v>101</v>
      </c>
      <c r="Q109" s="173"/>
      <c r="R109" s="167"/>
      <c r="S109" s="168"/>
      <c r="T109" s="169"/>
      <c r="U109" s="170"/>
      <c r="V109" s="173"/>
      <c r="W109" s="166">
        <f t="shared" si="93"/>
        <v>0</v>
      </c>
      <c r="X109" s="171">
        <f t="shared" si="94"/>
        <v>0</v>
      </c>
      <c r="Y109" s="172" t="e">
        <f t="shared" si="95"/>
        <v>#DIV/0!</v>
      </c>
      <c r="Z109" s="192" t="e">
        <f t="shared" si="96"/>
        <v>#DIV/0!</v>
      </c>
    </row>
    <row r="110" spans="1:27" ht="14.5" customHeight="1" thickBot="1" x14ac:dyDescent="0.4">
      <c r="A110" s="623"/>
      <c r="B110" s="175" t="s">
        <v>77</v>
      </c>
      <c r="C110" s="176">
        <f t="shared" ref="C110:H110" si="98">SUM(C104:C109)</f>
        <v>0</v>
      </c>
      <c r="D110" s="177">
        <f t="shared" si="98"/>
        <v>0</v>
      </c>
      <c r="E110" s="178">
        <f t="shared" si="98"/>
        <v>0</v>
      </c>
      <c r="F110" s="176">
        <f t="shared" si="98"/>
        <v>0</v>
      </c>
      <c r="G110" s="179">
        <f t="shared" si="98"/>
        <v>0</v>
      </c>
      <c r="H110" s="176">
        <f t="shared" si="98"/>
        <v>0</v>
      </c>
      <c r="I110" s="176">
        <f t="shared" si="90"/>
        <v>0</v>
      </c>
      <c r="J110" s="176">
        <f t="shared" si="91"/>
        <v>0</v>
      </c>
      <c r="K110" s="180" t="e">
        <f>I110/C110</f>
        <v>#DIV/0!</v>
      </c>
      <c r="L110" s="197" t="e">
        <f>SUM(L104:L109)</f>
        <v>#DIV/0!</v>
      </c>
      <c r="O110" s="615"/>
      <c r="P110" s="204" t="s">
        <v>77</v>
      </c>
      <c r="Q110" s="205">
        <f t="shared" ref="Q110:V110" si="99">SUM(Q104:Q109)</f>
        <v>0</v>
      </c>
      <c r="R110" s="206">
        <f t="shared" si="99"/>
        <v>0</v>
      </c>
      <c r="S110" s="207">
        <f t="shared" si="99"/>
        <v>0</v>
      </c>
      <c r="T110" s="205">
        <f t="shared" si="99"/>
        <v>0</v>
      </c>
      <c r="U110" s="208">
        <f t="shared" si="99"/>
        <v>0</v>
      </c>
      <c r="V110" s="205">
        <f t="shared" si="99"/>
        <v>0</v>
      </c>
      <c r="W110" s="205">
        <f t="shared" si="93"/>
        <v>0</v>
      </c>
      <c r="X110" s="205">
        <f>W110-Q110</f>
        <v>0</v>
      </c>
      <c r="Y110" s="209" t="e">
        <f t="shared" si="95"/>
        <v>#DIV/0!</v>
      </c>
      <c r="Z110" s="197" t="e">
        <f>SUM(Z104:Z109)</f>
        <v>#DIV/0!</v>
      </c>
    </row>
    <row r="111" spans="1:27" ht="14.5" customHeight="1" x14ac:dyDescent="0.35">
      <c r="B111" s="181" t="str">
        <f>$B$12</f>
        <v>TARGET Q4</v>
      </c>
      <c r="C111" s="182"/>
      <c r="D111" s="676"/>
      <c r="E111" s="677"/>
      <c r="F111" s="677"/>
      <c r="G111" s="677"/>
      <c r="H111" s="678"/>
      <c r="I111" s="182">
        <f>I110</f>
        <v>0</v>
      </c>
      <c r="J111" s="182">
        <f>I111-C111</f>
        <v>0</v>
      </c>
      <c r="K111" s="183" t="e">
        <f>I111/C111</f>
        <v>#DIV/0!</v>
      </c>
      <c r="L111" s="192" t="e">
        <f>IF(K111&gt;=1,3500000,IF(K111&gt;=0.9,2500000,0))</f>
        <v>#DIV/0!</v>
      </c>
      <c r="P111" s="181" t="str">
        <f>$B$12</f>
        <v>TARGET Q4</v>
      </c>
      <c r="Q111" s="182"/>
      <c r="R111" s="676"/>
      <c r="S111" s="677"/>
      <c r="T111" s="677"/>
      <c r="U111" s="677"/>
      <c r="V111" s="678"/>
      <c r="W111" s="182">
        <f>W110</f>
        <v>0</v>
      </c>
      <c r="X111" s="182">
        <f>W111-Q111</f>
        <v>0</v>
      </c>
      <c r="Y111" s="183" t="e">
        <f t="shared" si="95"/>
        <v>#DIV/0!</v>
      </c>
      <c r="Z111" s="192" t="e">
        <f>IF(Y111&gt;=1,3500000,IF(Y111&gt;=0.9,2500000,0))</f>
        <v>#DIV/0!</v>
      </c>
    </row>
    <row r="112" spans="1:27" ht="14.5" customHeight="1" x14ac:dyDescent="0.35">
      <c r="C112" s="210" t="e">
        <f>C111/C110</f>
        <v>#DIV/0!</v>
      </c>
      <c r="Q112" s="210" t="e">
        <f>Q111/Q110</f>
        <v>#DIV/0!</v>
      </c>
    </row>
    <row r="113" spans="2:28" x14ac:dyDescent="0.35">
      <c r="C113" s="210"/>
    </row>
    <row r="114" spans="2:28" s="290" customFormat="1" ht="14.5" customHeight="1" x14ac:dyDescent="0.35">
      <c r="C114" s="291"/>
      <c r="D114" s="292"/>
      <c r="E114" s="293"/>
      <c r="F114" s="294"/>
      <c r="G114" s="295"/>
      <c r="H114" s="291"/>
      <c r="I114" s="291"/>
      <c r="J114" s="296"/>
      <c r="K114" s="292"/>
      <c r="L114" s="297"/>
      <c r="M114" s="298"/>
      <c r="Q114" s="292"/>
      <c r="R114" s="299"/>
      <c r="S114" s="292"/>
      <c r="T114" s="294"/>
      <c r="U114" s="295"/>
      <c r="V114" s="291"/>
      <c r="W114" s="291"/>
      <c r="X114" s="291"/>
      <c r="Y114" s="292"/>
      <c r="Z114" s="291"/>
      <c r="AA114" s="300"/>
    </row>
    <row r="115" spans="2:28" ht="14.5" customHeight="1" x14ac:dyDescent="0.35"/>
    <row r="116" spans="2:28" ht="15" customHeight="1" x14ac:dyDescent="0.35">
      <c r="B116" s="580" t="s">
        <v>123</v>
      </c>
      <c r="C116" s="581"/>
      <c r="D116" s="581"/>
      <c r="E116" s="581"/>
      <c r="F116" s="581"/>
      <c r="G116" s="581"/>
      <c r="H116" s="581"/>
      <c r="I116" s="581"/>
      <c r="J116" s="581"/>
      <c r="K116" s="581"/>
      <c r="L116" s="581"/>
      <c r="M116" s="582"/>
      <c r="P116" s="600" t="s">
        <v>124</v>
      </c>
      <c r="Q116" s="600"/>
      <c r="R116" s="600"/>
      <c r="S116" s="600"/>
      <c r="T116" s="600"/>
      <c r="U116" s="600"/>
      <c r="V116" s="600"/>
      <c r="W116" s="600"/>
      <c r="X116" s="600"/>
      <c r="Y116" s="600"/>
      <c r="Z116" s="600"/>
      <c r="AA116" s="600"/>
    </row>
    <row r="117" spans="2:28" ht="15" customHeight="1" x14ac:dyDescent="0.35">
      <c r="B117" s="583"/>
      <c r="C117" s="584"/>
      <c r="D117" s="584"/>
      <c r="E117" s="584"/>
      <c r="F117" s="584"/>
      <c r="G117" s="584"/>
      <c r="H117" s="584"/>
      <c r="I117" s="584"/>
      <c r="J117" s="584"/>
      <c r="K117" s="584"/>
      <c r="L117" s="584"/>
      <c r="M117" s="585"/>
      <c r="P117" s="600"/>
      <c r="Q117" s="600"/>
      <c r="R117" s="600"/>
      <c r="S117" s="600"/>
      <c r="T117" s="600"/>
      <c r="U117" s="600"/>
      <c r="V117" s="600"/>
      <c r="W117" s="600"/>
      <c r="X117" s="600"/>
      <c r="Y117" s="600"/>
      <c r="Z117" s="600"/>
      <c r="AA117" s="600"/>
    </row>
    <row r="118" spans="2:28" ht="15" customHeight="1" x14ac:dyDescent="0.35">
      <c r="B118" s="586" t="s">
        <v>125</v>
      </c>
      <c r="C118" s="587" t="s">
        <v>94</v>
      </c>
      <c r="D118" s="586" t="s">
        <v>91</v>
      </c>
      <c r="E118" s="586" t="s">
        <v>62</v>
      </c>
      <c r="F118" s="588" t="str">
        <f>F48</f>
        <v>OMSET DEC
 (1-1)</v>
      </c>
      <c r="G118" s="588" t="s">
        <v>95</v>
      </c>
      <c r="H118" s="587" t="s">
        <v>63</v>
      </c>
      <c r="I118" s="587" t="s">
        <v>64</v>
      </c>
      <c r="J118" s="587" t="s">
        <v>126</v>
      </c>
      <c r="K118" s="589" t="s">
        <v>66</v>
      </c>
      <c r="L118" s="590" t="s">
        <v>127</v>
      </c>
      <c r="M118" s="301" t="s">
        <v>128</v>
      </c>
      <c r="P118" s="660" t="s">
        <v>125</v>
      </c>
      <c r="Q118" s="660" t="s">
        <v>94</v>
      </c>
      <c r="R118" s="661" t="s">
        <v>91</v>
      </c>
      <c r="S118" s="660" t="s">
        <v>62</v>
      </c>
      <c r="T118" s="664" t="str">
        <f>T26</f>
        <v>OMSET DEC
 (1-1)</v>
      </c>
      <c r="U118" s="664" t="str">
        <f>G4</f>
        <v>OMSET PRODUK</v>
      </c>
      <c r="V118" s="663" t="s">
        <v>63</v>
      </c>
      <c r="W118" s="663" t="s">
        <v>64</v>
      </c>
      <c r="X118" s="663" t="s">
        <v>126</v>
      </c>
      <c r="Y118" s="675" t="s">
        <v>66</v>
      </c>
      <c r="Z118" s="664" t="s">
        <v>127</v>
      </c>
      <c r="AA118" s="220" t="s">
        <v>128</v>
      </c>
    </row>
    <row r="119" spans="2:28" ht="30" customHeight="1" x14ac:dyDescent="0.35">
      <c r="B119" s="586"/>
      <c r="C119" s="587"/>
      <c r="D119" s="586"/>
      <c r="E119" s="586"/>
      <c r="F119" s="588"/>
      <c r="G119" s="588"/>
      <c r="H119" s="587"/>
      <c r="I119" s="587"/>
      <c r="J119" s="587"/>
      <c r="K119" s="589"/>
      <c r="L119" s="590"/>
      <c r="M119" s="302">
        <f>100/DAY(EOMONTH($B$1,0))*DAY($B$1)/100</f>
        <v>3.2258064516129031E-2</v>
      </c>
      <c r="P119" s="660"/>
      <c r="Q119" s="660"/>
      <c r="R119" s="661"/>
      <c r="S119" s="660"/>
      <c r="T119" s="664"/>
      <c r="U119" s="664"/>
      <c r="V119" s="663"/>
      <c r="W119" s="663"/>
      <c r="X119" s="663"/>
      <c r="Y119" s="675"/>
      <c r="Z119" s="664"/>
      <c r="AA119" s="221">
        <f>K4</f>
        <v>3.2258064516129031E-2</v>
      </c>
    </row>
    <row r="120" spans="2:28" x14ac:dyDescent="0.35">
      <c r="B120" s="171" t="str">
        <f>C3</f>
        <v>CHRISTOPER</v>
      </c>
      <c r="C120" s="166">
        <f t="shared" ref="C120:H120" si="100">C11</f>
        <v>1541592000</v>
      </c>
      <c r="D120" s="167">
        <f t="shared" si="100"/>
        <v>0</v>
      </c>
      <c r="E120" s="222">
        <f t="shared" si="100"/>
        <v>0</v>
      </c>
      <c r="F120" s="223">
        <f t="shared" si="100"/>
        <v>0</v>
      </c>
      <c r="G120" s="224">
        <f t="shared" si="100"/>
        <v>0</v>
      </c>
      <c r="H120" s="166">
        <f t="shared" si="100"/>
        <v>0</v>
      </c>
      <c r="I120" s="166">
        <f>F120-G120</f>
        <v>0</v>
      </c>
      <c r="J120" s="166">
        <f t="shared" ref="J120:J126" si="101">I120-C120</f>
        <v>-1541592000</v>
      </c>
      <c r="K120" s="225">
        <f t="shared" ref="K120:K125" si="102">I120/C120</f>
        <v>0</v>
      </c>
      <c r="L120" s="226">
        <f t="shared" ref="L120:L125" si="103">H120+I120</f>
        <v>0</v>
      </c>
      <c r="M120" s="227">
        <f t="shared" ref="M120:M125" si="104">L120/C120</f>
        <v>0</v>
      </c>
      <c r="N120" s="228">
        <f>F120+H120</f>
        <v>0</v>
      </c>
      <c r="P120" s="229" t="str">
        <f>Q3</f>
        <v>RIFKY</v>
      </c>
      <c r="Q120" s="166">
        <f t="shared" ref="Q120:V120" si="105">Q11</f>
        <v>0</v>
      </c>
      <c r="R120" s="230">
        <f t="shared" si="105"/>
        <v>0</v>
      </c>
      <c r="S120" s="167">
        <f t="shared" si="105"/>
        <v>0</v>
      </c>
      <c r="T120" s="166">
        <f t="shared" si="105"/>
        <v>0</v>
      </c>
      <c r="U120" s="231">
        <f t="shared" si="105"/>
        <v>0</v>
      </c>
      <c r="V120" s="166">
        <f t="shared" si="105"/>
        <v>0</v>
      </c>
      <c r="W120" s="166">
        <f>T120-U120</f>
        <v>0</v>
      </c>
      <c r="X120" s="166">
        <f t="shared" ref="X120:X126" si="106">W120-Q120</f>
        <v>0</v>
      </c>
      <c r="Y120" s="225" t="e">
        <f t="shared" ref="Y120:Y125" si="107">W120/Q120</f>
        <v>#DIV/0!</v>
      </c>
      <c r="Z120" s="171">
        <f t="shared" ref="Z120:Z125" si="108">V120+W120</f>
        <v>0</v>
      </c>
      <c r="AA120" s="227" t="e">
        <f t="shared" ref="AA120:AA125" si="109">Z120/Q120</f>
        <v>#DIV/0!</v>
      </c>
      <c r="AB120" s="228">
        <f>T120+V120</f>
        <v>0</v>
      </c>
    </row>
    <row r="121" spans="2:28" x14ac:dyDescent="0.35">
      <c r="B121" s="171" t="str">
        <f>C14</f>
        <v>ANNAUFAL</v>
      </c>
      <c r="C121" s="166">
        <f t="shared" ref="C121:H121" si="110">C22</f>
        <v>0</v>
      </c>
      <c r="D121" s="167">
        <f t="shared" si="110"/>
        <v>0</v>
      </c>
      <c r="E121" s="222">
        <f t="shared" si="110"/>
        <v>0</v>
      </c>
      <c r="F121" s="223">
        <f t="shared" si="110"/>
        <v>0</v>
      </c>
      <c r="G121" s="224">
        <f t="shared" si="110"/>
        <v>0</v>
      </c>
      <c r="H121" s="166">
        <f t="shared" si="110"/>
        <v>0</v>
      </c>
      <c r="I121" s="166">
        <f>F121-G121</f>
        <v>0</v>
      </c>
      <c r="J121" s="166">
        <f t="shared" si="101"/>
        <v>0</v>
      </c>
      <c r="K121" s="225" t="e">
        <f t="shared" si="102"/>
        <v>#DIV/0!</v>
      </c>
      <c r="L121" s="226">
        <f t="shared" si="103"/>
        <v>0</v>
      </c>
      <c r="M121" s="227" t="e">
        <f t="shared" si="104"/>
        <v>#DIV/0!</v>
      </c>
      <c r="N121" s="228">
        <f>F121+H121</f>
        <v>0</v>
      </c>
      <c r="P121" s="229">
        <f>Q14</f>
        <v>0</v>
      </c>
      <c r="Q121" s="166">
        <f t="shared" ref="Q121:V121" si="111">Q22</f>
        <v>0</v>
      </c>
      <c r="R121" s="230">
        <f t="shared" si="111"/>
        <v>0</v>
      </c>
      <c r="S121" s="167">
        <f t="shared" si="111"/>
        <v>0</v>
      </c>
      <c r="T121" s="166">
        <f t="shared" si="111"/>
        <v>0</v>
      </c>
      <c r="U121" s="231">
        <f t="shared" si="111"/>
        <v>0</v>
      </c>
      <c r="V121" s="166">
        <f t="shared" si="111"/>
        <v>0</v>
      </c>
      <c r="W121" s="166">
        <f>T121-U121</f>
        <v>0</v>
      </c>
      <c r="X121" s="166">
        <f t="shared" si="106"/>
        <v>0</v>
      </c>
      <c r="Y121" s="225" t="e">
        <f t="shared" si="107"/>
        <v>#DIV/0!</v>
      </c>
      <c r="Z121" s="171">
        <f>V121+W121</f>
        <v>0</v>
      </c>
      <c r="AA121" s="227" t="e">
        <f t="shared" si="109"/>
        <v>#DIV/0!</v>
      </c>
      <c r="AB121" s="228">
        <f>T121+V121</f>
        <v>0</v>
      </c>
    </row>
    <row r="122" spans="2:28" x14ac:dyDescent="0.35">
      <c r="B122" s="171" t="str">
        <f>C25</f>
        <v>DIKI HERMAWAN</v>
      </c>
      <c r="C122" s="166">
        <f t="shared" ref="C122:H122" si="112">C33</f>
        <v>0</v>
      </c>
      <c r="D122" s="167">
        <f t="shared" si="112"/>
        <v>0</v>
      </c>
      <c r="E122" s="222">
        <f t="shared" si="112"/>
        <v>0</v>
      </c>
      <c r="F122" s="223">
        <f t="shared" si="112"/>
        <v>0</v>
      </c>
      <c r="G122" s="224">
        <f t="shared" si="112"/>
        <v>0</v>
      </c>
      <c r="H122" s="166">
        <f t="shared" si="112"/>
        <v>0</v>
      </c>
      <c r="I122" s="166">
        <f>F122-G122</f>
        <v>0</v>
      </c>
      <c r="J122" s="166">
        <f t="shared" si="101"/>
        <v>0</v>
      </c>
      <c r="K122" s="225" t="e">
        <f t="shared" si="102"/>
        <v>#DIV/0!</v>
      </c>
      <c r="L122" s="226">
        <f t="shared" si="103"/>
        <v>0</v>
      </c>
      <c r="M122" s="227" t="e">
        <f t="shared" si="104"/>
        <v>#DIV/0!</v>
      </c>
      <c r="N122" s="228">
        <f>F122+H122</f>
        <v>0</v>
      </c>
      <c r="P122" s="229">
        <f>Q25</f>
        <v>0</v>
      </c>
      <c r="Q122" s="166">
        <f t="shared" ref="Q122:V122" si="113">Q33</f>
        <v>0</v>
      </c>
      <c r="R122" s="230">
        <f t="shared" si="113"/>
        <v>0</v>
      </c>
      <c r="S122" s="167">
        <f t="shared" si="113"/>
        <v>0</v>
      </c>
      <c r="T122" s="166">
        <f t="shared" si="113"/>
        <v>0</v>
      </c>
      <c r="U122" s="231">
        <f t="shared" si="113"/>
        <v>0</v>
      </c>
      <c r="V122" s="166">
        <f t="shared" si="113"/>
        <v>0</v>
      </c>
      <c r="W122" s="166">
        <f>T122-U122</f>
        <v>0</v>
      </c>
      <c r="X122" s="166">
        <f t="shared" si="106"/>
        <v>0</v>
      </c>
      <c r="Y122" s="225" t="e">
        <f t="shared" si="107"/>
        <v>#DIV/0!</v>
      </c>
      <c r="Z122" s="171">
        <f t="shared" si="108"/>
        <v>0</v>
      </c>
      <c r="AA122" s="227" t="e">
        <f t="shared" si="109"/>
        <v>#DIV/0!</v>
      </c>
      <c r="AB122" s="228">
        <f>T122+V122</f>
        <v>0</v>
      </c>
    </row>
    <row r="123" spans="2:28" ht="14.5" customHeight="1" x14ac:dyDescent="0.35">
      <c r="B123" s="171" t="str">
        <f>C36</f>
        <v>AGPC:TKAB-KRW</v>
      </c>
      <c r="C123" s="166">
        <f t="shared" ref="C123:H123" si="114">C44</f>
        <v>0</v>
      </c>
      <c r="D123" s="167">
        <f t="shared" si="114"/>
        <v>0</v>
      </c>
      <c r="E123" s="222">
        <f t="shared" si="114"/>
        <v>0</v>
      </c>
      <c r="F123" s="223">
        <f t="shared" si="114"/>
        <v>0</v>
      </c>
      <c r="G123" s="224">
        <f t="shared" si="114"/>
        <v>0</v>
      </c>
      <c r="H123" s="166">
        <f t="shared" si="114"/>
        <v>0</v>
      </c>
      <c r="I123" s="166">
        <f>F123-G123</f>
        <v>0</v>
      </c>
      <c r="J123" s="166">
        <f t="shared" si="101"/>
        <v>0</v>
      </c>
      <c r="K123" s="225" t="e">
        <f t="shared" si="102"/>
        <v>#DIV/0!</v>
      </c>
      <c r="L123" s="226">
        <f t="shared" si="103"/>
        <v>0</v>
      </c>
      <c r="M123" s="227" t="e">
        <f t="shared" si="104"/>
        <v>#DIV/0!</v>
      </c>
      <c r="N123" s="228">
        <f>F123+H123</f>
        <v>0</v>
      </c>
      <c r="P123" s="229" t="str">
        <f>Q36</f>
        <v>GILBERT</v>
      </c>
      <c r="Q123" s="166">
        <f t="shared" ref="Q123:V123" si="115">Q44</f>
        <v>0</v>
      </c>
      <c r="R123" s="230">
        <f t="shared" si="115"/>
        <v>0</v>
      </c>
      <c r="S123" s="167">
        <f t="shared" si="115"/>
        <v>0</v>
      </c>
      <c r="T123" s="166">
        <f t="shared" si="115"/>
        <v>0</v>
      </c>
      <c r="U123" s="231">
        <f t="shared" si="115"/>
        <v>0</v>
      </c>
      <c r="V123" s="166">
        <f t="shared" si="115"/>
        <v>0</v>
      </c>
      <c r="W123" s="166">
        <f>T123-U123</f>
        <v>0</v>
      </c>
      <c r="X123" s="166">
        <f t="shared" si="106"/>
        <v>0</v>
      </c>
      <c r="Y123" s="225" t="e">
        <f t="shared" si="107"/>
        <v>#DIV/0!</v>
      </c>
      <c r="Z123" s="171">
        <f t="shared" si="108"/>
        <v>0</v>
      </c>
      <c r="AA123" s="227" t="e">
        <f t="shared" si="109"/>
        <v>#DIV/0!</v>
      </c>
      <c r="AB123" s="228">
        <f>T123+V123</f>
        <v>0</v>
      </c>
    </row>
    <row r="124" spans="2:28" ht="14.5" customHeight="1" x14ac:dyDescent="0.35">
      <c r="B124" s="171" t="str">
        <f>C47</f>
        <v>RIDWAN</v>
      </c>
      <c r="C124" s="166">
        <f t="shared" ref="C124:H124" si="116">C55</f>
        <v>0</v>
      </c>
      <c r="D124" s="167">
        <f t="shared" si="116"/>
        <v>0</v>
      </c>
      <c r="E124" s="222">
        <f t="shared" si="116"/>
        <v>0</v>
      </c>
      <c r="F124" s="223">
        <f t="shared" si="116"/>
        <v>0</v>
      </c>
      <c r="G124" s="224">
        <f t="shared" si="116"/>
        <v>0</v>
      </c>
      <c r="H124" s="166">
        <f t="shared" si="116"/>
        <v>0</v>
      </c>
      <c r="I124" s="166">
        <f>F124-G124</f>
        <v>0</v>
      </c>
      <c r="J124" s="166">
        <f t="shared" si="101"/>
        <v>0</v>
      </c>
      <c r="K124" s="225" t="e">
        <f t="shared" si="102"/>
        <v>#DIV/0!</v>
      </c>
      <c r="L124" s="226">
        <f t="shared" si="103"/>
        <v>0</v>
      </c>
      <c r="M124" s="227" t="e">
        <f t="shared" si="104"/>
        <v>#DIV/0!</v>
      </c>
      <c r="N124" s="228">
        <f>F124+H124</f>
        <v>0</v>
      </c>
      <c r="P124" s="229">
        <f>Q47</f>
        <v>0</v>
      </c>
      <c r="Q124" s="166">
        <f t="shared" ref="Q124:V124" si="117">Q55</f>
        <v>0</v>
      </c>
      <c r="R124" s="230">
        <f t="shared" si="117"/>
        <v>0</v>
      </c>
      <c r="S124" s="167">
        <f t="shared" si="117"/>
        <v>0</v>
      </c>
      <c r="T124" s="166">
        <f t="shared" si="117"/>
        <v>0</v>
      </c>
      <c r="U124" s="231">
        <f t="shared" si="117"/>
        <v>0</v>
      </c>
      <c r="V124" s="166">
        <f t="shared" si="117"/>
        <v>0</v>
      </c>
      <c r="W124" s="166">
        <f>T124-U124</f>
        <v>0</v>
      </c>
      <c r="X124" s="166">
        <f t="shared" si="106"/>
        <v>0</v>
      </c>
      <c r="Y124" s="225" t="e">
        <f t="shared" si="107"/>
        <v>#DIV/0!</v>
      </c>
      <c r="Z124" s="171">
        <f t="shared" si="108"/>
        <v>0</v>
      </c>
      <c r="AA124" s="227" t="e">
        <f t="shared" si="109"/>
        <v>#DIV/0!</v>
      </c>
      <c r="AB124" s="228">
        <f>T124+V124</f>
        <v>0</v>
      </c>
    </row>
    <row r="125" spans="2:28" x14ac:dyDescent="0.35">
      <c r="B125" s="175" t="s">
        <v>77</v>
      </c>
      <c r="C125" s="176">
        <f t="shared" ref="C125:H125" si="118">SUM(C120:C124)</f>
        <v>1541592000</v>
      </c>
      <c r="D125" s="177">
        <f t="shared" si="118"/>
        <v>0</v>
      </c>
      <c r="E125" s="178">
        <f t="shared" si="118"/>
        <v>0</v>
      </c>
      <c r="F125" s="303">
        <f t="shared" si="118"/>
        <v>0</v>
      </c>
      <c r="G125" s="304">
        <f t="shared" si="118"/>
        <v>0</v>
      </c>
      <c r="H125" s="176">
        <f t="shared" si="118"/>
        <v>0</v>
      </c>
      <c r="I125" s="176">
        <f>SUM(I120:I124)</f>
        <v>0</v>
      </c>
      <c r="J125" s="176">
        <f t="shared" si="101"/>
        <v>-1541592000</v>
      </c>
      <c r="K125" s="305">
        <f t="shared" si="102"/>
        <v>0</v>
      </c>
      <c r="L125" s="353">
        <f t="shared" si="103"/>
        <v>0</v>
      </c>
      <c r="M125" s="180">
        <f t="shared" si="104"/>
        <v>0</v>
      </c>
      <c r="P125" s="232" t="s">
        <v>77</v>
      </c>
      <c r="Q125" s="233">
        <f>SUM(Q120:Q124)</f>
        <v>0</v>
      </c>
      <c r="R125" s="234">
        <f>SUM(R120:R124)</f>
        <v>0</v>
      </c>
      <c r="S125" s="235">
        <f t="shared" ref="S125:W125" si="119">SUM(S120:S124)</f>
        <v>0</v>
      </c>
      <c r="T125" s="233">
        <f>SUM(T120:T124)</f>
        <v>0</v>
      </c>
      <c r="U125" s="236">
        <f t="shared" si="119"/>
        <v>0</v>
      </c>
      <c r="V125" s="233">
        <f t="shared" si="119"/>
        <v>0</v>
      </c>
      <c r="W125" s="233">
        <f t="shared" si="119"/>
        <v>0</v>
      </c>
      <c r="X125" s="233">
        <f t="shared" si="106"/>
        <v>0</v>
      </c>
      <c r="Y125" s="237" t="e">
        <f t="shared" si="107"/>
        <v>#DIV/0!</v>
      </c>
      <c r="Z125" s="238">
        <f t="shared" si="108"/>
        <v>0</v>
      </c>
      <c r="AA125" s="239" t="e">
        <f t="shared" si="109"/>
        <v>#DIV/0!</v>
      </c>
    </row>
    <row r="126" spans="2:28" x14ac:dyDescent="0.35">
      <c r="B126" s="181" t="str">
        <f>$B$12</f>
        <v>TARGET Q4</v>
      </c>
      <c r="C126" s="182">
        <f>SUM(C56,C45,C34,C23,C12)</f>
        <v>1233273600</v>
      </c>
      <c r="D126" s="240"/>
      <c r="E126" s="241"/>
      <c r="F126" s="241"/>
      <c r="G126" s="241"/>
      <c r="H126" s="241"/>
      <c r="I126" s="182">
        <f>I125</f>
        <v>0</v>
      </c>
      <c r="J126" s="182">
        <f t="shared" si="101"/>
        <v>-1233273600</v>
      </c>
      <c r="K126" s="242"/>
      <c r="L126" s="243"/>
      <c r="M126" s="244">
        <f>I126/C126</f>
        <v>0</v>
      </c>
      <c r="P126" s="181" t="str">
        <f>$B$12</f>
        <v>TARGET Q4</v>
      </c>
      <c r="Q126" s="182">
        <f>SUM(Q56,Q45,Q34,Q23,Q12)</f>
        <v>0</v>
      </c>
      <c r="R126" s="240"/>
      <c r="S126" s="241"/>
      <c r="T126" s="241"/>
      <c r="U126" s="241"/>
      <c r="V126" s="241"/>
      <c r="W126" s="182">
        <f>W125</f>
        <v>0</v>
      </c>
      <c r="X126" s="182">
        <f t="shared" si="106"/>
        <v>0</v>
      </c>
      <c r="Y126" s="242"/>
      <c r="Z126" s="243"/>
      <c r="AA126" s="244" t="e">
        <f>W126/Q126</f>
        <v>#DIV/0!</v>
      </c>
    </row>
    <row r="127" spans="2:28" x14ac:dyDescent="0.35">
      <c r="C127" s="202"/>
      <c r="D127" s="245"/>
      <c r="E127" s="245"/>
      <c r="F127" s="245"/>
      <c r="G127" s="245"/>
      <c r="H127" s="245"/>
      <c r="I127" s="245"/>
      <c r="J127" s="245"/>
      <c r="K127" s="245"/>
      <c r="L127" s="197"/>
      <c r="M127" s="246"/>
      <c r="Q127" s="202"/>
      <c r="R127" s="245"/>
      <c r="S127" s="245"/>
      <c r="T127" s="245"/>
      <c r="U127" s="245"/>
      <c r="V127" s="245"/>
      <c r="W127" s="202"/>
      <c r="X127" s="247"/>
      <c r="Y127" s="248"/>
      <c r="Z127" s="197"/>
      <c r="AA127" s="246"/>
    </row>
    <row r="128" spans="2:28" x14ac:dyDescent="0.35">
      <c r="K128" s="249"/>
    </row>
    <row r="129" spans="2:28" ht="15" customHeight="1" x14ac:dyDescent="0.35">
      <c r="B129" s="580" t="s">
        <v>129</v>
      </c>
      <c r="C129" s="581"/>
      <c r="D129" s="581"/>
      <c r="E129" s="581"/>
      <c r="F129" s="581"/>
      <c r="G129" s="581"/>
      <c r="H129" s="581"/>
      <c r="I129" s="581"/>
      <c r="J129" s="581"/>
      <c r="K129" s="581"/>
      <c r="L129" s="581"/>
      <c r="M129" s="582"/>
      <c r="P129" s="580" t="s">
        <v>130</v>
      </c>
      <c r="Q129" s="581"/>
      <c r="R129" s="581"/>
      <c r="S129" s="581"/>
      <c r="T129" s="581"/>
      <c r="U129" s="581"/>
      <c r="V129" s="581"/>
      <c r="W129" s="581"/>
      <c r="X129" s="581"/>
      <c r="Y129" s="581"/>
      <c r="Z129" s="581"/>
      <c r="AA129" s="582"/>
    </row>
    <row r="130" spans="2:28" ht="15" customHeight="1" x14ac:dyDescent="0.35">
      <c r="B130" s="583"/>
      <c r="C130" s="584"/>
      <c r="D130" s="584"/>
      <c r="E130" s="584"/>
      <c r="F130" s="584"/>
      <c r="G130" s="584"/>
      <c r="H130" s="584"/>
      <c r="I130" s="584"/>
      <c r="J130" s="584"/>
      <c r="K130" s="584"/>
      <c r="L130" s="584"/>
      <c r="M130" s="585"/>
      <c r="P130" s="583"/>
      <c r="Q130" s="584"/>
      <c r="R130" s="584"/>
      <c r="S130" s="584"/>
      <c r="T130" s="584"/>
      <c r="U130" s="584"/>
      <c r="V130" s="584"/>
      <c r="W130" s="584"/>
      <c r="X130" s="584"/>
      <c r="Y130" s="584"/>
      <c r="Z130" s="584"/>
      <c r="AA130" s="585"/>
    </row>
    <row r="131" spans="2:28" ht="15" customHeight="1" x14ac:dyDescent="0.35">
      <c r="B131" s="586" t="s">
        <v>125</v>
      </c>
      <c r="C131" s="587" t="s">
        <v>94</v>
      </c>
      <c r="D131" s="586" t="s">
        <v>91</v>
      </c>
      <c r="E131" s="586" t="s">
        <v>62</v>
      </c>
      <c r="F131" s="588" t="str">
        <f>F48</f>
        <v>OMSET DEC
 (1-1)</v>
      </c>
      <c r="G131" s="588" t="str">
        <f>G48</f>
        <v>OMSET PRODUK</v>
      </c>
      <c r="H131" s="587" t="s">
        <v>63</v>
      </c>
      <c r="I131" s="587" t="s">
        <v>64</v>
      </c>
      <c r="J131" s="587" t="s">
        <v>126</v>
      </c>
      <c r="K131" s="589" t="s">
        <v>66</v>
      </c>
      <c r="L131" s="590" t="s">
        <v>127</v>
      </c>
      <c r="M131" s="301" t="s">
        <v>128</v>
      </c>
      <c r="P131" s="665" t="s">
        <v>125</v>
      </c>
      <c r="Q131" s="665" t="s">
        <v>94</v>
      </c>
      <c r="R131" s="667" t="s">
        <v>91</v>
      </c>
      <c r="S131" s="665" t="s">
        <v>62</v>
      </c>
      <c r="T131" s="669" t="str">
        <f>T26</f>
        <v>OMSET DEC
 (1-1)</v>
      </c>
      <c r="U131" s="669" t="str">
        <f>G4</f>
        <v>OMSET PRODUK</v>
      </c>
      <c r="V131" s="671" t="s">
        <v>63</v>
      </c>
      <c r="W131" s="671" t="s">
        <v>64</v>
      </c>
      <c r="X131" s="671" t="s">
        <v>126</v>
      </c>
      <c r="Y131" s="673" t="s">
        <v>66</v>
      </c>
      <c r="Z131" s="669" t="s">
        <v>127</v>
      </c>
      <c r="AA131" s="220" t="s">
        <v>128</v>
      </c>
    </row>
    <row r="132" spans="2:28" ht="27.75" customHeight="1" x14ac:dyDescent="0.35">
      <c r="B132" s="586"/>
      <c r="C132" s="587"/>
      <c r="D132" s="586"/>
      <c r="E132" s="586"/>
      <c r="F132" s="588"/>
      <c r="G132" s="588"/>
      <c r="H132" s="587"/>
      <c r="I132" s="587"/>
      <c r="J132" s="587"/>
      <c r="K132" s="589"/>
      <c r="L132" s="590"/>
      <c r="M132" s="302">
        <f>100/DAY(EOMONTH($B$1,0))*DAY($B$1)/100</f>
        <v>3.2258064516129031E-2</v>
      </c>
      <c r="P132" s="666"/>
      <c r="Q132" s="666"/>
      <c r="R132" s="668"/>
      <c r="S132" s="666"/>
      <c r="T132" s="670"/>
      <c r="U132" s="670"/>
      <c r="V132" s="672"/>
      <c r="W132" s="672"/>
      <c r="X132" s="672"/>
      <c r="Y132" s="674"/>
      <c r="Z132" s="670"/>
      <c r="AA132" s="221">
        <f>K4</f>
        <v>3.2258064516129031E-2</v>
      </c>
    </row>
    <row r="133" spans="2:28" ht="15" customHeight="1" x14ac:dyDescent="0.35">
      <c r="B133" s="171" t="str">
        <f>C58</f>
        <v>AHMAD</v>
      </c>
      <c r="C133" s="166">
        <f t="shared" ref="C133:H133" si="120">C66</f>
        <v>0</v>
      </c>
      <c r="D133" s="167">
        <f t="shared" si="120"/>
        <v>0</v>
      </c>
      <c r="E133" s="222">
        <f t="shared" si="120"/>
        <v>0</v>
      </c>
      <c r="F133" s="223">
        <f t="shared" si="120"/>
        <v>0</v>
      </c>
      <c r="G133" s="224">
        <f t="shared" si="120"/>
        <v>0</v>
      </c>
      <c r="H133" s="166">
        <f t="shared" si="120"/>
        <v>0</v>
      </c>
      <c r="I133" s="166">
        <f>F133-G133</f>
        <v>0</v>
      </c>
      <c r="J133" s="166">
        <f t="shared" ref="J133:J139" si="121">I133-C133</f>
        <v>0</v>
      </c>
      <c r="K133" s="225" t="e">
        <f t="shared" ref="K133:K138" si="122">I133/C133</f>
        <v>#DIV/0!</v>
      </c>
      <c r="L133" s="226">
        <f t="shared" ref="L133:L138" si="123">H133+I133</f>
        <v>0</v>
      </c>
      <c r="M133" s="227" t="e">
        <f t="shared" ref="M133:M138" si="124">L133/C133</f>
        <v>#DIV/0!</v>
      </c>
      <c r="N133" s="228">
        <f>F133+H133</f>
        <v>0</v>
      </c>
      <c r="P133" s="250" t="str">
        <f>Q58</f>
        <v>AGUSTIAN</v>
      </c>
      <c r="Q133" s="226">
        <f t="shared" ref="Q133:V133" si="125">Q66</f>
        <v>0</v>
      </c>
      <c r="R133" s="251">
        <f t="shared" si="125"/>
        <v>0</v>
      </c>
      <c r="S133" s="165">
        <f t="shared" si="125"/>
        <v>0</v>
      </c>
      <c r="T133" s="226">
        <f t="shared" si="125"/>
        <v>0</v>
      </c>
      <c r="U133" s="252">
        <f t="shared" si="125"/>
        <v>0</v>
      </c>
      <c r="V133" s="226">
        <f t="shared" si="125"/>
        <v>0</v>
      </c>
      <c r="W133" s="226">
        <f>T133-U133</f>
        <v>0</v>
      </c>
      <c r="X133" s="226">
        <f t="shared" ref="X133:X139" si="126">W133-Q133</f>
        <v>0</v>
      </c>
      <c r="Y133" s="172" t="e">
        <f t="shared" ref="Y133:Y138" si="127">W133/Q133</f>
        <v>#DIV/0!</v>
      </c>
      <c r="Z133" s="171">
        <f t="shared" ref="Z133:Z138" si="128">V133+W133</f>
        <v>0</v>
      </c>
      <c r="AA133" s="227" t="e">
        <f t="shared" ref="AA133:AA138" si="129">Z133/Q133</f>
        <v>#DIV/0!</v>
      </c>
      <c r="AB133" s="228">
        <f>T133+V133</f>
        <v>0</v>
      </c>
    </row>
    <row r="134" spans="2:28" x14ac:dyDescent="0.35">
      <c r="B134" s="171" t="str">
        <f>C69</f>
        <v>RAHMAN</v>
      </c>
      <c r="C134" s="166">
        <f t="shared" ref="C134:H134" si="130">C77</f>
        <v>0</v>
      </c>
      <c r="D134" s="167">
        <f t="shared" si="130"/>
        <v>0</v>
      </c>
      <c r="E134" s="222">
        <f t="shared" si="130"/>
        <v>0</v>
      </c>
      <c r="F134" s="223">
        <f t="shared" si="130"/>
        <v>0</v>
      </c>
      <c r="G134" s="224">
        <f t="shared" si="130"/>
        <v>0</v>
      </c>
      <c r="H134" s="166">
        <f t="shared" si="130"/>
        <v>0</v>
      </c>
      <c r="I134" s="166">
        <f>F134-G134</f>
        <v>0</v>
      </c>
      <c r="J134" s="166">
        <f t="shared" si="121"/>
        <v>0</v>
      </c>
      <c r="K134" s="225" t="e">
        <f t="shared" si="122"/>
        <v>#DIV/0!</v>
      </c>
      <c r="L134" s="226">
        <f t="shared" si="123"/>
        <v>0</v>
      </c>
      <c r="M134" s="227" t="e">
        <f t="shared" si="124"/>
        <v>#DIV/0!</v>
      </c>
      <c r="N134" s="228">
        <f>F134+H134</f>
        <v>0</v>
      </c>
      <c r="P134" s="250" t="str">
        <f>Q69</f>
        <v>RAYFAHMI</v>
      </c>
      <c r="Q134" s="226">
        <f t="shared" ref="Q134:V134" si="131">Q77</f>
        <v>0</v>
      </c>
      <c r="R134" s="251">
        <f t="shared" si="131"/>
        <v>0</v>
      </c>
      <c r="S134" s="165">
        <f t="shared" si="131"/>
        <v>0</v>
      </c>
      <c r="T134" s="226">
        <f t="shared" si="131"/>
        <v>0</v>
      </c>
      <c r="U134" s="252">
        <f t="shared" si="131"/>
        <v>0</v>
      </c>
      <c r="V134" s="226">
        <f t="shared" si="131"/>
        <v>0</v>
      </c>
      <c r="W134" s="226">
        <f>T134-U134</f>
        <v>0</v>
      </c>
      <c r="X134" s="226">
        <f t="shared" si="126"/>
        <v>0</v>
      </c>
      <c r="Y134" s="172" t="e">
        <f t="shared" si="127"/>
        <v>#DIV/0!</v>
      </c>
      <c r="Z134" s="171">
        <f>V134+W134</f>
        <v>0</v>
      </c>
      <c r="AA134" s="227" t="e">
        <f t="shared" si="129"/>
        <v>#DIV/0!</v>
      </c>
      <c r="AB134" s="228">
        <f>T134+V134</f>
        <v>0</v>
      </c>
    </row>
    <row r="135" spans="2:28" x14ac:dyDescent="0.35">
      <c r="B135" s="171" t="str">
        <f>C80</f>
        <v>SYAEPULLOH</v>
      </c>
      <c r="C135" s="166">
        <f t="shared" ref="C135:H135" si="132">C88</f>
        <v>0</v>
      </c>
      <c r="D135" s="167">
        <f t="shared" si="132"/>
        <v>0</v>
      </c>
      <c r="E135" s="222">
        <f t="shared" si="132"/>
        <v>0</v>
      </c>
      <c r="F135" s="223">
        <f t="shared" si="132"/>
        <v>0</v>
      </c>
      <c r="G135" s="224">
        <f t="shared" si="132"/>
        <v>0</v>
      </c>
      <c r="H135" s="166">
        <f t="shared" si="132"/>
        <v>0</v>
      </c>
      <c r="I135" s="166">
        <f>F135-G135</f>
        <v>0</v>
      </c>
      <c r="J135" s="166">
        <f t="shared" si="121"/>
        <v>0</v>
      </c>
      <c r="K135" s="225" t="e">
        <f t="shared" si="122"/>
        <v>#DIV/0!</v>
      </c>
      <c r="L135" s="226">
        <f t="shared" si="123"/>
        <v>0</v>
      </c>
      <c r="M135" s="227" t="e">
        <f t="shared" si="124"/>
        <v>#DIV/0!</v>
      </c>
      <c r="N135" s="228">
        <f>F135+H135</f>
        <v>0</v>
      </c>
      <c r="P135" s="250" t="str">
        <f>Q80</f>
        <v>FAHMI</v>
      </c>
      <c r="Q135" s="166">
        <f t="shared" ref="Q135:V135" si="133">Q88</f>
        <v>0</v>
      </c>
      <c r="R135" s="230">
        <f t="shared" si="133"/>
        <v>0</v>
      </c>
      <c r="S135" s="167">
        <f t="shared" si="133"/>
        <v>0</v>
      </c>
      <c r="T135" s="166">
        <f t="shared" si="133"/>
        <v>0</v>
      </c>
      <c r="U135" s="231">
        <f t="shared" si="133"/>
        <v>0</v>
      </c>
      <c r="V135" s="166">
        <f t="shared" si="133"/>
        <v>0</v>
      </c>
      <c r="W135" s="226">
        <f>T135-U135</f>
        <v>0</v>
      </c>
      <c r="X135" s="226">
        <f t="shared" si="126"/>
        <v>0</v>
      </c>
      <c r="Y135" s="172" t="e">
        <f t="shared" si="127"/>
        <v>#DIV/0!</v>
      </c>
      <c r="Z135" s="171">
        <f t="shared" si="128"/>
        <v>0</v>
      </c>
      <c r="AA135" s="227" t="e">
        <f t="shared" si="129"/>
        <v>#DIV/0!</v>
      </c>
      <c r="AB135" s="228">
        <f>T135+V135</f>
        <v>0</v>
      </c>
    </row>
    <row r="136" spans="2:28" x14ac:dyDescent="0.35">
      <c r="B136" s="171" t="str">
        <f>C91</f>
        <v>IPNU</v>
      </c>
      <c r="C136" s="166">
        <f t="shared" ref="C136:H136" si="134">C99</f>
        <v>0</v>
      </c>
      <c r="D136" s="167">
        <f t="shared" si="134"/>
        <v>0</v>
      </c>
      <c r="E136" s="222">
        <f t="shared" si="134"/>
        <v>0</v>
      </c>
      <c r="F136" s="223">
        <f t="shared" si="134"/>
        <v>0</v>
      </c>
      <c r="G136" s="224">
        <f t="shared" si="134"/>
        <v>0</v>
      </c>
      <c r="H136" s="166">
        <f t="shared" si="134"/>
        <v>0</v>
      </c>
      <c r="I136" s="166">
        <f>F136-G136</f>
        <v>0</v>
      </c>
      <c r="J136" s="166">
        <f t="shared" si="121"/>
        <v>0</v>
      </c>
      <c r="K136" s="225" t="e">
        <f t="shared" si="122"/>
        <v>#DIV/0!</v>
      </c>
      <c r="L136" s="226">
        <f t="shared" si="123"/>
        <v>0</v>
      </c>
      <c r="M136" s="227" t="e">
        <f t="shared" si="124"/>
        <v>#DIV/0!</v>
      </c>
      <c r="N136" s="228">
        <f>F136+H136</f>
        <v>0</v>
      </c>
      <c r="P136" s="250">
        <f>Q91</f>
        <v>0</v>
      </c>
      <c r="Q136" s="166">
        <f t="shared" ref="Q136:V136" si="135">Q99</f>
        <v>0</v>
      </c>
      <c r="R136" s="230">
        <f t="shared" si="135"/>
        <v>0</v>
      </c>
      <c r="S136" s="167">
        <f t="shared" si="135"/>
        <v>0</v>
      </c>
      <c r="T136" s="166">
        <f t="shared" si="135"/>
        <v>0</v>
      </c>
      <c r="U136" s="231">
        <f t="shared" si="135"/>
        <v>0</v>
      </c>
      <c r="V136" s="166">
        <f t="shared" si="135"/>
        <v>0</v>
      </c>
      <c r="W136" s="226">
        <f>T136-U136</f>
        <v>0</v>
      </c>
      <c r="X136" s="226">
        <f t="shared" si="126"/>
        <v>0</v>
      </c>
      <c r="Y136" s="172" t="e">
        <f t="shared" si="127"/>
        <v>#DIV/0!</v>
      </c>
      <c r="Z136" s="171">
        <f t="shared" si="128"/>
        <v>0</v>
      </c>
      <c r="AA136" s="227" t="e">
        <f t="shared" si="129"/>
        <v>#DIV/0!</v>
      </c>
      <c r="AB136" s="228">
        <f>T136+V136</f>
        <v>0</v>
      </c>
    </row>
    <row r="137" spans="2:28" x14ac:dyDescent="0.35">
      <c r="B137" s="171">
        <f>C102</f>
        <v>0</v>
      </c>
      <c r="C137" s="166">
        <f t="shared" ref="C137:H137" si="136">C110</f>
        <v>0</v>
      </c>
      <c r="D137" s="167">
        <f t="shared" si="136"/>
        <v>0</v>
      </c>
      <c r="E137" s="222">
        <f t="shared" si="136"/>
        <v>0</v>
      </c>
      <c r="F137" s="223">
        <f t="shared" si="136"/>
        <v>0</v>
      </c>
      <c r="G137" s="224">
        <f t="shared" si="136"/>
        <v>0</v>
      </c>
      <c r="H137" s="166">
        <f t="shared" si="136"/>
        <v>0</v>
      </c>
      <c r="I137" s="166">
        <f>F137-G137</f>
        <v>0</v>
      </c>
      <c r="J137" s="166">
        <f t="shared" si="121"/>
        <v>0</v>
      </c>
      <c r="K137" s="225" t="e">
        <f t="shared" si="122"/>
        <v>#DIV/0!</v>
      </c>
      <c r="L137" s="226">
        <f t="shared" si="123"/>
        <v>0</v>
      </c>
      <c r="M137" s="227" t="e">
        <f t="shared" si="124"/>
        <v>#DIV/0!</v>
      </c>
      <c r="N137" s="228">
        <f>F137+H137</f>
        <v>0</v>
      </c>
      <c r="P137" s="253">
        <f>Q102</f>
        <v>0</v>
      </c>
      <c r="Q137" s="254">
        <f t="shared" ref="Q137:V137" si="137">Q110</f>
        <v>0</v>
      </c>
      <c r="R137" s="255">
        <f t="shared" si="137"/>
        <v>0</v>
      </c>
      <c r="S137" s="256">
        <f t="shared" si="137"/>
        <v>0</v>
      </c>
      <c r="T137" s="254">
        <f t="shared" si="137"/>
        <v>0</v>
      </c>
      <c r="U137" s="231">
        <f t="shared" si="137"/>
        <v>0</v>
      </c>
      <c r="V137" s="166">
        <f t="shared" si="137"/>
        <v>0</v>
      </c>
      <c r="W137" s="226">
        <f>T137-U137</f>
        <v>0</v>
      </c>
      <c r="X137" s="226">
        <f t="shared" si="126"/>
        <v>0</v>
      </c>
      <c r="Y137" s="172" t="e">
        <f t="shared" si="127"/>
        <v>#DIV/0!</v>
      </c>
      <c r="Z137" s="171">
        <f t="shared" si="128"/>
        <v>0</v>
      </c>
      <c r="AA137" s="227" t="e">
        <f t="shared" si="129"/>
        <v>#DIV/0!</v>
      </c>
      <c r="AB137" s="228">
        <f>T137+V137</f>
        <v>0</v>
      </c>
    </row>
    <row r="138" spans="2:28" x14ac:dyDescent="0.35">
      <c r="B138" s="175" t="s">
        <v>77</v>
      </c>
      <c r="C138" s="176">
        <f t="shared" ref="C138:H138" si="138">SUM(C133:C137)</f>
        <v>0</v>
      </c>
      <c r="D138" s="177">
        <f>SUM(D133:D137)</f>
        <v>0</v>
      </c>
      <c r="E138" s="178">
        <f t="shared" si="138"/>
        <v>0</v>
      </c>
      <c r="F138" s="303">
        <f>SUM(F133:F137)</f>
        <v>0</v>
      </c>
      <c r="G138" s="304">
        <f t="shared" si="138"/>
        <v>0</v>
      </c>
      <c r="H138" s="176">
        <f t="shared" si="138"/>
        <v>0</v>
      </c>
      <c r="I138" s="176">
        <f>SUM(I133:I137)</f>
        <v>0</v>
      </c>
      <c r="J138" s="176">
        <f t="shared" si="121"/>
        <v>0</v>
      </c>
      <c r="K138" s="305" t="e">
        <f t="shared" si="122"/>
        <v>#DIV/0!</v>
      </c>
      <c r="L138" s="353">
        <f t="shared" si="123"/>
        <v>0</v>
      </c>
      <c r="M138" s="180" t="e">
        <f t="shared" si="124"/>
        <v>#DIV/0!</v>
      </c>
      <c r="P138" s="232" t="s">
        <v>77</v>
      </c>
      <c r="Q138" s="233">
        <f t="shared" ref="Q138:V138" si="139">SUM(Q133:Q137)</f>
        <v>0</v>
      </c>
      <c r="R138" s="234">
        <f>SUM(R133:R137)</f>
        <v>0</v>
      </c>
      <c r="S138" s="235">
        <f t="shared" si="139"/>
        <v>0</v>
      </c>
      <c r="T138" s="233">
        <f t="shared" si="139"/>
        <v>0</v>
      </c>
      <c r="U138" s="236">
        <f t="shared" si="139"/>
        <v>0</v>
      </c>
      <c r="V138" s="233">
        <f t="shared" si="139"/>
        <v>0</v>
      </c>
      <c r="W138" s="233">
        <f>SUM(W133:W137)</f>
        <v>0</v>
      </c>
      <c r="X138" s="233">
        <f t="shared" si="126"/>
        <v>0</v>
      </c>
      <c r="Y138" s="239" t="e">
        <f t="shared" si="127"/>
        <v>#DIV/0!</v>
      </c>
      <c r="Z138" s="238">
        <f t="shared" si="128"/>
        <v>0</v>
      </c>
      <c r="AA138" s="239" t="e">
        <f t="shared" si="129"/>
        <v>#DIV/0!</v>
      </c>
    </row>
    <row r="139" spans="2:28" x14ac:dyDescent="0.35">
      <c r="B139" s="181" t="str">
        <f>$B$12</f>
        <v>TARGET Q4</v>
      </c>
      <c r="C139" s="182">
        <f>SUM(C111,C100,C89,C78,C67)</f>
        <v>0</v>
      </c>
      <c r="D139" s="240"/>
      <c r="E139" s="241"/>
      <c r="F139" s="241"/>
      <c r="G139" s="241"/>
      <c r="H139" s="241"/>
      <c r="I139" s="182">
        <f>I138</f>
        <v>0</v>
      </c>
      <c r="J139" s="182">
        <f t="shared" si="121"/>
        <v>0</v>
      </c>
      <c r="K139" s="242"/>
      <c r="L139" s="243"/>
      <c r="M139" s="244" t="e">
        <f>I139/C139</f>
        <v>#DIV/0!</v>
      </c>
      <c r="P139" s="181" t="str">
        <f>$B$12</f>
        <v>TARGET Q4</v>
      </c>
      <c r="Q139" s="182">
        <f>SUM(Q111,Q100,Q89,Q78,Q67)</f>
        <v>0</v>
      </c>
      <c r="R139" s="240"/>
      <c r="S139" s="241"/>
      <c r="T139" s="241"/>
      <c r="U139" s="241"/>
      <c r="V139" s="241"/>
      <c r="W139" s="182">
        <f>W138</f>
        <v>0</v>
      </c>
      <c r="X139" s="182">
        <f t="shared" si="126"/>
        <v>0</v>
      </c>
      <c r="Y139" s="242"/>
      <c r="Z139" s="243"/>
      <c r="AA139" s="244" t="e">
        <f>W139/Q139</f>
        <v>#DIV/0!</v>
      </c>
    </row>
    <row r="140" spans="2:28" x14ac:dyDescent="0.35">
      <c r="C140" s="202"/>
      <c r="D140" s="245"/>
      <c r="E140" s="245"/>
      <c r="F140" s="245"/>
      <c r="G140" s="245"/>
      <c r="H140" s="245"/>
      <c r="I140" s="245"/>
      <c r="J140" s="245"/>
      <c r="K140" s="245"/>
      <c r="L140" s="197"/>
      <c r="M140" s="246"/>
      <c r="Q140" s="202"/>
      <c r="R140" s="245"/>
      <c r="S140" s="245"/>
      <c r="T140" s="245"/>
      <c r="U140" s="245"/>
      <c r="V140" s="245"/>
      <c r="W140" s="202"/>
      <c r="X140" s="247"/>
      <c r="Y140" s="248"/>
      <c r="Z140" s="197"/>
      <c r="AA140" s="246"/>
    </row>
    <row r="141" spans="2:28" ht="15" customHeight="1" x14ac:dyDescent="0.35"/>
    <row r="142" spans="2:28" ht="15" customHeight="1" x14ac:dyDescent="0.35">
      <c r="B142" s="580" t="s">
        <v>131</v>
      </c>
      <c r="C142" s="581"/>
      <c r="D142" s="581"/>
      <c r="E142" s="581"/>
      <c r="F142" s="581"/>
      <c r="G142" s="581"/>
      <c r="H142" s="581"/>
      <c r="I142" s="581"/>
      <c r="J142" s="581"/>
      <c r="K142" s="581"/>
      <c r="L142" s="581"/>
      <c r="M142" s="582"/>
      <c r="P142" s="580" t="s">
        <v>132</v>
      </c>
      <c r="Q142" s="581"/>
      <c r="R142" s="581"/>
      <c r="S142" s="581"/>
      <c r="T142" s="581"/>
      <c r="U142" s="581"/>
      <c r="V142" s="581"/>
      <c r="W142" s="581"/>
      <c r="X142" s="581"/>
      <c r="Y142" s="581"/>
      <c r="Z142" s="581"/>
      <c r="AA142" s="582"/>
    </row>
    <row r="143" spans="2:28" ht="15" customHeight="1" x14ac:dyDescent="0.35">
      <c r="B143" s="583"/>
      <c r="C143" s="584"/>
      <c r="D143" s="584"/>
      <c r="E143" s="584"/>
      <c r="F143" s="584"/>
      <c r="G143" s="584"/>
      <c r="H143" s="584"/>
      <c r="I143" s="584"/>
      <c r="J143" s="584"/>
      <c r="K143" s="584"/>
      <c r="L143" s="584"/>
      <c r="M143" s="585"/>
      <c r="P143" s="583"/>
      <c r="Q143" s="584"/>
      <c r="R143" s="584"/>
      <c r="S143" s="584"/>
      <c r="T143" s="584"/>
      <c r="U143" s="584"/>
      <c r="V143" s="584"/>
      <c r="W143" s="584"/>
      <c r="X143" s="584"/>
      <c r="Y143" s="584"/>
      <c r="Z143" s="584"/>
      <c r="AA143" s="585"/>
    </row>
    <row r="144" spans="2:28" ht="15" customHeight="1" x14ac:dyDescent="0.35">
      <c r="B144" s="586" t="s">
        <v>133</v>
      </c>
      <c r="C144" s="587" t="s">
        <v>94</v>
      </c>
      <c r="D144" s="586" t="s">
        <v>91</v>
      </c>
      <c r="E144" s="586" t="s">
        <v>62</v>
      </c>
      <c r="F144" s="588" t="str">
        <f>F131</f>
        <v>OMSET DEC
 (1-1)</v>
      </c>
      <c r="G144" s="588" t="s">
        <v>95</v>
      </c>
      <c r="H144" s="587" t="s">
        <v>63</v>
      </c>
      <c r="I144" s="587" t="s">
        <v>64</v>
      </c>
      <c r="J144" s="587" t="s">
        <v>126</v>
      </c>
      <c r="K144" s="586" t="s">
        <v>66</v>
      </c>
      <c r="L144" s="590" t="s">
        <v>127</v>
      </c>
      <c r="M144" s="301" t="s">
        <v>128</v>
      </c>
      <c r="P144" s="660" t="s">
        <v>133</v>
      </c>
      <c r="Q144" s="660" t="s">
        <v>94</v>
      </c>
      <c r="R144" s="661" t="s">
        <v>91</v>
      </c>
      <c r="S144" s="660" t="s">
        <v>62</v>
      </c>
      <c r="T144" s="662" t="str">
        <f>T131</f>
        <v>OMSET DEC
 (1-1)</v>
      </c>
      <c r="U144" s="662" t="s">
        <v>95</v>
      </c>
      <c r="V144" s="663" t="s">
        <v>63</v>
      </c>
      <c r="W144" s="663" t="s">
        <v>64</v>
      </c>
      <c r="X144" s="663" t="s">
        <v>126</v>
      </c>
      <c r="Y144" s="660" t="str">
        <f>Y131</f>
        <v>PERCENTAGE</v>
      </c>
      <c r="Z144" s="664" t="s">
        <v>127</v>
      </c>
      <c r="AA144" s="220" t="s">
        <v>128</v>
      </c>
    </row>
    <row r="145" spans="2:27" x14ac:dyDescent="0.35">
      <c r="B145" s="586"/>
      <c r="C145" s="587"/>
      <c r="D145" s="586"/>
      <c r="E145" s="586"/>
      <c r="F145" s="588"/>
      <c r="G145" s="588"/>
      <c r="H145" s="587"/>
      <c r="I145" s="587"/>
      <c r="J145" s="587"/>
      <c r="K145" s="586"/>
      <c r="L145" s="590"/>
      <c r="M145" s="302">
        <f>100/DAY(EOMONTH($B$1,0))*DAY($B$1)/100</f>
        <v>3.2258064516129031E-2</v>
      </c>
      <c r="P145" s="660"/>
      <c r="Q145" s="660"/>
      <c r="R145" s="661"/>
      <c r="S145" s="660"/>
      <c r="T145" s="662"/>
      <c r="U145" s="662"/>
      <c r="V145" s="663"/>
      <c r="W145" s="663"/>
      <c r="X145" s="663"/>
      <c r="Y145" s="660"/>
      <c r="Z145" s="664"/>
      <c r="AA145" s="221">
        <f>K4</f>
        <v>3.2258064516129031E-2</v>
      </c>
    </row>
    <row r="146" spans="2:27" x14ac:dyDescent="0.35">
      <c r="B146" s="257" t="s">
        <v>134</v>
      </c>
      <c r="C146" s="166">
        <f>C125</f>
        <v>1541592000</v>
      </c>
      <c r="D146" s="167">
        <f t="shared" ref="D146:H146" si="140">D125</f>
        <v>0</v>
      </c>
      <c r="E146" s="222">
        <f t="shared" si="140"/>
        <v>0</v>
      </c>
      <c r="F146" s="223">
        <f t="shared" si="140"/>
        <v>0</v>
      </c>
      <c r="G146" s="224">
        <f t="shared" si="140"/>
        <v>0</v>
      </c>
      <c r="H146" s="166">
        <f t="shared" si="140"/>
        <v>0</v>
      </c>
      <c r="I146" s="166">
        <f>F146-G146</f>
        <v>0</v>
      </c>
      <c r="J146" s="166">
        <f>I146-C146</f>
        <v>-1541592000</v>
      </c>
      <c r="K146" s="172">
        <f>I146/C146</f>
        <v>0</v>
      </c>
      <c r="L146" s="226">
        <f>H146+I146</f>
        <v>0</v>
      </c>
      <c r="M146" s="227">
        <f>L146/C146</f>
        <v>0</v>
      </c>
      <c r="P146" s="257" t="s">
        <v>135</v>
      </c>
      <c r="Q146" s="166">
        <f t="shared" ref="Q146:V146" si="141">Q125</f>
        <v>0</v>
      </c>
      <c r="R146" s="230">
        <f t="shared" si="141"/>
        <v>0</v>
      </c>
      <c r="S146" s="167">
        <f t="shared" si="141"/>
        <v>0</v>
      </c>
      <c r="T146" s="223">
        <f t="shared" si="141"/>
        <v>0</v>
      </c>
      <c r="U146" s="224">
        <f t="shared" si="141"/>
        <v>0</v>
      </c>
      <c r="V146" s="166">
        <f t="shared" si="141"/>
        <v>0</v>
      </c>
      <c r="W146" s="166">
        <f>T146-U146</f>
        <v>0</v>
      </c>
      <c r="X146" s="166">
        <f>W146-Q146</f>
        <v>0</v>
      </c>
      <c r="Y146" s="172" t="e">
        <f>Y125</f>
        <v>#DIV/0!</v>
      </c>
      <c r="Z146" s="171">
        <f>V146+W146</f>
        <v>0</v>
      </c>
      <c r="AA146" s="227" t="e">
        <f>Z146/Q146</f>
        <v>#DIV/0!</v>
      </c>
    </row>
    <row r="147" spans="2:27" x14ac:dyDescent="0.35">
      <c r="B147" s="257" t="s">
        <v>136</v>
      </c>
      <c r="C147" s="166">
        <f t="shared" ref="C147:H147" si="142">C138</f>
        <v>0</v>
      </c>
      <c r="D147" s="167">
        <f t="shared" si="142"/>
        <v>0</v>
      </c>
      <c r="E147" s="222">
        <f t="shared" si="142"/>
        <v>0</v>
      </c>
      <c r="F147" s="223">
        <f t="shared" si="142"/>
        <v>0</v>
      </c>
      <c r="G147" s="224">
        <f t="shared" si="142"/>
        <v>0</v>
      </c>
      <c r="H147" s="166">
        <f t="shared" si="142"/>
        <v>0</v>
      </c>
      <c r="I147" s="166">
        <f>F147-G147</f>
        <v>0</v>
      </c>
      <c r="J147" s="166">
        <f>I147-C147</f>
        <v>0</v>
      </c>
      <c r="K147" s="172" t="e">
        <f>I147/C147</f>
        <v>#DIV/0!</v>
      </c>
      <c r="L147" s="226">
        <f>H147+I147</f>
        <v>0</v>
      </c>
      <c r="M147" s="227" t="e">
        <f>L147/C147</f>
        <v>#DIV/0!</v>
      </c>
      <c r="P147" s="257" t="s">
        <v>137</v>
      </c>
      <c r="Q147" s="166">
        <f t="shared" ref="Q147:V147" si="143">Q138</f>
        <v>0</v>
      </c>
      <c r="R147" s="230">
        <f t="shared" si="143"/>
        <v>0</v>
      </c>
      <c r="S147" s="167">
        <f t="shared" si="143"/>
        <v>0</v>
      </c>
      <c r="T147" s="223">
        <f t="shared" si="143"/>
        <v>0</v>
      </c>
      <c r="U147" s="224">
        <f>U138</f>
        <v>0</v>
      </c>
      <c r="V147" s="166">
        <f t="shared" si="143"/>
        <v>0</v>
      </c>
      <c r="W147" s="166">
        <f>T147-U147</f>
        <v>0</v>
      </c>
      <c r="X147" s="166">
        <f>W147-Q147</f>
        <v>0</v>
      </c>
      <c r="Y147" s="172" t="e">
        <f>Y138</f>
        <v>#DIV/0!</v>
      </c>
      <c r="Z147" s="171">
        <f>V147+W147</f>
        <v>0</v>
      </c>
      <c r="AA147" s="227" t="e">
        <f>Z147/Q147</f>
        <v>#DIV/0!</v>
      </c>
    </row>
    <row r="148" spans="2:27" x14ac:dyDescent="0.35">
      <c r="B148" s="175" t="s">
        <v>77</v>
      </c>
      <c r="C148" s="176">
        <f>SUM(C146:C147)</f>
        <v>1541592000</v>
      </c>
      <c r="D148" s="177">
        <f t="shared" ref="D148:I148" si="144">SUM(D146:D147)</f>
        <v>0</v>
      </c>
      <c r="E148" s="178">
        <f t="shared" si="144"/>
        <v>0</v>
      </c>
      <c r="F148" s="303">
        <f t="shared" si="144"/>
        <v>0</v>
      </c>
      <c r="G148" s="304">
        <f t="shared" si="144"/>
        <v>0</v>
      </c>
      <c r="H148" s="176">
        <f t="shared" si="144"/>
        <v>0</v>
      </c>
      <c r="I148" s="176">
        <f t="shared" si="144"/>
        <v>0</v>
      </c>
      <c r="J148" s="176">
        <f>I148-C148</f>
        <v>-1541592000</v>
      </c>
      <c r="K148" s="306">
        <f>I148/C148</f>
        <v>0</v>
      </c>
      <c r="L148" s="353">
        <f>H148+I148</f>
        <v>0</v>
      </c>
      <c r="M148" s="180">
        <f>L148/C148</f>
        <v>0</v>
      </c>
      <c r="P148" s="232" t="s">
        <v>77</v>
      </c>
      <c r="Q148" s="233">
        <f t="shared" ref="Q148:W148" si="145">SUM(Q146:Q147)</f>
        <v>0</v>
      </c>
      <c r="R148" s="234">
        <f t="shared" si="145"/>
        <v>0</v>
      </c>
      <c r="S148" s="235">
        <f t="shared" si="145"/>
        <v>0</v>
      </c>
      <c r="T148" s="258">
        <f t="shared" si="145"/>
        <v>0</v>
      </c>
      <c r="U148" s="259">
        <f t="shared" si="145"/>
        <v>0</v>
      </c>
      <c r="V148" s="233">
        <f t="shared" si="145"/>
        <v>0</v>
      </c>
      <c r="W148" s="233">
        <f t="shared" si="145"/>
        <v>0</v>
      </c>
      <c r="X148" s="233">
        <f>W148-Q148</f>
        <v>0</v>
      </c>
      <c r="Y148" s="260" t="e">
        <f>W148/Q148</f>
        <v>#DIV/0!</v>
      </c>
      <c r="Z148" s="238">
        <f>V148+W148</f>
        <v>0</v>
      </c>
      <c r="AA148" s="239" t="e">
        <f>Z148/Q148</f>
        <v>#DIV/0!</v>
      </c>
    </row>
  </sheetData>
  <mergeCells count="192">
    <mergeCell ref="D111:H111"/>
    <mergeCell ref="R111:V111"/>
    <mergeCell ref="O80:O88"/>
    <mergeCell ref="R80:R81"/>
    <mergeCell ref="S80:S81"/>
    <mergeCell ref="T80:W80"/>
    <mergeCell ref="F91:I91"/>
    <mergeCell ref="J91:J92"/>
    <mergeCell ref="O91:O99"/>
    <mergeCell ref="R91:R92"/>
    <mergeCell ref="S91:S92"/>
    <mergeCell ref="T91:W91"/>
    <mergeCell ref="A3:A11"/>
    <mergeCell ref="D3:D4"/>
    <mergeCell ref="E3:E4"/>
    <mergeCell ref="F3:I3"/>
    <mergeCell ref="J3:J4"/>
    <mergeCell ref="O3:O11"/>
    <mergeCell ref="R3:R4"/>
    <mergeCell ref="A25:A33"/>
    <mergeCell ref="D25:D26"/>
    <mergeCell ref="E25:E26"/>
    <mergeCell ref="F25:I25"/>
    <mergeCell ref="J25:J26"/>
    <mergeCell ref="O25:O33"/>
    <mergeCell ref="R25:R26"/>
    <mergeCell ref="A14:A22"/>
    <mergeCell ref="D14:D15"/>
    <mergeCell ref="E14:E15"/>
    <mergeCell ref="D12:H12"/>
    <mergeCell ref="R12:V12"/>
    <mergeCell ref="D23:H23"/>
    <mergeCell ref="R23:V23"/>
    <mergeCell ref="S25:S26"/>
    <mergeCell ref="T25:W25"/>
    <mergeCell ref="A36:A44"/>
    <mergeCell ref="D36:D37"/>
    <mergeCell ref="E36:E37"/>
    <mergeCell ref="D58:D59"/>
    <mergeCell ref="E58:E59"/>
    <mergeCell ref="F47:I47"/>
    <mergeCell ref="J47:J48"/>
    <mergeCell ref="O47:O55"/>
    <mergeCell ref="R47:R48"/>
    <mergeCell ref="A58:A66"/>
    <mergeCell ref="A47:A55"/>
    <mergeCell ref="D47:D48"/>
    <mergeCell ref="E47:E48"/>
    <mergeCell ref="R58:R59"/>
    <mergeCell ref="A69:A77"/>
    <mergeCell ref="D69:D70"/>
    <mergeCell ref="E69:E70"/>
    <mergeCell ref="F69:I69"/>
    <mergeCell ref="J69:J70"/>
    <mergeCell ref="O69:O77"/>
    <mergeCell ref="R69:R70"/>
    <mergeCell ref="S69:S70"/>
    <mergeCell ref="T69:W69"/>
    <mergeCell ref="A102:A110"/>
    <mergeCell ref="A91:A99"/>
    <mergeCell ref="D91:D92"/>
    <mergeCell ref="E91:E92"/>
    <mergeCell ref="D80:D81"/>
    <mergeCell ref="E80:E81"/>
    <mergeCell ref="A80:A88"/>
    <mergeCell ref="D102:D103"/>
    <mergeCell ref="E102:E103"/>
    <mergeCell ref="D89:H89"/>
    <mergeCell ref="D100:H100"/>
    <mergeCell ref="X91:X92"/>
    <mergeCell ref="F102:I102"/>
    <mergeCell ref="J102:J103"/>
    <mergeCell ref="O102:O110"/>
    <mergeCell ref="R102:R103"/>
    <mergeCell ref="S102:S103"/>
    <mergeCell ref="T102:W102"/>
    <mergeCell ref="X102:X103"/>
    <mergeCell ref="X69:X70"/>
    <mergeCell ref="X80:X81"/>
    <mergeCell ref="F80:I80"/>
    <mergeCell ref="J80:J81"/>
    <mergeCell ref="D78:H78"/>
    <mergeCell ref="R78:V78"/>
    <mergeCell ref="R89:V89"/>
    <mergeCell ref="R100:V100"/>
    <mergeCell ref="X25:X26"/>
    <mergeCell ref="F36:I36"/>
    <mergeCell ref="J36:J37"/>
    <mergeCell ref="O36:O44"/>
    <mergeCell ref="R36:R37"/>
    <mergeCell ref="S36:S37"/>
    <mergeCell ref="T36:W36"/>
    <mergeCell ref="S3:S4"/>
    <mergeCell ref="T3:W3"/>
    <mergeCell ref="X3:X4"/>
    <mergeCell ref="F14:I14"/>
    <mergeCell ref="J14:J15"/>
    <mergeCell ref="O14:O22"/>
    <mergeCell ref="R14:R15"/>
    <mergeCell ref="S14:S15"/>
    <mergeCell ref="T14:W14"/>
    <mergeCell ref="X14:X15"/>
    <mergeCell ref="D67:H67"/>
    <mergeCell ref="R67:V67"/>
    <mergeCell ref="X36:X37"/>
    <mergeCell ref="S47:S48"/>
    <mergeCell ref="T47:W47"/>
    <mergeCell ref="D34:H34"/>
    <mergeCell ref="R34:V34"/>
    <mergeCell ref="D45:H45"/>
    <mergeCell ref="R45:V45"/>
    <mergeCell ref="D56:H56"/>
    <mergeCell ref="R56:V56"/>
    <mergeCell ref="X47:X48"/>
    <mergeCell ref="F58:I58"/>
    <mergeCell ref="J58:J59"/>
    <mergeCell ref="O58:O66"/>
    <mergeCell ref="X58:X59"/>
    <mergeCell ref="S58:S59"/>
    <mergeCell ref="T58:W58"/>
    <mergeCell ref="B116:M117"/>
    <mergeCell ref="P116:AA117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J119"/>
    <mergeCell ref="K118:K119"/>
    <mergeCell ref="L118:L119"/>
    <mergeCell ref="P118:P119"/>
    <mergeCell ref="Q118:Q119"/>
    <mergeCell ref="R118:R119"/>
    <mergeCell ref="S118:S119"/>
    <mergeCell ref="T118:T119"/>
    <mergeCell ref="U118:U119"/>
    <mergeCell ref="V118:V119"/>
    <mergeCell ref="W118:W119"/>
    <mergeCell ref="X118:X119"/>
    <mergeCell ref="Y118:Y119"/>
    <mergeCell ref="Z118:Z119"/>
    <mergeCell ref="P129:AA130"/>
    <mergeCell ref="B131:B132"/>
    <mergeCell ref="C131:C132"/>
    <mergeCell ref="D131:D132"/>
    <mergeCell ref="E131:E132"/>
    <mergeCell ref="F131:F132"/>
    <mergeCell ref="G131:G132"/>
    <mergeCell ref="H131:H132"/>
    <mergeCell ref="I131:I132"/>
    <mergeCell ref="J131:J132"/>
    <mergeCell ref="K131:K132"/>
    <mergeCell ref="L131:L132"/>
    <mergeCell ref="P131:P132"/>
    <mergeCell ref="Q131:Q132"/>
    <mergeCell ref="R131:R132"/>
    <mergeCell ref="S131:S132"/>
    <mergeCell ref="T131:T132"/>
    <mergeCell ref="U131:U132"/>
    <mergeCell ref="V131:V132"/>
    <mergeCell ref="W131:W132"/>
    <mergeCell ref="X131:X132"/>
    <mergeCell ref="Y131:Y132"/>
    <mergeCell ref="Z131:Z132"/>
    <mergeCell ref="B129:M130"/>
    <mergeCell ref="B142:M143"/>
    <mergeCell ref="P142:AA143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4:J145"/>
    <mergeCell ref="K144:K145"/>
    <mergeCell ref="L144:L145"/>
    <mergeCell ref="P144:P145"/>
    <mergeCell ref="Q144:Q145"/>
    <mergeCell ref="R144:R145"/>
    <mergeCell ref="S144:S145"/>
    <mergeCell ref="T144:T145"/>
    <mergeCell ref="U144:U145"/>
    <mergeCell ref="V144:V145"/>
    <mergeCell ref="W144:W145"/>
    <mergeCell ref="X144:X145"/>
    <mergeCell ref="Y144:Y145"/>
    <mergeCell ref="Z144:Z145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AGP</vt:lpstr>
      <vt:lpstr>TELE</vt:lpstr>
      <vt:lpstr>AGPN</vt:lpstr>
      <vt:lpstr>AGPc</vt:lpstr>
      <vt:lpstr>AGPs</vt:lpstr>
      <vt:lpstr>AGPn-Harian</vt:lpstr>
      <vt:lpstr>TELE-Harian</vt:lpstr>
      <vt:lpstr>JAN</vt:lpstr>
      <vt:lpstr>FEB</vt:lpstr>
      <vt:lpstr>MAR</vt:lpstr>
      <vt:lpstr>APR</vt:lpstr>
      <vt:lpstr>MEI</vt:lpstr>
      <vt:lpstr>JUN</vt:lpstr>
      <vt:lpstr>JUL</vt:lpstr>
      <vt:lpstr>AGS</vt:lpstr>
      <vt:lpstr>SEP</vt:lpstr>
      <vt:lpstr>OKT</vt:lpstr>
      <vt:lpstr>NOV</vt:lpstr>
      <vt:lpstr>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tarso</dc:creator>
  <cp:keywords/>
  <dc:description/>
  <cp:lastModifiedBy>Dwi Putri Ivane</cp:lastModifiedBy>
  <cp:revision/>
  <cp:lastPrinted>2026-09-18T04:46:52Z</cp:lastPrinted>
  <dcterms:created xsi:type="dcterms:W3CDTF">2015-06-05T18:17:20Z</dcterms:created>
  <dcterms:modified xsi:type="dcterms:W3CDTF">2026-09-21T06:05:50Z</dcterms:modified>
  <cp:category/>
  <cp:contentStatus/>
</cp:coreProperties>
</file>